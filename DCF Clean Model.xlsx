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icha\Desktop\DCFs\"/>
    </mc:Choice>
  </mc:AlternateContent>
  <xr:revisionPtr revIDLastSave="0" documentId="8_{9D5B0BE2-B8C8-41B3-875E-91626F706A81}" xr6:coauthVersionLast="47" xr6:coauthVersionMax="47" xr10:uidLastSave="{00000000-0000-0000-0000-000000000000}"/>
  <bookViews>
    <workbookView xWindow="-120" yWindow="-120" windowWidth="38640" windowHeight="21120" firstSheet="10" activeTab="18" xr2:uid="{B4BEC15A-FDCD-4A78-B861-1B1217F0AF89}"/>
  </bookViews>
  <sheets>
    <sheet name="hist_inc_stmt" sheetId="1" r:id="rId1"/>
    <sheet name="hist_bal_sht" sheetId="2" r:id="rId2"/>
    <sheet name="hist_scf" sheetId="3" r:id="rId3"/>
    <sheet name="fin_model" sheetId="4" r:id="rId4"/>
    <sheet name="model_drivers" sheetId="5" r:id="rId5"/>
    <sheet name="fsa_measures" sheetId="6" r:id="rId6"/>
    <sheet name="mergent_raw" sheetId="7" r:id="rId7"/>
    <sheet name="mergent_work" sheetId="8" r:id="rId8"/>
    <sheet name="mergent_report" sheetId="9" r:id="rId9"/>
    <sheet name="WACC" sheetId="10" r:id="rId10"/>
    <sheet name="DCF_-_FCFF_341" sheetId="11" r:id="rId11"/>
    <sheet name="DCF_-_FCFF_timing" sheetId="12" r:id="rId12"/>
    <sheet name="DCF_-_FCFF_timing_&amp;_normalized" sheetId="13" r:id="rId13"/>
    <sheet name="DCF_-_FCFE_341" sheetId="14" r:id="rId14"/>
    <sheet name="DCF_-_FCFE_timing" sheetId="15" r:id="rId15"/>
    <sheet name="mkt_comps_raw_&amp;_work" sheetId="17" r:id="rId16"/>
    <sheet name="mkt_comps_summary" sheetId="18" r:id="rId17"/>
    <sheet name="Residual_inc" sheetId="16" r:id="rId18"/>
    <sheet name="final_table" sheetId="19" r:id="rId19"/>
    <sheet name="Sheet2" sheetId="21" r:id="rId20"/>
  </sheets>
  <definedNames>
    <definedName name="_xlnm._FilterDatabase" localSheetId="6" hidden="1">mergent_raw!$A$45:$Z$55</definedName>
    <definedName name="_xlnm._FilterDatabase" localSheetId="7" hidden="1">mergent_work!$A$6:$R$23</definedName>
    <definedName name="_r">!#REF!</definedName>
    <definedName name="asd">!#REF!</definedName>
    <definedName name="Forecast">!#REF!</definedName>
    <definedName name="Step_1">!#REF!</definedName>
    <definedName name="Step_2">!#REF!</definedName>
    <definedName name="Step_3">!#REF!</definedName>
    <definedName name="Step_4">!#REF!</definedName>
    <definedName name="Step_5">!#REF!</definedName>
    <definedName name="Step_6">!#REF!</definedName>
    <definedName name="Step1">!#REF!</definedName>
    <definedName name="Step2">!#REF!</definedName>
    <definedName name="Step3">!#REF!</definedName>
    <definedName name="Step4">!#REF!</definedName>
    <definedName name="Step5">!#REF!</definedName>
    <definedName name="Step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6" i="19" l="1"/>
  <c r="U25" i="19"/>
  <c r="U24" i="19"/>
  <c r="B21" i="5"/>
  <c r="W34" i="6"/>
  <c r="R44" i="6"/>
  <c r="R41" i="6"/>
  <c r="R42" i="6"/>
  <c r="R37" i="6"/>
  <c r="R38" i="6"/>
  <c r="R39" i="6"/>
  <c r="T24" i="10"/>
  <c r="S24" i="10"/>
  <c r="L67" i="10"/>
  <c r="L66" i="10"/>
  <c r="L65" i="10"/>
  <c r="L64" i="10"/>
  <c r="L63" i="10"/>
  <c r="T28" i="10"/>
  <c r="T27"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P28" i="10"/>
  <c r="A84" i="10"/>
  <c r="B89" i="10"/>
  <c r="A68" i="10"/>
  <c r="A69" i="10"/>
  <c r="C69" i="10"/>
  <c r="A67" i="10"/>
  <c r="A53" i="10"/>
  <c r="A54" i="10"/>
  <c r="A55" i="10"/>
  <c r="A56" i="10"/>
  <c r="A57" i="10"/>
  <c r="A58" i="10"/>
  <c r="B58" i="10"/>
  <c r="A59" i="10"/>
  <c r="A60" i="10"/>
  <c r="A61" i="10"/>
  <c r="A86" i="10"/>
  <c r="A88" i="10"/>
  <c r="A80" i="10"/>
  <c r="B80" i="10"/>
  <c r="A81" i="10"/>
  <c r="B81" i="10"/>
  <c r="A82" i="10"/>
  <c r="B82" i="10"/>
  <c r="B83" i="10"/>
  <c r="A64" i="10"/>
  <c r="A65" i="10"/>
  <c r="A66" i="10"/>
  <c r="A75" i="10"/>
  <c r="A76" i="10"/>
  <c r="B76" i="10"/>
  <c r="A62" i="10"/>
  <c r="A63" i="10"/>
  <c r="H10" i="4"/>
  <c r="H85" i="4" s="1"/>
  <c r="I85" i="4" s="1"/>
  <c r="J85" i="4" s="1"/>
  <c r="K85" i="4" s="1"/>
  <c r="L85" i="4" s="1"/>
  <c r="M85" i="4" s="1"/>
  <c r="N85" i="4" s="1"/>
  <c r="C29" i="12"/>
  <c r="B35" i="10"/>
  <c r="K17" i="19"/>
  <c r="F60" i="13"/>
  <c r="F23" i="18"/>
  <c r="F52" i="13"/>
  <c r="F28" i="18"/>
  <c r="F31" i="18"/>
  <c r="F57" i="13"/>
  <c r="D52" i="13"/>
  <c r="E52" i="13" s="1"/>
  <c r="D54" i="13"/>
  <c r="D57" i="13"/>
  <c r="E57" i="13" s="1"/>
  <c r="D59" i="13"/>
  <c r="D60" i="13"/>
  <c r="E60" i="13" s="1"/>
  <c r="C52" i="13"/>
  <c r="C57" i="13"/>
  <c r="C60" i="13"/>
  <c r="C51" i="13"/>
  <c r="B52" i="13"/>
  <c r="B54" i="13"/>
  <c r="B57" i="13"/>
  <c r="B59" i="13"/>
  <c r="B60" i="13"/>
  <c r="B51" i="13"/>
  <c r="H20" i="8"/>
  <c r="P20" i="8"/>
  <c r="C3" i="9"/>
  <c r="D21" i="8"/>
  <c r="H23" i="8"/>
  <c r="J20" i="8"/>
  <c r="L21" i="8"/>
  <c r="P23" i="8"/>
  <c r="R20" i="8"/>
  <c r="T21" i="8"/>
  <c r="D22" i="8"/>
  <c r="F23" i="8"/>
  <c r="N23" i="8"/>
  <c r="V23" i="8"/>
  <c r="B21" i="8"/>
  <c r="B20" i="8"/>
  <c r="V22" i="8" l="1"/>
  <c r="T22" i="8"/>
  <c r="N22" i="8"/>
  <c r="L22" i="8"/>
  <c r="F22" i="8"/>
  <c r="S25" i="10"/>
  <c r="C29" i="10" s="1"/>
  <c r="R21" i="8"/>
  <c r="T23" i="8"/>
  <c r="L23" i="8"/>
  <c r="D23" i="8"/>
  <c r="R22" i="8"/>
  <c r="J22" i="8"/>
  <c r="B22" i="8"/>
  <c r="P21" i="8"/>
  <c r="H21" i="8"/>
  <c r="V20" i="8"/>
  <c r="N20" i="8"/>
  <c r="F20" i="8"/>
  <c r="R23" i="8"/>
  <c r="J23" i="8"/>
  <c r="B23" i="8"/>
  <c r="P22" i="8"/>
  <c r="H22" i="8"/>
  <c r="V21" i="8"/>
  <c r="N21" i="8"/>
  <c r="F21" i="8"/>
  <c r="T20" i="8"/>
  <c r="L20" i="8"/>
  <c r="D20" i="8"/>
  <c r="J21" i="8"/>
  <c r="L25" i="18" l="1"/>
  <c r="L28" i="18"/>
  <c r="K28" i="18"/>
  <c r="J25" i="18"/>
  <c r="J30" i="18"/>
  <c r="I25" i="18"/>
  <c r="I30" i="18"/>
  <c r="I31" i="18"/>
  <c r="H23" i="18"/>
  <c r="H28" i="18"/>
  <c r="H31" i="18"/>
  <c r="G23" i="18"/>
  <c r="G28" i="18"/>
  <c r="G31" i="18"/>
  <c r="E30" i="18"/>
  <c r="E31" i="18"/>
  <c r="E25" i="18"/>
  <c r="E28" i="18"/>
  <c r="E23" i="18"/>
  <c r="E22" i="18"/>
  <c r="B68" i="10"/>
  <c r="C68" i="10"/>
  <c r="E22" i="4" l="1"/>
  <c r="F22" i="4"/>
  <c r="G22" i="4"/>
  <c r="H22" i="4"/>
  <c r="D22" i="4"/>
  <c r="E18" i="4"/>
  <c r="F18" i="4"/>
  <c r="G18" i="4"/>
  <c r="H18" i="4"/>
  <c r="D18" i="4"/>
  <c r="M94" i="4"/>
  <c r="I197" i="4" a="1"/>
  <c r="I197" i="4" s="1"/>
  <c r="I96" i="4"/>
  <c r="E17" i="4"/>
  <c r="F17" i="4"/>
  <c r="G17" i="4"/>
  <c r="H17" i="4"/>
  <c r="D17" i="4"/>
  <c r="E16" i="4"/>
  <c r="F16" i="4"/>
  <c r="G16" i="4"/>
  <c r="H16" i="4"/>
  <c r="D16" i="4"/>
  <c r="E42" i="4" l="1"/>
  <c r="F42" i="4"/>
  <c r="G42" i="4"/>
  <c r="H42" i="4"/>
  <c r="B22" i="5" s="1"/>
  <c r="D42" i="4"/>
  <c r="D35" i="4"/>
  <c r="E11" i="4"/>
  <c r="F11" i="4"/>
  <c r="G11" i="4"/>
  <c r="H11" i="4"/>
  <c r="E12" i="4"/>
  <c r="C28" i="6" s="1"/>
  <c r="F12" i="4"/>
  <c r="D28" i="6" s="1"/>
  <c r="G12" i="4"/>
  <c r="E28" i="6" s="1"/>
  <c r="H12" i="4"/>
  <c r="E14" i="4"/>
  <c r="F14" i="4"/>
  <c r="G14" i="4"/>
  <c r="H14" i="4"/>
  <c r="E20" i="4"/>
  <c r="F20" i="4"/>
  <c r="G20" i="4"/>
  <c r="H20" i="4"/>
  <c r="E28" i="4"/>
  <c r="F28" i="4"/>
  <c r="G28" i="4"/>
  <c r="H28" i="4"/>
  <c r="E29" i="4"/>
  <c r="F29" i="4"/>
  <c r="G29" i="4"/>
  <c r="H29" i="4"/>
  <c r="E30" i="4"/>
  <c r="F30" i="4"/>
  <c r="G30" i="4"/>
  <c r="H30" i="4"/>
  <c r="E34" i="4"/>
  <c r="E36" i="4" s="1"/>
  <c r="F34" i="4"/>
  <c r="F36" i="4" s="1"/>
  <c r="G34" i="4"/>
  <c r="H34" i="4"/>
  <c r="E35" i="4"/>
  <c r="F35" i="4"/>
  <c r="G35" i="4"/>
  <c r="H35" i="4"/>
  <c r="H36" i="4" s="1"/>
  <c r="E40" i="4"/>
  <c r="F40" i="4"/>
  <c r="G40" i="4"/>
  <c r="H40" i="4"/>
  <c r="E43" i="4"/>
  <c r="F43" i="4"/>
  <c r="G43" i="4"/>
  <c r="H43" i="4"/>
  <c r="E45" i="4"/>
  <c r="F45" i="4"/>
  <c r="G45" i="4"/>
  <c r="H45" i="4"/>
  <c r="B24" i="5" s="1"/>
  <c r="E46" i="4"/>
  <c r="F46" i="4"/>
  <c r="G46" i="4"/>
  <c r="G47" i="4" s="1"/>
  <c r="H46" i="4"/>
  <c r="E54" i="4"/>
  <c r="F54" i="4"/>
  <c r="G54" i="4"/>
  <c r="H54" i="4"/>
  <c r="K273" i="4" s="1"/>
  <c r="E59" i="4"/>
  <c r="F59" i="4"/>
  <c r="G59" i="4"/>
  <c r="H59" i="4"/>
  <c r="E60" i="4"/>
  <c r="F60" i="4"/>
  <c r="G60" i="4"/>
  <c r="H60" i="4"/>
  <c r="E61" i="4"/>
  <c r="F61" i="4"/>
  <c r="G61" i="4"/>
  <c r="H61" i="4"/>
  <c r="E62" i="4"/>
  <c r="F62" i="4"/>
  <c r="G62" i="4"/>
  <c r="H62" i="4"/>
  <c r="E66" i="4"/>
  <c r="F66" i="4"/>
  <c r="G66" i="4"/>
  <c r="H66" i="4"/>
  <c r="E67" i="4"/>
  <c r="F67" i="4"/>
  <c r="G67" i="4"/>
  <c r="H67" i="4"/>
  <c r="E71" i="4"/>
  <c r="F71" i="4"/>
  <c r="G71" i="4"/>
  <c r="H71" i="4"/>
  <c r="E72" i="4"/>
  <c r="F72" i="4"/>
  <c r="G72" i="4"/>
  <c r="H72" i="4"/>
  <c r="E73" i="4"/>
  <c r="F73" i="4"/>
  <c r="G73" i="4"/>
  <c r="H73" i="4"/>
  <c r="B26" i="5" s="1"/>
  <c r="E74" i="4"/>
  <c r="F74" i="4"/>
  <c r="G74" i="4"/>
  <c r="H74" i="4"/>
  <c r="D67" i="4"/>
  <c r="D61" i="4"/>
  <c r="D60" i="4"/>
  <c r="D59" i="4"/>
  <c r="D54" i="4"/>
  <c r="D46" i="4"/>
  <c r="D45" i="4"/>
  <c r="D43" i="4"/>
  <c r="D200" i="4" s="1"/>
  <c r="D40" i="4"/>
  <c r="D34" i="4"/>
  <c r="D30" i="4"/>
  <c r="D29" i="4"/>
  <c r="D20" i="4"/>
  <c r="F22" i="18"/>
  <c r="N26" i="18" s="1"/>
  <c r="I22" i="18"/>
  <c r="J22" i="18"/>
  <c r="K22" i="18"/>
  <c r="L22" i="18"/>
  <c r="M19" i="19"/>
  <c r="C27" i="12"/>
  <c r="L32" i="16"/>
  <c r="G114" i="4" l="1"/>
  <c r="B32" i="5"/>
  <c r="B23" i="5"/>
  <c r="B25" i="5"/>
  <c r="B19" i="5"/>
  <c r="B28" i="5"/>
  <c r="B29" i="5"/>
  <c r="B14" i="5"/>
  <c r="B13" i="5"/>
  <c r="B31" i="5"/>
  <c r="B33" i="5"/>
  <c r="B18" i="5"/>
  <c r="B16" i="5"/>
  <c r="B34" i="5"/>
  <c r="B17" i="5"/>
  <c r="B8" i="5"/>
  <c r="B6" i="5"/>
  <c r="B9" i="5"/>
  <c r="F28" i="6"/>
  <c r="B5" i="5"/>
  <c r="B15" i="5"/>
  <c r="B20" i="5"/>
  <c r="B11" i="5"/>
  <c r="F33" i="4"/>
  <c r="F37" i="4" s="1"/>
  <c r="D12" i="6" s="1"/>
  <c r="T44" i="6" s="1"/>
  <c r="E33" i="4"/>
  <c r="E37" i="4" s="1"/>
  <c r="C12" i="6" s="1"/>
  <c r="S44" i="6" s="1"/>
  <c r="G36" i="4"/>
  <c r="G33" i="4"/>
  <c r="G37" i="4" s="1"/>
  <c r="E12" i="6" s="1"/>
  <c r="U44" i="6" s="1"/>
  <c r="G75" i="4"/>
  <c r="H47" i="4"/>
  <c r="E47" i="4"/>
  <c r="G13" i="4"/>
  <c r="F47" i="4"/>
  <c r="G68" i="4"/>
  <c r="F13" i="4"/>
  <c r="H33" i="4"/>
  <c r="H37" i="4" s="1"/>
  <c r="F68" i="4"/>
  <c r="E13" i="4"/>
  <c r="H13" i="4"/>
  <c r="G63" i="4"/>
  <c r="E68" i="4"/>
  <c r="E63" i="4"/>
  <c r="H75" i="4"/>
  <c r="F75" i="4"/>
  <c r="F63" i="4"/>
  <c r="E75" i="4"/>
  <c r="D36" i="4"/>
  <c r="F114" i="4"/>
  <c r="E114" i="4"/>
  <c r="H63" i="4"/>
  <c r="D44" i="4"/>
  <c r="H68" i="4"/>
  <c r="H44" i="4"/>
  <c r="G44" i="4"/>
  <c r="G48" i="4" s="1"/>
  <c r="F44" i="4"/>
  <c r="E44" i="4"/>
  <c r="H94" i="4"/>
  <c r="H145" i="4"/>
  <c r="M95" i="4"/>
  <c r="H91" i="4"/>
  <c r="H114" i="4"/>
  <c r="H22" i="18"/>
  <c r="G22" i="18"/>
  <c r="H48" i="4" l="1"/>
  <c r="E48" i="4"/>
  <c r="E51" i="4" s="1"/>
  <c r="G51" i="4"/>
  <c r="F48" i="4"/>
  <c r="F51" i="4" s="1"/>
  <c r="F12" i="6"/>
  <c r="V44" i="6" s="1"/>
  <c r="H51" i="4"/>
  <c r="F13" i="6" s="1"/>
  <c r="V45" i="6" s="1"/>
  <c r="G15" i="4"/>
  <c r="G19" i="4" s="1"/>
  <c r="G21" i="4" s="1"/>
  <c r="G23" i="4" s="1"/>
  <c r="E19" i="6"/>
  <c r="U37" i="6" s="1"/>
  <c r="H15" i="4"/>
  <c r="H19" i="4" s="1"/>
  <c r="F19" i="6"/>
  <c r="V37" i="6" s="1"/>
  <c r="E15" i="4"/>
  <c r="E19" i="4" s="1"/>
  <c r="E21" i="4" s="1"/>
  <c r="E23" i="4" s="1"/>
  <c r="C19" i="6"/>
  <c r="S37" i="6" s="1"/>
  <c r="F15" i="4"/>
  <c r="F19" i="4" s="1"/>
  <c r="F21" i="4" s="1"/>
  <c r="F23" i="4" s="1"/>
  <c r="D22" i="6" s="1"/>
  <c r="D19" i="6"/>
  <c r="T37" i="6" s="1"/>
  <c r="H52" i="4"/>
  <c r="B23" i="10"/>
  <c r="H21" i="4"/>
  <c r="H23" i="4" s="1"/>
  <c r="E22" i="6" s="1"/>
  <c r="E23" i="6"/>
  <c r="C23" i="6"/>
  <c r="S97" i="4"/>
  <c r="I10" i="15"/>
  <c r="H10" i="15"/>
  <c r="G10" i="15"/>
  <c r="F10" i="15"/>
  <c r="E10" i="15"/>
  <c r="D10" i="15"/>
  <c r="F51" i="13"/>
  <c r="D51" i="13"/>
  <c r="E51" i="13" s="1"/>
  <c r="C27" i="13"/>
  <c r="K36" i="12"/>
  <c r="K49" i="12" s="1"/>
  <c r="J43" i="15" s="1"/>
  <c r="J55" i="15" s="1"/>
  <c r="C31" i="12"/>
  <c r="C31" i="13" s="1"/>
  <c r="C29" i="13"/>
  <c r="E89" i="13" s="1"/>
  <c r="C12" i="12"/>
  <c r="C10" i="15" s="1"/>
  <c r="C27" i="11"/>
  <c r="C32" i="12" s="1"/>
  <c r="C26" i="11"/>
  <c r="B24" i="10"/>
  <c r="B7" i="10"/>
  <c r="B3" i="10"/>
  <c r="B55" i="10" s="1"/>
  <c r="C12" i="9"/>
  <c r="C11" i="9"/>
  <c r="C10" i="9"/>
  <c r="C9" i="9"/>
  <c r="C8" i="9"/>
  <c r="C7" i="9"/>
  <c r="C6" i="9"/>
  <c r="C5" i="9"/>
  <c r="C4" i="9"/>
  <c r="D17" i="6"/>
  <c r="D74" i="4"/>
  <c r="D278" i="4" s="1"/>
  <c r="F272" i="4"/>
  <c r="D73" i="4"/>
  <c r="H301" i="4"/>
  <c r="D72" i="4"/>
  <c r="D265" i="4" s="1"/>
  <c r="D71" i="4"/>
  <c r="F255" i="4"/>
  <c r="F256" i="4" s="1"/>
  <c r="F258" i="4" s="1"/>
  <c r="G249" i="4"/>
  <c r="G250" i="4" s="1"/>
  <c r="F249" i="4"/>
  <c r="F250" i="4" s="1"/>
  <c r="D66" i="4"/>
  <c r="D89" i="4" s="1"/>
  <c r="H241" i="4"/>
  <c r="G241" i="4"/>
  <c r="G242" i="4" s="1"/>
  <c r="G244" i="4" s="1"/>
  <c r="D62" i="4"/>
  <c r="D241" i="4" s="1"/>
  <c r="H234" i="4"/>
  <c r="H235" i="4" s="1"/>
  <c r="E234" i="4"/>
  <c r="F167" i="4"/>
  <c r="E167" i="4"/>
  <c r="D94" i="13"/>
  <c r="F205" i="4"/>
  <c r="H200" i="4"/>
  <c r="H201" i="4" s="1"/>
  <c r="G200" i="4"/>
  <c r="G201" i="4" s="1"/>
  <c r="D92" i="13"/>
  <c r="D190" i="4"/>
  <c r="H185" i="4"/>
  <c r="H186" i="4" s="1"/>
  <c r="E185" i="4"/>
  <c r="E186" i="4" s="1"/>
  <c r="F175" i="4"/>
  <c r="F176" i="4" s="1"/>
  <c r="F178" i="4" s="1"/>
  <c r="E175" i="4"/>
  <c r="E176" i="4" s="1"/>
  <c r="E178" i="4" s="1"/>
  <c r="H160" i="4"/>
  <c r="H161" i="4" s="1"/>
  <c r="G160" i="4"/>
  <c r="G161" i="4" s="1"/>
  <c r="D160" i="4"/>
  <c r="D161" i="4" s="1"/>
  <c r="H286" i="4"/>
  <c r="E154" i="4"/>
  <c r="E155" i="4" s="1"/>
  <c r="D286" i="4"/>
  <c r="F286" i="4"/>
  <c r="E286" i="4"/>
  <c r="C66" i="11"/>
  <c r="D28" i="4"/>
  <c r="D33" i="4" s="1"/>
  <c r="D37" i="4" s="1"/>
  <c r="B12" i="6" s="1"/>
  <c r="D14" i="4"/>
  <c r="D107" i="4" s="1"/>
  <c r="D12" i="4"/>
  <c r="B28" i="6" s="1"/>
  <c r="E16" i="6"/>
  <c r="D11" i="4"/>
  <c r="D201" i="4" s="1"/>
  <c r="J17" i="19"/>
  <c r="J9" i="19"/>
  <c r="Q9" i="19" s="1"/>
  <c r="Q8" i="19"/>
  <c r="J5" i="19"/>
  <c r="J6" i="19" s="1"/>
  <c r="J7" i="19" s="1"/>
  <c r="B65" i="18" a="1"/>
  <c r="B71" i="18" s="1"/>
  <c r="D45" i="18"/>
  <c r="P13" i="18"/>
  <c r="O13" i="18"/>
  <c r="P12" i="18"/>
  <c r="O12" i="18"/>
  <c r="H49" i="16"/>
  <c r="K29" i="16"/>
  <c r="K30" i="16" s="1"/>
  <c r="K31" i="16" s="1"/>
  <c r="K23" i="16"/>
  <c r="K24" i="16" s="1"/>
  <c r="K25" i="16" s="1"/>
  <c r="K26" i="16" s="1"/>
  <c r="K27" i="16" s="1"/>
  <c r="K28" i="16" s="1"/>
  <c r="D53" i="15"/>
  <c r="C51" i="14"/>
  <c r="I15" i="14"/>
  <c r="H15" i="14"/>
  <c r="G15" i="14"/>
  <c r="F15" i="14"/>
  <c r="E15" i="14"/>
  <c r="D15" i="14"/>
  <c r="C15" i="14"/>
  <c r="C52" i="12"/>
  <c r="C60" i="11"/>
  <c r="C50" i="11"/>
  <c r="B42" i="10"/>
  <c r="G69" i="13" s="1"/>
  <c r="B32" i="10"/>
  <c r="B36" i="10" s="1"/>
  <c r="B28" i="10"/>
  <c r="D5" i="9"/>
  <c r="D10" i="9"/>
  <c r="D8" i="9"/>
  <c r="D12" i="9"/>
  <c r="D11" i="9"/>
  <c r="D9" i="9"/>
  <c r="D7" i="9"/>
  <c r="D6" i="9"/>
  <c r="D4" i="9"/>
  <c r="D3" i="9"/>
  <c r="F301" i="4"/>
  <c r="E301" i="4"/>
  <c r="H300" i="4"/>
  <c r="G300" i="4"/>
  <c r="F300" i="4"/>
  <c r="E300" i="4"/>
  <c r="G286" i="4"/>
  <c r="H278" i="4"/>
  <c r="G278" i="4"/>
  <c r="G279" i="4" s="1"/>
  <c r="F278" i="4"/>
  <c r="F279" i="4" s="1"/>
  <c r="E278" i="4"/>
  <c r="H272" i="4"/>
  <c r="G272" i="4"/>
  <c r="E272" i="4"/>
  <c r="D272" i="4"/>
  <c r="B272" i="4"/>
  <c r="J267" i="4"/>
  <c r="F265" i="4"/>
  <c r="E265" i="4"/>
  <c r="B265" i="4"/>
  <c r="J257" i="4"/>
  <c r="H255" i="4"/>
  <c r="H256" i="4" s="1"/>
  <c r="H258" i="4" s="1"/>
  <c r="G255" i="4"/>
  <c r="G256" i="4" s="1"/>
  <c r="G258" i="4" s="1"/>
  <c r="D255" i="4"/>
  <c r="B255" i="4"/>
  <c r="H249" i="4"/>
  <c r="E249" i="4"/>
  <c r="B249" i="4"/>
  <c r="J243" i="4"/>
  <c r="F241" i="4"/>
  <c r="F242" i="4" s="1"/>
  <c r="F244" i="4" s="1"/>
  <c r="E241" i="4"/>
  <c r="B241" i="4"/>
  <c r="G234" i="4"/>
  <c r="G235" i="4" s="1"/>
  <c r="F234" i="4"/>
  <c r="F235" i="4" s="1"/>
  <c r="H228" i="4"/>
  <c r="H229" i="4" s="1"/>
  <c r="H230" i="4" s="1"/>
  <c r="G228" i="4"/>
  <c r="G229" i="4" s="1"/>
  <c r="G230" i="4" s="1"/>
  <c r="F228" i="4"/>
  <c r="F229" i="4" s="1"/>
  <c r="F230" i="4" s="1"/>
  <c r="E228" i="4"/>
  <c r="E229" i="4" s="1"/>
  <c r="E230" i="4" s="1"/>
  <c r="D228" i="4"/>
  <c r="B228" i="4"/>
  <c r="H221" i="4"/>
  <c r="H222" i="4" s="1"/>
  <c r="H223" i="4" s="1"/>
  <c r="G221" i="4"/>
  <c r="G222" i="4" s="1"/>
  <c r="G223" i="4" s="1"/>
  <c r="F221" i="4"/>
  <c r="F222" i="4" s="1"/>
  <c r="F223" i="4" s="1"/>
  <c r="E221" i="4"/>
  <c r="D221" i="4"/>
  <c r="D222" i="4" s="1"/>
  <c r="D223" i="4" s="1"/>
  <c r="H206" i="4"/>
  <c r="G206" i="4"/>
  <c r="F206" i="4"/>
  <c r="E206" i="4"/>
  <c r="D206" i="4"/>
  <c r="E205" i="4"/>
  <c r="D205" i="4"/>
  <c r="F200" i="4"/>
  <c r="F201" i="4" s="1"/>
  <c r="E200" i="4"/>
  <c r="E201" i="4" s="1"/>
  <c r="H190" i="4"/>
  <c r="F190" i="4"/>
  <c r="E190" i="4"/>
  <c r="G185" i="4"/>
  <c r="G186" i="4" s="1"/>
  <c r="F185" i="4"/>
  <c r="F186" i="4" s="1"/>
  <c r="B185" i="4"/>
  <c r="J177" i="4"/>
  <c r="H175" i="4"/>
  <c r="H176" i="4" s="1"/>
  <c r="H178" i="4" s="1"/>
  <c r="G175" i="4"/>
  <c r="G176" i="4" s="1"/>
  <c r="G178" i="4" s="1"/>
  <c r="D175" i="4"/>
  <c r="H168" i="4"/>
  <c r="G168" i="4"/>
  <c r="F168" i="4"/>
  <c r="E168" i="4"/>
  <c r="H167" i="4"/>
  <c r="G167" i="4"/>
  <c r="D167" i="4"/>
  <c r="H166" i="4"/>
  <c r="G166" i="4"/>
  <c r="E166" i="4"/>
  <c r="D166" i="4"/>
  <c r="F160" i="4"/>
  <c r="F161" i="4" s="1"/>
  <c r="E160" i="4"/>
  <c r="E161" i="4" s="1"/>
  <c r="G154" i="4"/>
  <c r="G155" i="4" s="1"/>
  <c r="F154" i="4"/>
  <c r="F155" i="4" s="1"/>
  <c r="H149" i="4"/>
  <c r="H150" i="4" s="1"/>
  <c r="G149" i="4"/>
  <c r="G150" i="4" s="1"/>
  <c r="D149" i="4"/>
  <c r="G145" i="4"/>
  <c r="F145" i="4"/>
  <c r="E145" i="4"/>
  <c r="H144" i="4"/>
  <c r="G144" i="4"/>
  <c r="F144" i="4"/>
  <c r="E144" i="4"/>
  <c r="D144" i="4"/>
  <c r="H136" i="4"/>
  <c r="H137" i="4" s="1"/>
  <c r="G136" i="4"/>
  <c r="G137" i="4" s="1"/>
  <c r="F136" i="4"/>
  <c r="F137" i="4" s="1"/>
  <c r="E136" i="4"/>
  <c r="E137" i="4" s="1"/>
  <c r="D136" i="4"/>
  <c r="H126" i="4"/>
  <c r="H127" i="4" s="1"/>
  <c r="G126" i="4"/>
  <c r="G127" i="4" s="1"/>
  <c r="F126" i="4"/>
  <c r="F127" i="4" s="1"/>
  <c r="E126" i="4"/>
  <c r="E127" i="4" s="1"/>
  <c r="D126" i="4"/>
  <c r="H120" i="4"/>
  <c r="H121" i="4" s="1"/>
  <c r="H122" i="4" s="1"/>
  <c r="G120" i="4"/>
  <c r="G121" i="4" s="1"/>
  <c r="G122" i="4" s="1"/>
  <c r="F120" i="4"/>
  <c r="F121" i="4" s="1"/>
  <c r="F122" i="4" s="1"/>
  <c r="E120" i="4"/>
  <c r="E121" i="4" s="1"/>
  <c r="E122" i="4" s="1"/>
  <c r="D120" i="4"/>
  <c r="B120" i="4"/>
  <c r="H113" i="4"/>
  <c r="G113" i="4"/>
  <c r="F113" i="4"/>
  <c r="E113" i="4"/>
  <c r="D113" i="4"/>
  <c r="H107" i="4"/>
  <c r="H108" i="4" s="1"/>
  <c r="H109" i="4" s="1"/>
  <c r="G107" i="4"/>
  <c r="G108" i="4" s="1"/>
  <c r="G109" i="4" s="1"/>
  <c r="F107" i="4"/>
  <c r="F108" i="4" s="1"/>
  <c r="F109" i="4" s="1"/>
  <c r="E107" i="4"/>
  <c r="E108" i="4" s="1"/>
  <c r="E109" i="4" s="1"/>
  <c r="H100" i="4"/>
  <c r="G100" i="4"/>
  <c r="F100" i="4"/>
  <c r="E100" i="4"/>
  <c r="G94" i="4"/>
  <c r="X99" i="4" s="1"/>
  <c r="F94" i="4"/>
  <c r="E94" i="4"/>
  <c r="P97" i="4" s="1"/>
  <c r="D94" i="4"/>
  <c r="G91" i="4"/>
  <c r="F91" i="4"/>
  <c r="E91" i="4"/>
  <c r="H89" i="4"/>
  <c r="G89" i="4"/>
  <c r="F89" i="4"/>
  <c r="E89" i="4"/>
  <c r="H87" i="4"/>
  <c r="H212" i="4" s="1"/>
  <c r="G87" i="4"/>
  <c r="G212" i="4" s="1"/>
  <c r="F87" i="4"/>
  <c r="F212" i="4" s="1"/>
  <c r="E87" i="4"/>
  <c r="E212" i="4" s="1"/>
  <c r="H81" i="4"/>
  <c r="I80" i="4" s="1"/>
  <c r="F81" i="4"/>
  <c r="G80" i="4" s="1"/>
  <c r="E81" i="4"/>
  <c r="F80" i="4" s="1"/>
  <c r="D68" i="4"/>
  <c r="D47" i="4"/>
  <c r="N42" i="4"/>
  <c r="M42" i="4"/>
  <c r="L42" i="4"/>
  <c r="K42" i="4"/>
  <c r="J42" i="4"/>
  <c r="I42" i="4"/>
  <c r="F52" i="4" l="1"/>
  <c r="D13" i="6"/>
  <c r="T45" i="6" s="1"/>
  <c r="G52" i="4"/>
  <c r="E13" i="6"/>
  <c r="U45" i="6" s="1"/>
  <c r="E52" i="4"/>
  <c r="C13" i="6"/>
  <c r="S45" i="6" s="1"/>
  <c r="C22" i="6"/>
  <c r="D108" i="4"/>
  <c r="D109" i="4" s="1"/>
  <c r="X97" i="4"/>
  <c r="B4" i="5" s="1"/>
  <c r="D127" i="4"/>
  <c r="I128" i="4" s="1"/>
  <c r="B25" i="10"/>
  <c r="F23" i="6"/>
  <c r="H95" i="4"/>
  <c r="H97" i="4" s="1"/>
  <c r="D145" i="4"/>
  <c r="D150" i="4"/>
  <c r="D137" i="4"/>
  <c r="I138" i="4" s="1"/>
  <c r="D176" i="4"/>
  <c r="D178" i="4" s="1"/>
  <c r="I179" i="4" s="1"/>
  <c r="D23" i="6"/>
  <c r="C3" i="16"/>
  <c r="B84" i="10"/>
  <c r="K206" i="4"/>
  <c r="I206" i="4"/>
  <c r="E275" i="4"/>
  <c r="D63" i="4"/>
  <c r="D81" i="4"/>
  <c r="E80" i="4" s="1"/>
  <c r="E79" i="4" s="1"/>
  <c r="E77" i="4" s="1"/>
  <c r="E90" i="4" s="1"/>
  <c r="D87" i="4"/>
  <c r="D212" i="4" s="1"/>
  <c r="D75" i="4"/>
  <c r="D249" i="4"/>
  <c r="D250" i="4" s="1"/>
  <c r="H275" i="4"/>
  <c r="I146" i="4"/>
  <c r="D168" i="4"/>
  <c r="H273" i="4"/>
  <c r="I109" i="4"/>
  <c r="I110" i="4"/>
  <c r="J110" i="4" s="1"/>
  <c r="K110" i="4" s="1"/>
  <c r="L110" i="4" s="1"/>
  <c r="M110" i="4" s="1"/>
  <c r="N110" i="4" s="1"/>
  <c r="F95" i="4"/>
  <c r="F97" i="4" s="1"/>
  <c r="Q97" i="4"/>
  <c r="D121" i="4"/>
  <c r="D122" i="4" s="1"/>
  <c r="I122" i="4" s="1"/>
  <c r="D100" i="4"/>
  <c r="D101" i="4" s="1"/>
  <c r="D102" i="4" s="1"/>
  <c r="G95" i="4"/>
  <c r="G97" i="4" s="1"/>
  <c r="R97" i="4"/>
  <c r="D91" i="4"/>
  <c r="D13" i="4"/>
  <c r="I202" i="4"/>
  <c r="H128" i="4"/>
  <c r="D22" i="5"/>
  <c r="J206" i="4"/>
  <c r="H22" i="5"/>
  <c r="N206" i="4"/>
  <c r="G22" i="5"/>
  <c r="M206" i="4"/>
  <c r="F22" i="5"/>
  <c r="L206" i="4"/>
  <c r="P29" i="10"/>
  <c r="G101" i="4"/>
  <c r="G102" i="4" s="1"/>
  <c r="H101" i="4"/>
  <c r="H102" i="4" s="1"/>
  <c r="I230" i="4"/>
  <c r="E101" i="4"/>
  <c r="E102" i="4" s="1"/>
  <c r="D48" i="4"/>
  <c r="D51" i="4" s="1"/>
  <c r="B13" i="6" s="1"/>
  <c r="G265" i="4"/>
  <c r="G301" i="4"/>
  <c r="E92" i="4"/>
  <c r="D234" i="4"/>
  <c r="D235" i="4" s="1"/>
  <c r="E255" i="4"/>
  <c r="E256" i="4" s="1"/>
  <c r="E258" i="4" s="1"/>
  <c r="H265" i="4"/>
  <c r="D242" i="4"/>
  <c r="D244" i="4" s="1"/>
  <c r="B2" i="10"/>
  <c r="C29" i="14"/>
  <c r="C4" i="16"/>
  <c r="F115" i="4"/>
  <c r="E149" i="4"/>
  <c r="E150" i="4" s="1"/>
  <c r="E15" i="6"/>
  <c r="G115" i="4"/>
  <c r="F149" i="4"/>
  <c r="F150" i="4" s="1"/>
  <c r="D154" i="4"/>
  <c r="D155" i="4" s="1"/>
  <c r="H154" i="4"/>
  <c r="D185" i="4"/>
  <c r="D186" i="4" s="1"/>
  <c r="I187" i="4" s="1"/>
  <c r="E207" i="4"/>
  <c r="I231" i="4"/>
  <c r="I60" i="4" s="1"/>
  <c r="I170" i="4" s="1"/>
  <c r="C16" i="6"/>
  <c r="F17" i="6"/>
  <c r="B9" i="10"/>
  <c r="B60" i="10" s="1"/>
  <c r="H205" i="4"/>
  <c r="G190" i="4"/>
  <c r="I191" i="4" s="1"/>
  <c r="C65" i="11"/>
  <c r="G205" i="4"/>
  <c r="G210" i="4" s="1"/>
  <c r="G81" i="4"/>
  <c r="H115" i="4"/>
  <c r="F166" i="4"/>
  <c r="C17" i="6"/>
  <c r="E95" i="4"/>
  <c r="E97" i="4" s="1"/>
  <c r="F101" i="4"/>
  <c r="F102" i="4" s="1"/>
  <c r="E115" i="4"/>
  <c r="I116" i="4" s="1"/>
  <c r="B7" i="5" s="1"/>
  <c r="E222" i="4"/>
  <c r="E223" i="4" s="1"/>
  <c r="I223" i="4" s="1"/>
  <c r="E235" i="4"/>
  <c r="H242" i="4"/>
  <c r="H244" i="4" s="1"/>
  <c r="D256" i="4"/>
  <c r="D258" i="4" s="1"/>
  <c r="D279" i="4"/>
  <c r="H279" i="4"/>
  <c r="E17" i="6"/>
  <c r="E26" i="6" s="1"/>
  <c r="E242" i="4"/>
  <c r="E244" i="4" s="1"/>
  <c r="E250" i="4"/>
  <c r="H250" i="4"/>
  <c r="E279" i="4"/>
  <c r="H50" i="16"/>
  <c r="J10" i="19"/>
  <c r="C44" i="18"/>
  <c r="B44" i="18"/>
  <c r="C45" i="18"/>
  <c r="H44" i="18"/>
  <c r="C62" i="12"/>
  <c r="D37" i="16"/>
  <c r="I23" i="12"/>
  <c r="C19" i="14"/>
  <c r="C35" i="11"/>
  <c r="C44" i="11" s="1"/>
  <c r="G18" i="12"/>
  <c r="G23" i="12" s="1"/>
  <c r="H18" i="12"/>
  <c r="H23" i="12" s="1"/>
  <c r="I18" i="12"/>
  <c r="E78" i="13"/>
  <c r="F79" i="4"/>
  <c r="F77" i="4" s="1"/>
  <c r="F90" i="4" s="1"/>
  <c r="F20" i="6"/>
  <c r="V38" i="6" s="1"/>
  <c r="F10" i="6"/>
  <c r="D20" i="6"/>
  <c r="T38" i="6" s="1"/>
  <c r="D10" i="6"/>
  <c r="F15" i="6"/>
  <c r="E20" i="6"/>
  <c r="U38" i="6" s="1"/>
  <c r="E10" i="6"/>
  <c r="I162" i="4"/>
  <c r="C20" i="6"/>
  <c r="S38" i="6" s="1"/>
  <c r="C10" i="6"/>
  <c r="E266" i="4"/>
  <c r="E268" i="4" s="1"/>
  <c r="B8" i="6"/>
  <c r="B7" i="6"/>
  <c r="C8" i="6"/>
  <c r="S42" i="6" s="1"/>
  <c r="G275" i="4"/>
  <c r="C23" i="11"/>
  <c r="B40" i="10"/>
  <c r="B87" i="10" s="1"/>
  <c r="C21" i="14"/>
  <c r="D7" i="6"/>
  <c r="T41" i="6" s="1"/>
  <c r="D8" i="6"/>
  <c r="T42" i="6" s="1"/>
  <c r="C22" i="5"/>
  <c r="E22" i="5"/>
  <c r="E131" i="4"/>
  <c r="F275" i="4"/>
  <c r="C21" i="6"/>
  <c r="E299" i="4"/>
  <c r="E273" i="4"/>
  <c r="E45" i="18"/>
  <c r="E44" i="18"/>
  <c r="F45" i="18"/>
  <c r="F44" i="18"/>
  <c r="F60" i="18" s="1"/>
  <c r="E12" i="19" s="1"/>
  <c r="L12" i="19" s="1"/>
  <c r="G44" i="18"/>
  <c r="G50" i="18" s="1"/>
  <c r="G45" i="18"/>
  <c r="G51" i="18" s="1"/>
  <c r="F207" i="4"/>
  <c r="D93" i="13"/>
  <c r="C64" i="11"/>
  <c r="C66" i="12"/>
  <c r="B45" i="18"/>
  <c r="B8" i="10"/>
  <c r="B59" i="10" s="1"/>
  <c r="C32" i="13"/>
  <c r="C25" i="14" s="1"/>
  <c r="C31" i="15" s="1"/>
  <c r="C2" i="16" s="1"/>
  <c r="F18" i="12"/>
  <c r="F23" i="12" s="1"/>
  <c r="E18" i="12"/>
  <c r="E23" i="12" s="1"/>
  <c r="D18" i="12"/>
  <c r="D23" i="12" s="1"/>
  <c r="C18" i="12"/>
  <c r="C23" i="12" s="1"/>
  <c r="B15" i="6"/>
  <c r="F16" i="6"/>
  <c r="C24" i="14"/>
  <c r="D44" i="18"/>
  <c r="B65" i="18"/>
  <c r="B66" i="18"/>
  <c r="C33" i="11"/>
  <c r="C65" i="12"/>
  <c r="N36" i="18"/>
  <c r="B67" i="18"/>
  <c r="B68" i="18"/>
  <c r="B16" i="6"/>
  <c r="C63" i="11"/>
  <c r="C67" i="12"/>
  <c r="B69" i="18"/>
  <c r="C68" i="12"/>
  <c r="B70" i="18"/>
  <c r="D16" i="6"/>
  <c r="D26" i="6" s="1"/>
  <c r="D63" i="13"/>
  <c r="F63" i="13"/>
  <c r="B17" i="6"/>
  <c r="B63" i="13"/>
  <c r="B4" i="10" l="1"/>
  <c r="B54" i="10"/>
  <c r="D15" i="4"/>
  <c r="B10" i="6" s="1"/>
  <c r="B19" i="6"/>
  <c r="B56" i="10"/>
  <c r="S39" i="6"/>
  <c r="B69" i="10"/>
  <c r="B29" i="10"/>
  <c r="P100" i="4"/>
  <c r="H155" i="4"/>
  <c r="I157" i="4"/>
  <c r="I151" i="4"/>
  <c r="I102" i="4"/>
  <c r="I103" i="4"/>
  <c r="J103" i="4" s="1"/>
  <c r="K103" i="4" s="1"/>
  <c r="L103" i="4" s="1"/>
  <c r="M103" i="4" s="1"/>
  <c r="N103" i="4" s="1"/>
  <c r="D19" i="4"/>
  <c r="D21" i="4" s="1"/>
  <c r="D23" i="4" s="1"/>
  <c r="D266" i="4" s="1"/>
  <c r="D268" i="4" s="1"/>
  <c r="B20" i="6"/>
  <c r="I236" i="4"/>
  <c r="L236" i="4" s="1"/>
  <c r="E7" i="5"/>
  <c r="I98" i="4"/>
  <c r="I99" i="4" s="1"/>
  <c r="I11" i="4" s="1"/>
  <c r="F26" i="6"/>
  <c r="C26" i="6"/>
  <c r="B43" i="10"/>
  <c r="B90" i="10" s="1"/>
  <c r="J98" i="4"/>
  <c r="B26" i="6"/>
  <c r="F12" i="19"/>
  <c r="P30" i="10"/>
  <c r="D52" i="4"/>
  <c r="B23" i="6"/>
  <c r="L193" i="4"/>
  <c r="L41" i="4" s="1"/>
  <c r="F21" i="5" s="1"/>
  <c r="J193" i="4"/>
  <c r="J41" i="4" s="1"/>
  <c r="D21" i="5" s="1"/>
  <c r="G207" i="4"/>
  <c r="K193" i="4"/>
  <c r="K41" i="4" s="1"/>
  <c r="E21" i="5" s="1"/>
  <c r="M193" i="4"/>
  <c r="M41" i="4" s="1"/>
  <c r="G21" i="5" s="1"/>
  <c r="N193" i="4"/>
  <c r="N41" i="4" s="1"/>
  <c r="H21" i="5" s="1"/>
  <c r="I193" i="4"/>
  <c r="I41" i="4" s="1"/>
  <c r="C21" i="5" s="1"/>
  <c r="G285" i="4"/>
  <c r="G287" i="4" s="1"/>
  <c r="G290" i="4" s="1"/>
  <c r="E7" i="6"/>
  <c r="U41" i="6" s="1"/>
  <c r="H88" i="4"/>
  <c r="E8" i="6"/>
  <c r="U42" i="6" s="1"/>
  <c r="D88" i="4"/>
  <c r="E298" i="4"/>
  <c r="D285" i="4"/>
  <c r="D287" i="4" s="1"/>
  <c r="D290" i="4" s="1"/>
  <c r="I259" i="4"/>
  <c r="I245" i="4"/>
  <c r="D15" i="6"/>
  <c r="C15" i="6"/>
  <c r="H210" i="4"/>
  <c r="I205" i="4" s="1"/>
  <c r="H207" i="4"/>
  <c r="D95" i="13"/>
  <c r="D96" i="13" s="1"/>
  <c r="H80" i="4"/>
  <c r="G79" i="4"/>
  <c r="G77" i="4" s="1"/>
  <c r="G90" i="4" s="1"/>
  <c r="F8" i="6"/>
  <c r="V42" i="6" s="1"/>
  <c r="C7" i="6"/>
  <c r="S41" i="6" s="1"/>
  <c r="C12" i="16"/>
  <c r="C13" i="16" s="1"/>
  <c r="I311" i="4"/>
  <c r="C22" i="16"/>
  <c r="C23" i="16" s="1"/>
  <c r="B10" i="10"/>
  <c r="B61" i="10" s="1"/>
  <c r="F7" i="6"/>
  <c r="V41" i="6" s="1"/>
  <c r="I280" i="4"/>
  <c r="H251" i="4"/>
  <c r="I251" i="4" s="1"/>
  <c r="J251" i="4" s="1"/>
  <c r="H45" i="18"/>
  <c r="C20" i="18" s="1" a="1"/>
  <c r="C5" i="16"/>
  <c r="I43" i="16" s="1"/>
  <c r="J11" i="19"/>
  <c r="Q10" i="19"/>
  <c r="H60" i="18"/>
  <c r="J19" i="18"/>
  <c r="D50" i="18"/>
  <c r="D55" i="18" s="1"/>
  <c r="D60" i="18" s="1"/>
  <c r="G56" i="18"/>
  <c r="G61" i="18" s="1"/>
  <c r="C25" i="15"/>
  <c r="D47" i="15" s="1"/>
  <c r="C45" i="14"/>
  <c r="C12" i="13"/>
  <c r="H18" i="13" s="1"/>
  <c r="H23" i="13" s="1"/>
  <c r="C67" i="11"/>
  <c r="C70" i="11" s="1"/>
  <c r="C27" i="15"/>
  <c r="D47" i="14"/>
  <c r="H297" i="4"/>
  <c r="H131" i="4"/>
  <c r="F61" i="18"/>
  <c r="G12" i="19" s="1"/>
  <c r="M12" i="19" s="1"/>
  <c r="B50" i="18"/>
  <c r="B55" i="18" s="1"/>
  <c r="B60" i="18" s="1"/>
  <c r="E37" i="16"/>
  <c r="I37" i="16"/>
  <c r="H37" i="16"/>
  <c r="F37" i="16"/>
  <c r="G37" i="16"/>
  <c r="E60" i="18"/>
  <c r="B20" i="18" a="1"/>
  <c r="F131" i="4"/>
  <c r="C31" i="14"/>
  <c r="C38" i="14" s="1"/>
  <c r="C30" i="15"/>
  <c r="E61" i="18"/>
  <c r="H285" i="4"/>
  <c r="H287" i="4" s="1"/>
  <c r="H290" i="4" s="1"/>
  <c r="G131" i="4"/>
  <c r="E68" i="13"/>
  <c r="E63" i="13"/>
  <c r="C63" i="13"/>
  <c r="I31" i="4"/>
  <c r="C37" i="15"/>
  <c r="C42" i="15" s="1"/>
  <c r="C36" i="14"/>
  <c r="B51" i="18"/>
  <c r="B56" i="18" s="1"/>
  <c r="B61" i="18" s="1"/>
  <c r="G298" i="4"/>
  <c r="C40" i="12"/>
  <c r="C40" i="13" s="1"/>
  <c r="C42" i="11"/>
  <c r="C47" i="12" s="1"/>
  <c r="C47" i="13" s="1"/>
  <c r="G55" i="18"/>
  <c r="G60" i="18" s="1"/>
  <c r="C51" i="18"/>
  <c r="C56" i="18" s="1"/>
  <c r="C61" i="18" s="1"/>
  <c r="C4" i="11"/>
  <c r="I167" i="4"/>
  <c r="C50" i="18"/>
  <c r="C55" i="18" s="1"/>
  <c r="C60" i="18" s="1"/>
  <c r="D51" i="18"/>
  <c r="D56" i="18" s="1"/>
  <c r="D61" i="18" s="1"/>
  <c r="D273" i="4" l="1"/>
  <c r="D92" i="4"/>
  <c r="B21" i="6"/>
  <c r="B22" i="6"/>
  <c r="I208" i="4"/>
  <c r="I209" i="4"/>
  <c r="I210" i="4"/>
  <c r="D131" i="4"/>
  <c r="I132" i="4" s="1"/>
  <c r="H12" i="19"/>
  <c r="H61" i="18"/>
  <c r="C31" i="18" s="1" a="1"/>
  <c r="H7" i="5"/>
  <c r="F7" i="5"/>
  <c r="D7" i="5"/>
  <c r="P31" i="10"/>
  <c r="G7" i="5"/>
  <c r="C7" i="5"/>
  <c r="B13" i="10"/>
  <c r="B16" i="10" s="1"/>
  <c r="G297" i="4"/>
  <c r="H298" i="4"/>
  <c r="G88" i="4"/>
  <c r="E297" i="4"/>
  <c r="E303" i="4" s="1"/>
  <c r="E304" i="4" s="1"/>
  <c r="F88" i="4"/>
  <c r="F285" i="4"/>
  <c r="F287" i="4" s="1"/>
  <c r="F290" i="4" s="1"/>
  <c r="F297" i="4"/>
  <c r="F298" i="4"/>
  <c r="E88" i="4"/>
  <c r="C72" i="12"/>
  <c r="H79" i="4"/>
  <c r="H77" i="4" s="1"/>
  <c r="H90" i="4" s="1"/>
  <c r="C31" i="11"/>
  <c r="C40" i="11" s="1"/>
  <c r="C45" i="12" s="1"/>
  <c r="E285" i="4"/>
  <c r="E287" i="4" s="1"/>
  <c r="E290" i="4" s="1"/>
  <c r="K98" i="4"/>
  <c r="L98" i="4" s="1"/>
  <c r="M98" i="4" s="1"/>
  <c r="N98" i="4" s="1"/>
  <c r="C4" i="5"/>
  <c r="Q11" i="19"/>
  <c r="J12" i="19"/>
  <c r="E49" i="15"/>
  <c r="G18" i="13"/>
  <c r="G23" i="13" s="1"/>
  <c r="I18" i="13"/>
  <c r="I23" i="13" s="1"/>
  <c r="F18" i="13"/>
  <c r="F23" i="13" s="1"/>
  <c r="C18" i="13"/>
  <c r="C23" i="13" s="1"/>
  <c r="D18" i="13"/>
  <c r="D23" i="13" s="1"/>
  <c r="E18" i="13"/>
  <c r="E23" i="13" s="1"/>
  <c r="K251" i="4"/>
  <c r="H16" i="15"/>
  <c r="H21" i="15" s="1"/>
  <c r="C1" i="16"/>
  <c r="E29" i="16" s="1"/>
  <c r="I16" i="15"/>
  <c r="G16" i="15"/>
  <c r="G21" i="15" s="1"/>
  <c r="F16" i="15"/>
  <c r="F21" i="15" s="1"/>
  <c r="E16" i="15"/>
  <c r="E21" i="15" s="1"/>
  <c r="D16" i="15"/>
  <c r="D21" i="15" s="1"/>
  <c r="C16" i="15"/>
  <c r="C21" i="15" s="1"/>
  <c r="I21" i="15"/>
  <c r="F21" i="6"/>
  <c r="H299" i="4"/>
  <c r="H266" i="4"/>
  <c r="H268" i="4" s="1"/>
  <c r="H92" i="4"/>
  <c r="E21" i="6"/>
  <c r="G92" i="4"/>
  <c r="G299" i="4"/>
  <c r="G266" i="4"/>
  <c r="G268" i="4" s="1"/>
  <c r="G273" i="4"/>
  <c r="C4" i="12"/>
  <c r="C4" i="13"/>
  <c r="B21" i="18"/>
  <c r="B20" i="18"/>
  <c r="B26" i="18"/>
  <c r="B25" i="18"/>
  <c r="B24" i="18"/>
  <c r="B23" i="18"/>
  <c r="B22" i="18"/>
  <c r="C26" i="18"/>
  <c r="C25" i="18"/>
  <c r="C24" i="18"/>
  <c r="C23" i="18"/>
  <c r="C21" i="18"/>
  <c r="C20" i="18"/>
  <c r="C22" i="18"/>
  <c r="E74" i="13"/>
  <c r="E69" i="13"/>
  <c r="D21" i="6"/>
  <c r="F266" i="4"/>
  <c r="F268" i="4" s="1"/>
  <c r="F92" i="4"/>
  <c r="F299" i="4"/>
  <c r="F273" i="4"/>
  <c r="E274" i="4" s="1"/>
  <c r="C65" i="18" a="1"/>
  <c r="B31" i="18" a="1"/>
  <c r="D10" i="5" l="1"/>
  <c r="B10" i="5"/>
  <c r="B17" i="10"/>
  <c r="B66" i="10" s="1"/>
  <c r="B63" i="10"/>
  <c r="V39" i="6"/>
  <c r="T39" i="6"/>
  <c r="U39" i="6"/>
  <c r="B44" i="10"/>
  <c r="B65" i="10"/>
  <c r="E65" i="18" a="1"/>
  <c r="E70" i="18" s="1"/>
  <c r="G13" i="19" s="1"/>
  <c r="N276" i="4"/>
  <c r="I276" i="4"/>
  <c r="L276" i="4"/>
  <c r="M276" i="4"/>
  <c r="K276" i="4"/>
  <c r="J276" i="4"/>
  <c r="H303" i="4"/>
  <c r="H304" i="4" s="1"/>
  <c r="E4" i="5"/>
  <c r="G10" i="5"/>
  <c r="C10" i="5"/>
  <c r="E10" i="5"/>
  <c r="H10" i="5"/>
  <c r="F10" i="5"/>
  <c r="P32" i="10"/>
  <c r="G303" i="4"/>
  <c r="G304" i="4" s="1"/>
  <c r="B41" i="10"/>
  <c r="B88" i="10" s="1"/>
  <c r="F303" i="4"/>
  <c r="F304" i="4" s="1"/>
  <c r="J205" i="4"/>
  <c r="J209" i="4" s="1"/>
  <c r="I45" i="4"/>
  <c r="C38" i="12"/>
  <c r="C38" i="13" s="1"/>
  <c r="C45" i="13" s="1"/>
  <c r="D4" i="5"/>
  <c r="J99" i="4"/>
  <c r="J13" i="19"/>
  <c r="Q12" i="19"/>
  <c r="C34" i="18"/>
  <c r="C37" i="18"/>
  <c r="C35" i="18"/>
  <c r="C32" i="18"/>
  <c r="C31" i="18"/>
  <c r="C36" i="18"/>
  <c r="C33" i="18"/>
  <c r="B35" i="18"/>
  <c r="B34" i="18"/>
  <c r="B33" i="18"/>
  <c r="B32" i="18"/>
  <c r="B31" i="18"/>
  <c r="B37" i="18"/>
  <c r="B36" i="18"/>
  <c r="G269" i="4"/>
  <c r="I269" i="4" s="1"/>
  <c r="C71" i="18"/>
  <c r="C70" i="18"/>
  <c r="E13" i="19" s="1"/>
  <c r="C67" i="18"/>
  <c r="C66" i="18"/>
  <c r="C65" i="18"/>
  <c r="C69" i="18"/>
  <c r="D69" i="18" s="1"/>
  <c r="C68" i="18"/>
  <c r="E11" i="19" s="1"/>
  <c r="F4" i="5"/>
  <c r="L251" i="4"/>
  <c r="B39" i="10" l="1"/>
  <c r="B86" i="10" s="1"/>
  <c r="B45" i="10"/>
  <c r="B91" i="10"/>
  <c r="I111" i="4"/>
  <c r="I139" i="4"/>
  <c r="E71" i="18"/>
  <c r="G14" i="19" s="1"/>
  <c r="M14" i="19" s="1"/>
  <c r="E65" i="18"/>
  <c r="F65" i="18" s="1"/>
  <c r="E67" i="18"/>
  <c r="G10" i="19" s="1"/>
  <c r="M10" i="19" s="1"/>
  <c r="E68" i="18"/>
  <c r="G11" i="19" s="1"/>
  <c r="M11" i="19" s="1"/>
  <c r="E69" i="18"/>
  <c r="F69" i="18" s="1"/>
  <c r="M13" i="19"/>
  <c r="H13" i="19"/>
  <c r="L11" i="19"/>
  <c r="F11" i="19"/>
  <c r="E66" i="18"/>
  <c r="G9" i="19" s="1"/>
  <c r="M9" i="19" s="1"/>
  <c r="L13" i="19"/>
  <c r="F13" i="19"/>
  <c r="I180" i="4"/>
  <c r="I35" i="4" s="1"/>
  <c r="C19" i="5" s="1"/>
  <c r="I129" i="4"/>
  <c r="I18" i="4" s="1"/>
  <c r="C9" i="5" s="1"/>
  <c r="I305" i="4"/>
  <c r="J305" i="4" s="1"/>
  <c r="K305" i="4" s="1"/>
  <c r="P33" i="10"/>
  <c r="I117" i="4"/>
  <c r="I71" i="4"/>
  <c r="C5" i="14" s="1"/>
  <c r="C5" i="15" s="1"/>
  <c r="C24" i="5"/>
  <c r="J210" i="4"/>
  <c r="J11" i="4"/>
  <c r="J180" i="4" s="1"/>
  <c r="K99" i="4"/>
  <c r="I246" i="4"/>
  <c r="I62" i="4" s="1"/>
  <c r="I163" i="4"/>
  <c r="I32" i="4" s="1"/>
  <c r="C16" i="5" s="1"/>
  <c r="I237" i="4"/>
  <c r="I61" i="4" s="1"/>
  <c r="I14" i="4"/>
  <c r="C6" i="5" s="1"/>
  <c r="I260" i="4"/>
  <c r="I67" i="4" s="1"/>
  <c r="C33" i="5" s="1"/>
  <c r="I152" i="4"/>
  <c r="I30" i="4" s="1"/>
  <c r="I147" i="4"/>
  <c r="I29" i="4" s="1"/>
  <c r="C13" i="5" s="1"/>
  <c r="I252" i="4"/>
  <c r="I66" i="4" s="1"/>
  <c r="C17" i="5"/>
  <c r="I281" i="4"/>
  <c r="I74" i="4" s="1"/>
  <c r="C34" i="5" s="1"/>
  <c r="I22" i="4"/>
  <c r="C11" i="5" s="1"/>
  <c r="I203" i="4"/>
  <c r="I43" i="4" s="1"/>
  <c r="C23" i="5" s="1"/>
  <c r="I123" i="4"/>
  <c r="I17" i="4" s="1"/>
  <c r="C8" i="5" s="1"/>
  <c r="I104" i="4"/>
  <c r="I12" i="4" s="1"/>
  <c r="I224" i="4"/>
  <c r="I46" i="4" s="1"/>
  <c r="Q13" i="19"/>
  <c r="J14" i="19"/>
  <c r="Q14" i="19" s="1"/>
  <c r="D68" i="18"/>
  <c r="E8" i="19"/>
  <c r="L8" i="19" s="1"/>
  <c r="D65" i="18"/>
  <c r="F70" i="18"/>
  <c r="M251" i="4"/>
  <c r="D70" i="18"/>
  <c r="E14" i="19"/>
  <c r="L14" i="19" s="1"/>
  <c r="D71" i="18"/>
  <c r="E10" i="19"/>
  <c r="L10" i="19" s="1"/>
  <c r="D67" i="18"/>
  <c r="D66" i="18"/>
  <c r="E9" i="19"/>
  <c r="L9" i="19" s="1"/>
  <c r="J269" i="4"/>
  <c r="G4" i="5"/>
  <c r="H4" i="5"/>
  <c r="I118" i="4" l="1"/>
  <c r="I16" i="4" s="1"/>
  <c r="C22" i="11"/>
  <c r="N14" i="19"/>
  <c r="F71" i="18"/>
  <c r="G8" i="19"/>
  <c r="M8" i="19" s="1"/>
  <c r="O14" i="19" s="1"/>
  <c r="F67" i="18"/>
  <c r="H11" i="19"/>
  <c r="F68" i="18"/>
  <c r="F66" i="18"/>
  <c r="G28" i="6"/>
  <c r="I156" i="4"/>
  <c r="J156" i="4" s="1"/>
  <c r="J306" i="4"/>
  <c r="J315" i="4" s="1"/>
  <c r="D29" i="5" s="1"/>
  <c r="I306" i="4"/>
  <c r="I315" i="4" s="1"/>
  <c r="C29" i="5" s="1"/>
  <c r="P34" i="10"/>
  <c r="J45" i="4"/>
  <c r="K205" i="4"/>
  <c r="K209" i="4" s="1"/>
  <c r="C25" i="5"/>
  <c r="I47" i="4"/>
  <c r="C32" i="5"/>
  <c r="C6" i="11"/>
  <c r="C15" i="5"/>
  <c r="C5" i="5"/>
  <c r="I13" i="4"/>
  <c r="I188" i="4"/>
  <c r="I40" i="4" s="1"/>
  <c r="C4" i="15"/>
  <c r="I89" i="4"/>
  <c r="I168" i="4"/>
  <c r="I171" i="4"/>
  <c r="I169" i="4" s="1"/>
  <c r="I34" i="4" s="1"/>
  <c r="J231" i="4" s="1"/>
  <c r="J60" i="4" s="1"/>
  <c r="C18" i="5"/>
  <c r="C7" i="11"/>
  <c r="I68" i="4"/>
  <c r="C4" i="14"/>
  <c r="L99" i="4"/>
  <c r="K11" i="4"/>
  <c r="K180" i="4" s="1"/>
  <c r="C14" i="5"/>
  <c r="G16" i="6"/>
  <c r="C5" i="11"/>
  <c r="C31" i="5"/>
  <c r="J104" i="4"/>
  <c r="J12" i="4" s="1"/>
  <c r="J35" i="4"/>
  <c r="D19" i="5" s="1"/>
  <c r="J147" i="4"/>
  <c r="J29" i="4" s="1"/>
  <c r="D13" i="5" s="1"/>
  <c r="J224" i="4"/>
  <c r="J46" i="4" s="1"/>
  <c r="J163" i="4"/>
  <c r="J32" i="4" s="1"/>
  <c r="D16" i="5" s="1"/>
  <c r="J237" i="4"/>
  <c r="J61" i="4" s="1"/>
  <c r="J129" i="4"/>
  <c r="J18" i="4" s="1"/>
  <c r="D9" i="5" s="1"/>
  <c r="J152" i="4"/>
  <c r="J30" i="4" s="1"/>
  <c r="J139" i="4"/>
  <c r="J22" i="4" s="1"/>
  <c r="D11" i="5" s="1"/>
  <c r="J260" i="4"/>
  <c r="J67" i="4" s="1"/>
  <c r="D33" i="5" s="1"/>
  <c r="J203" i="4"/>
  <c r="J43" i="4" s="1"/>
  <c r="D23" i="5" s="1"/>
  <c r="J252" i="4"/>
  <c r="J66" i="4" s="1"/>
  <c r="J111" i="4"/>
  <c r="J14" i="4" s="1"/>
  <c r="D6" i="5" s="1"/>
  <c r="J281" i="4"/>
  <c r="J74" i="4" s="1"/>
  <c r="D34" i="5" s="1"/>
  <c r="J123" i="4"/>
  <c r="J17" i="4" s="1"/>
  <c r="D8" i="5" s="1"/>
  <c r="J246" i="4"/>
  <c r="J62" i="4" s="1"/>
  <c r="K269" i="4"/>
  <c r="N251" i="4"/>
  <c r="F8" i="19"/>
  <c r="H10" i="19"/>
  <c r="H9" i="19"/>
  <c r="L305" i="4"/>
  <c r="F9" i="19"/>
  <c r="F10" i="19"/>
  <c r="F14" i="19"/>
  <c r="H14" i="19"/>
  <c r="I15" i="4" l="1"/>
  <c r="G20" i="6" s="1"/>
  <c r="W38" i="6" s="1"/>
  <c r="G19" i="6"/>
  <c r="W37" i="6" s="1"/>
  <c r="D52" i="11"/>
  <c r="C28" i="12"/>
  <c r="H8" i="19"/>
  <c r="P35" i="10"/>
  <c r="I166" i="4"/>
  <c r="I36" i="4"/>
  <c r="K210" i="4"/>
  <c r="I286" i="4"/>
  <c r="J71" i="4"/>
  <c r="D5" i="14" s="1"/>
  <c r="D5" i="15" s="1"/>
  <c r="D24" i="5"/>
  <c r="J117" i="4"/>
  <c r="J118" i="4" s="1"/>
  <c r="J16" i="4" s="1"/>
  <c r="D32" i="5"/>
  <c r="D6" i="11"/>
  <c r="D25" i="5"/>
  <c r="J47" i="4"/>
  <c r="C7" i="12"/>
  <c r="C7" i="13"/>
  <c r="G10" i="6"/>
  <c r="I19" i="4"/>
  <c r="C6" i="12"/>
  <c r="C6" i="13"/>
  <c r="C5" i="13"/>
  <c r="C5" i="12"/>
  <c r="M99" i="4"/>
  <c r="L11" i="4"/>
  <c r="L180" i="4" s="1"/>
  <c r="D14" i="5"/>
  <c r="H16" i="6"/>
  <c r="K104" i="4"/>
  <c r="K12" i="4" s="1"/>
  <c r="K281" i="4"/>
  <c r="K74" i="4" s="1"/>
  <c r="E34" i="5" s="1"/>
  <c r="K35" i="4"/>
  <c r="E19" i="5" s="1"/>
  <c r="K203" i="4"/>
  <c r="K43" i="4" s="1"/>
  <c r="E23" i="5" s="1"/>
  <c r="K163" i="4"/>
  <c r="K32" i="4" s="1"/>
  <c r="E16" i="5" s="1"/>
  <c r="K260" i="4"/>
  <c r="K67" i="4" s="1"/>
  <c r="E33" i="5" s="1"/>
  <c r="K111" i="4"/>
  <c r="K14" i="4" s="1"/>
  <c r="E6" i="5" s="1"/>
  <c r="K139" i="4"/>
  <c r="K22" i="4" s="1"/>
  <c r="E11" i="5" s="1"/>
  <c r="K246" i="4"/>
  <c r="K62" i="4" s="1"/>
  <c r="K147" i="4"/>
  <c r="K29" i="4" s="1"/>
  <c r="E13" i="5" s="1"/>
  <c r="K129" i="4"/>
  <c r="K18" i="4" s="1"/>
  <c r="E9" i="5" s="1"/>
  <c r="K152" i="4"/>
  <c r="K30" i="4" s="1"/>
  <c r="E14" i="5" s="1"/>
  <c r="K252" i="4"/>
  <c r="K66" i="4" s="1"/>
  <c r="K237" i="4"/>
  <c r="K61" i="4" s="1"/>
  <c r="K224" i="4"/>
  <c r="K46" i="4" s="1"/>
  <c r="E25" i="5" s="1"/>
  <c r="K123" i="4"/>
  <c r="K17" i="4" s="1"/>
  <c r="E8" i="5" s="1"/>
  <c r="D5" i="11"/>
  <c r="D31" i="5"/>
  <c r="C20" i="5"/>
  <c r="G17" i="6"/>
  <c r="G26" i="6" s="1"/>
  <c r="I44" i="4"/>
  <c r="I48" i="4" s="1"/>
  <c r="D4" i="14"/>
  <c r="J89" i="4"/>
  <c r="J171" i="4"/>
  <c r="D18" i="5"/>
  <c r="J168" i="4"/>
  <c r="D4" i="15"/>
  <c r="D7" i="11"/>
  <c r="J68" i="4"/>
  <c r="K306" i="4"/>
  <c r="K315" i="4" s="1"/>
  <c r="E29" i="5" s="1"/>
  <c r="J13" i="4"/>
  <c r="J188" i="4"/>
  <c r="J40" i="4" s="1"/>
  <c r="D5" i="5"/>
  <c r="J170" i="4"/>
  <c r="J167" i="4"/>
  <c r="D4" i="11"/>
  <c r="D17" i="5"/>
  <c r="L269" i="4"/>
  <c r="M305" i="4"/>
  <c r="J15" i="4" l="1"/>
  <c r="H19" i="6"/>
  <c r="X37" i="6" s="1"/>
  <c r="C28" i="13"/>
  <c r="D54" i="12"/>
  <c r="J169" i="4"/>
  <c r="J34" i="4" s="1"/>
  <c r="J166" i="4" s="1"/>
  <c r="L306" i="4"/>
  <c r="L315" i="4" s="1"/>
  <c r="F29" i="5" s="1"/>
  <c r="P36" i="10"/>
  <c r="L205" i="4"/>
  <c r="L209" i="4" s="1"/>
  <c r="K45" i="4"/>
  <c r="H20" i="6"/>
  <c r="X38" i="6" s="1"/>
  <c r="H10" i="6"/>
  <c r="J19" i="4"/>
  <c r="D5" i="13"/>
  <c r="D5" i="12"/>
  <c r="E31" i="5"/>
  <c r="E5" i="11"/>
  <c r="L35" i="4"/>
  <c r="F19" i="5" s="1"/>
  <c r="L129" i="4"/>
  <c r="L18" i="4" s="1"/>
  <c r="F9" i="5" s="1"/>
  <c r="L203" i="4"/>
  <c r="L43" i="4" s="1"/>
  <c r="F23" i="5" s="1"/>
  <c r="L163" i="4"/>
  <c r="L32" i="4" s="1"/>
  <c r="F16" i="5" s="1"/>
  <c r="L237" i="4"/>
  <c r="L61" i="4" s="1"/>
  <c r="L123" i="4"/>
  <c r="L17" i="4" s="1"/>
  <c r="F8" i="5" s="1"/>
  <c r="L252" i="4"/>
  <c r="L66" i="4" s="1"/>
  <c r="L147" i="4"/>
  <c r="L29" i="4" s="1"/>
  <c r="F13" i="5" s="1"/>
  <c r="L260" i="4"/>
  <c r="L67" i="4" s="1"/>
  <c r="F33" i="5" s="1"/>
  <c r="L111" i="4"/>
  <c r="L14" i="4" s="1"/>
  <c r="F6" i="5" s="1"/>
  <c r="L139" i="4"/>
  <c r="L22" i="4" s="1"/>
  <c r="F11" i="5" s="1"/>
  <c r="L104" i="4"/>
  <c r="L12" i="4" s="1"/>
  <c r="L281" i="4"/>
  <c r="L74" i="4" s="1"/>
  <c r="F34" i="5" s="1"/>
  <c r="L152" i="4"/>
  <c r="L30" i="4" s="1"/>
  <c r="L224" i="4"/>
  <c r="L46" i="4" s="1"/>
  <c r="F25" i="5" s="1"/>
  <c r="L246" i="4"/>
  <c r="L62" i="4" s="1"/>
  <c r="H17" i="6"/>
  <c r="D20" i="5"/>
  <c r="J44" i="4"/>
  <c r="J48" i="4" s="1"/>
  <c r="D7" i="13"/>
  <c r="D7" i="12"/>
  <c r="I16" i="6"/>
  <c r="E7" i="11"/>
  <c r="K89" i="4"/>
  <c r="K68" i="4"/>
  <c r="K171" i="4"/>
  <c r="E4" i="15"/>
  <c r="E4" i="14"/>
  <c r="K168" i="4"/>
  <c r="E18" i="5"/>
  <c r="E6" i="11"/>
  <c r="E32" i="5"/>
  <c r="K13" i="4"/>
  <c r="E5" i="5"/>
  <c r="K188" i="4"/>
  <c r="K40" i="4" s="1"/>
  <c r="M11" i="4"/>
  <c r="N99" i="4"/>
  <c r="N11" i="4" s="1"/>
  <c r="N180" i="4" s="1"/>
  <c r="D6" i="12"/>
  <c r="D6" i="13"/>
  <c r="C3" i="11"/>
  <c r="I133" i="4"/>
  <c r="I20" i="4" s="1"/>
  <c r="I91" i="4" s="1"/>
  <c r="D4" i="13"/>
  <c r="D4" i="12"/>
  <c r="N305" i="4"/>
  <c r="M269" i="4"/>
  <c r="K15" i="4" l="1"/>
  <c r="I20" i="6" s="1"/>
  <c r="Y38" i="6" s="1"/>
  <c r="I19" i="6"/>
  <c r="Y37" i="6" s="1"/>
  <c r="C20" i="14"/>
  <c r="C26" i="15" s="1"/>
  <c r="E80" i="13"/>
  <c r="K231" i="4"/>
  <c r="K60" i="4" s="1"/>
  <c r="E17" i="5" s="1"/>
  <c r="J36" i="4"/>
  <c r="M306" i="4"/>
  <c r="M315" i="4" s="1"/>
  <c r="G29" i="5" s="1"/>
  <c r="M180" i="4"/>
  <c r="M35" i="4" s="1"/>
  <c r="G19" i="5" s="1"/>
  <c r="E4" i="11"/>
  <c r="E4" i="12" s="1"/>
  <c r="P37" i="10"/>
  <c r="N306" i="4"/>
  <c r="N315" i="4" s="1"/>
  <c r="H29" i="5" s="1"/>
  <c r="K167" i="4"/>
  <c r="I21" i="4"/>
  <c r="I23" i="4" s="1"/>
  <c r="K47" i="4"/>
  <c r="K71" i="4"/>
  <c r="E5" i="14" s="1"/>
  <c r="E5" i="15" s="1"/>
  <c r="K117" i="4"/>
  <c r="K118" i="4" s="1"/>
  <c r="K16" i="4" s="1"/>
  <c r="K19" i="4" s="1"/>
  <c r="K133" i="4" s="1"/>
  <c r="K20" i="4" s="1"/>
  <c r="K21" i="4" s="1"/>
  <c r="K23" i="4" s="1"/>
  <c r="E24" i="5"/>
  <c r="L210" i="4"/>
  <c r="M281" i="4"/>
  <c r="M74" i="4" s="1"/>
  <c r="G34" i="5" s="1"/>
  <c r="M123" i="4"/>
  <c r="M17" i="4" s="1"/>
  <c r="G8" i="5" s="1"/>
  <c r="M139" i="4"/>
  <c r="M22" i="4" s="1"/>
  <c r="G11" i="5" s="1"/>
  <c r="M152" i="4"/>
  <c r="M30" i="4" s="1"/>
  <c r="M163" i="4"/>
  <c r="M32" i="4" s="1"/>
  <c r="G16" i="5" s="1"/>
  <c r="M252" i="4"/>
  <c r="M66" i="4" s="1"/>
  <c r="M147" i="4"/>
  <c r="M29" i="4" s="1"/>
  <c r="G13" i="5" s="1"/>
  <c r="M237" i="4"/>
  <c r="M61" i="4" s="1"/>
  <c r="M246" i="4"/>
  <c r="M62" i="4" s="1"/>
  <c r="M129" i="4"/>
  <c r="M18" i="4" s="1"/>
  <c r="G9" i="5" s="1"/>
  <c r="M104" i="4"/>
  <c r="M12" i="4" s="1"/>
  <c r="M260" i="4"/>
  <c r="M67" i="4" s="1"/>
  <c r="G33" i="5" s="1"/>
  <c r="M203" i="4"/>
  <c r="M43" i="4" s="1"/>
  <c r="G23" i="5" s="1"/>
  <c r="M111" i="4"/>
  <c r="M14" i="4" s="1"/>
  <c r="G6" i="5" s="1"/>
  <c r="M224" i="4"/>
  <c r="M46" i="4" s="1"/>
  <c r="G25" i="5" s="1"/>
  <c r="F6" i="11"/>
  <c r="F32" i="5"/>
  <c r="L13" i="4"/>
  <c r="F5" i="5"/>
  <c r="L188" i="4"/>
  <c r="L40" i="4" s="1"/>
  <c r="E5" i="12"/>
  <c r="E5" i="13"/>
  <c r="K44" i="4"/>
  <c r="I17" i="6"/>
  <c r="E20" i="5"/>
  <c r="E6" i="13"/>
  <c r="E6" i="12"/>
  <c r="E7" i="13"/>
  <c r="E7" i="12"/>
  <c r="L168" i="4"/>
  <c r="F7" i="11"/>
  <c r="L89" i="4"/>
  <c r="L68" i="4"/>
  <c r="F4" i="15"/>
  <c r="F4" i="14"/>
  <c r="F18" i="5"/>
  <c r="L171" i="4"/>
  <c r="J133" i="4"/>
  <c r="J20" i="4" s="1"/>
  <c r="J91" i="4" s="1"/>
  <c r="D3" i="11"/>
  <c r="C8" i="11"/>
  <c r="C3" i="13"/>
  <c r="C8" i="13" s="1"/>
  <c r="C3" i="12"/>
  <c r="C8" i="12" s="1"/>
  <c r="F14" i="5"/>
  <c r="J16" i="6"/>
  <c r="N104" i="4"/>
  <c r="N12" i="4" s="1"/>
  <c r="N35" i="4"/>
  <c r="H19" i="5" s="1"/>
  <c r="N246" i="4"/>
  <c r="N62" i="4" s="1"/>
  <c r="N147" i="4"/>
  <c r="N29" i="4" s="1"/>
  <c r="H13" i="5" s="1"/>
  <c r="N237" i="4"/>
  <c r="N61" i="4" s="1"/>
  <c r="N203" i="4"/>
  <c r="N43" i="4" s="1"/>
  <c r="H23" i="5" s="1"/>
  <c r="N129" i="4"/>
  <c r="N18" i="4" s="1"/>
  <c r="H9" i="5" s="1"/>
  <c r="N252" i="4"/>
  <c r="N66" i="4" s="1"/>
  <c r="N139" i="4"/>
  <c r="N22" i="4" s="1"/>
  <c r="H11" i="5" s="1"/>
  <c r="N260" i="4"/>
  <c r="N67" i="4" s="1"/>
  <c r="H33" i="5" s="1"/>
  <c r="N224" i="4"/>
  <c r="N46" i="4" s="1"/>
  <c r="H25" i="5" s="1"/>
  <c r="N111" i="4"/>
  <c r="N14" i="4" s="1"/>
  <c r="H6" i="5" s="1"/>
  <c r="N281" i="4"/>
  <c r="N74" i="4" s="1"/>
  <c r="H34" i="5" s="1"/>
  <c r="N152" i="4"/>
  <c r="N30" i="4" s="1"/>
  <c r="N163" i="4"/>
  <c r="N32" i="4" s="1"/>
  <c r="H16" i="5" s="1"/>
  <c r="N123" i="4"/>
  <c r="N17" i="4" s="1"/>
  <c r="H8" i="5" s="1"/>
  <c r="F5" i="11"/>
  <c r="F31" i="5"/>
  <c r="N269" i="4"/>
  <c r="L15" i="4" l="1"/>
  <c r="J20" i="6" s="1"/>
  <c r="Z38" i="6" s="1"/>
  <c r="J19" i="6"/>
  <c r="Z37" i="6" s="1"/>
  <c r="I277" i="4"/>
  <c r="I275" i="4" s="1"/>
  <c r="F22" i="6"/>
  <c r="K170" i="4"/>
  <c r="K169" i="4" s="1"/>
  <c r="K34" i="4" s="1"/>
  <c r="K36" i="4" s="1"/>
  <c r="E4" i="13"/>
  <c r="I92" i="4"/>
  <c r="K48" i="4"/>
  <c r="P38" i="10"/>
  <c r="I10" i="6"/>
  <c r="I270" i="4"/>
  <c r="I72" i="4" s="1"/>
  <c r="C28" i="5" s="1"/>
  <c r="I59" i="4"/>
  <c r="I63" i="4" s="1"/>
  <c r="C3" i="14" s="1"/>
  <c r="C6" i="14" s="1"/>
  <c r="D35" i="16"/>
  <c r="G21" i="6"/>
  <c r="I312" i="4"/>
  <c r="E3" i="11"/>
  <c r="E3" i="13" s="1"/>
  <c r="J21" i="4"/>
  <c r="J23" i="4" s="1"/>
  <c r="L45" i="4"/>
  <c r="M205" i="4"/>
  <c r="M209" i="4" s="1"/>
  <c r="H32" i="5"/>
  <c r="H6" i="11"/>
  <c r="G18" i="5"/>
  <c r="G4" i="15"/>
  <c r="M68" i="4"/>
  <c r="M168" i="4"/>
  <c r="M171" i="4"/>
  <c r="G4" i="14"/>
  <c r="M89" i="4"/>
  <c r="G7" i="11"/>
  <c r="H14" i="5"/>
  <c r="L16" i="6"/>
  <c r="C13" i="12"/>
  <c r="C19" i="12" s="1"/>
  <c r="C14" i="12"/>
  <c r="C24" i="12" s="1"/>
  <c r="D8" i="11"/>
  <c r="D3" i="12"/>
  <c r="D8" i="12" s="1"/>
  <c r="D3" i="13"/>
  <c r="D8" i="13" s="1"/>
  <c r="F7" i="13"/>
  <c r="F7" i="12"/>
  <c r="J17" i="6"/>
  <c r="F20" i="5"/>
  <c r="L44" i="4"/>
  <c r="F6" i="12"/>
  <c r="F6" i="13"/>
  <c r="G32" i="5"/>
  <c r="G6" i="11"/>
  <c r="F5" i="13"/>
  <c r="F5" i="12"/>
  <c r="H31" i="5"/>
  <c r="E87" i="13"/>
  <c r="H5" i="11"/>
  <c r="N13" i="4"/>
  <c r="N188" i="4"/>
  <c r="N40" i="4" s="1"/>
  <c r="H5" i="5"/>
  <c r="C13" i="13"/>
  <c r="C19" i="13" s="1"/>
  <c r="C14" i="13"/>
  <c r="C24" i="13" s="1"/>
  <c r="G31" i="5"/>
  <c r="G5" i="11"/>
  <c r="G14" i="5"/>
  <c r="K16" i="6"/>
  <c r="H4" i="15"/>
  <c r="N89" i="4"/>
  <c r="N68" i="4"/>
  <c r="H4" i="14"/>
  <c r="H7" i="11"/>
  <c r="H18" i="5"/>
  <c r="N171" i="4"/>
  <c r="C14" i="11"/>
  <c r="C18" i="11"/>
  <c r="M13" i="4"/>
  <c r="G5" i="5"/>
  <c r="M188" i="4"/>
  <c r="M40" i="4" s="1"/>
  <c r="I21" i="6"/>
  <c r="F35" i="16"/>
  <c r="K92" i="4"/>
  <c r="K312" i="4"/>
  <c r="K59" i="4"/>
  <c r="K63" i="4" s="1"/>
  <c r="K277" i="4"/>
  <c r="K270" i="4"/>
  <c r="K72" i="4" s="1"/>
  <c r="K91" i="4"/>
  <c r="M15" i="4" l="1"/>
  <c r="K20" i="6" s="1"/>
  <c r="AA38" i="6" s="1"/>
  <c r="K19" i="6"/>
  <c r="AA37" i="6" s="1"/>
  <c r="N15" i="4"/>
  <c r="L19" i="6"/>
  <c r="AB37" i="6" s="1"/>
  <c r="Y39" i="6"/>
  <c r="W39" i="6"/>
  <c r="L231" i="4"/>
  <c r="L60" i="4" s="1"/>
  <c r="L170" i="4" s="1"/>
  <c r="K166" i="4"/>
  <c r="E8" i="13"/>
  <c r="E13" i="13" s="1"/>
  <c r="E19" i="13" s="1"/>
  <c r="J270" i="4"/>
  <c r="J72" i="4" s="1"/>
  <c r="D28" i="5" s="1"/>
  <c r="J277" i="4"/>
  <c r="J275" i="4" s="1"/>
  <c r="I73" i="4"/>
  <c r="C26" i="5" s="1"/>
  <c r="K73" i="4"/>
  <c r="K75" i="4" s="1"/>
  <c r="I314" i="4"/>
  <c r="P39" i="10"/>
  <c r="E3" i="12"/>
  <c r="E8" i="12" s="1"/>
  <c r="E14" i="12" s="1"/>
  <c r="E24" i="12" s="1"/>
  <c r="E35" i="16"/>
  <c r="C3" i="15"/>
  <c r="C6" i="15" s="1"/>
  <c r="C11" i="15" s="1"/>
  <c r="C17" i="15" s="1"/>
  <c r="J92" i="4"/>
  <c r="E8" i="11"/>
  <c r="E18" i="11" s="1"/>
  <c r="H21" i="6"/>
  <c r="J312" i="4"/>
  <c r="M210" i="4"/>
  <c r="J59" i="4"/>
  <c r="J63" i="4" s="1"/>
  <c r="D3" i="14" s="1"/>
  <c r="D6" i="14" s="1"/>
  <c r="L117" i="4"/>
  <c r="L118" i="4" s="1"/>
  <c r="L16" i="4" s="1"/>
  <c r="L47" i="4"/>
  <c r="L48" i="4" s="1"/>
  <c r="F24" i="5"/>
  <c r="L71" i="4"/>
  <c r="F5" i="14" s="1"/>
  <c r="F5" i="15" s="1"/>
  <c r="L17" i="6"/>
  <c r="H20" i="5"/>
  <c r="N44" i="4"/>
  <c r="D14" i="12"/>
  <c r="D24" i="12" s="1"/>
  <c r="D13" i="12"/>
  <c r="D19" i="12" s="1"/>
  <c r="C56" i="11"/>
  <c r="C58" i="12"/>
  <c r="L20" i="6"/>
  <c r="AB38" i="6" s="1"/>
  <c r="D18" i="11"/>
  <c r="D14" i="11"/>
  <c r="H7" i="12"/>
  <c r="H7" i="13"/>
  <c r="J7" i="13" s="1"/>
  <c r="H5" i="12"/>
  <c r="C60" i="12" s="1"/>
  <c r="C58" i="11"/>
  <c r="H5" i="13"/>
  <c r="J5" i="13" s="1"/>
  <c r="G6" i="13"/>
  <c r="G6" i="12"/>
  <c r="H6" i="13"/>
  <c r="J6" i="13" s="1"/>
  <c r="H6" i="12"/>
  <c r="G20" i="5"/>
  <c r="K17" i="6"/>
  <c r="M44" i="4"/>
  <c r="G5" i="13"/>
  <c r="G5" i="12"/>
  <c r="D14" i="13"/>
  <c r="D24" i="13" s="1"/>
  <c r="D13" i="13"/>
  <c r="D19" i="13" s="1"/>
  <c r="C16" i="14"/>
  <c r="C12" i="14"/>
  <c r="G7" i="12"/>
  <c r="G7" i="13"/>
  <c r="K314" i="4"/>
  <c r="E28" i="5"/>
  <c r="E3" i="15"/>
  <c r="E6" i="15" s="1"/>
  <c r="E3" i="14"/>
  <c r="E6" i="14" s="1"/>
  <c r="F4" i="11" l="1"/>
  <c r="F17" i="5"/>
  <c r="L167" i="4"/>
  <c r="X39" i="6"/>
  <c r="L169" i="4"/>
  <c r="L34" i="4" s="1"/>
  <c r="L166" i="4" s="1"/>
  <c r="E14" i="13"/>
  <c r="E24" i="13" s="1"/>
  <c r="K275" i="4"/>
  <c r="J314" i="4"/>
  <c r="M231" i="4"/>
  <c r="M60" i="4" s="1"/>
  <c r="M170" i="4" s="1"/>
  <c r="M169" i="4" s="1"/>
  <c r="M34" i="4" s="1"/>
  <c r="I313" i="4"/>
  <c r="I316" i="4" s="1"/>
  <c r="I51" i="4" s="1"/>
  <c r="I75" i="4"/>
  <c r="K313" i="4"/>
  <c r="J73" i="4"/>
  <c r="J313" i="4" s="1"/>
  <c r="E13" i="12"/>
  <c r="E19" i="12" s="1"/>
  <c r="P40" i="10"/>
  <c r="E14" i="11"/>
  <c r="F4" i="12"/>
  <c r="F4" i="13"/>
  <c r="C12" i="15"/>
  <c r="C22" i="15" s="1"/>
  <c r="D3" i="15"/>
  <c r="D6" i="15" s="1"/>
  <c r="D12" i="15" s="1"/>
  <c r="D22" i="15" s="1"/>
  <c r="N205" i="4"/>
  <c r="N209" i="4" s="1"/>
  <c r="M45" i="4"/>
  <c r="L19" i="4"/>
  <c r="J10" i="6"/>
  <c r="D16" i="14"/>
  <c r="D12" i="14"/>
  <c r="E12" i="15"/>
  <c r="E22" i="15" s="1"/>
  <c r="E11" i="15"/>
  <c r="E17" i="15" s="1"/>
  <c r="E16" i="14"/>
  <c r="E12" i="14"/>
  <c r="M167" i="4" l="1"/>
  <c r="L36" i="4"/>
  <c r="G23" i="6"/>
  <c r="G13" i="6"/>
  <c r="W45" i="6" s="1"/>
  <c r="G4" i="11"/>
  <c r="G17" i="5"/>
  <c r="E27" i="5"/>
  <c r="D27" i="5"/>
  <c r="J75" i="4"/>
  <c r="I52" i="4"/>
  <c r="J311" i="4"/>
  <c r="J316" i="4" s="1"/>
  <c r="J51" i="4" s="1"/>
  <c r="I285" i="4"/>
  <c r="I287" i="4" s="1"/>
  <c r="I290" i="4" s="1"/>
  <c r="I28" i="4" s="1"/>
  <c r="I87" i="4" s="1"/>
  <c r="I212" i="4" s="1"/>
  <c r="D36" i="16"/>
  <c r="D38" i="16" s="1"/>
  <c r="N231" i="4"/>
  <c r="N60" i="4" s="1"/>
  <c r="E86" i="13" s="1"/>
  <c r="P41" i="10"/>
  <c r="D11" i="15"/>
  <c r="D17" i="15" s="1"/>
  <c r="M36" i="4"/>
  <c r="F3" i="11"/>
  <c r="L133" i="4"/>
  <c r="L20" i="4" s="1"/>
  <c r="M166" i="4"/>
  <c r="M117" i="4"/>
  <c r="M118" i="4" s="1"/>
  <c r="M16" i="4" s="1"/>
  <c r="M47" i="4"/>
  <c r="M48" i="4" s="1"/>
  <c r="M71" i="4"/>
  <c r="G5" i="14" s="1"/>
  <c r="G5" i="15" s="1"/>
  <c r="G24" i="5"/>
  <c r="N210" i="4"/>
  <c r="N45" i="4" s="1"/>
  <c r="J285" i="4" l="1"/>
  <c r="H13" i="6"/>
  <c r="X45" i="6" s="1"/>
  <c r="G4" i="13"/>
  <c r="G4" i="12"/>
  <c r="D39" i="16"/>
  <c r="D22" i="16" s="1"/>
  <c r="D23" i="16" s="1"/>
  <c r="N170" i="4"/>
  <c r="N169" i="4" s="1"/>
  <c r="N34" i="4" s="1"/>
  <c r="N36" i="4" s="1"/>
  <c r="K311" i="4"/>
  <c r="K316" i="4" s="1"/>
  <c r="K51" i="4" s="1"/>
  <c r="H23" i="6"/>
  <c r="J52" i="4"/>
  <c r="E36" i="16"/>
  <c r="E38" i="16" s="1"/>
  <c r="E39" i="16" s="1"/>
  <c r="E22" i="16" s="1"/>
  <c r="E23" i="16" s="1"/>
  <c r="I263" i="4"/>
  <c r="I81" i="4"/>
  <c r="I79" i="4" s="1"/>
  <c r="I77" i="4" s="1"/>
  <c r="I90" i="4" s="1"/>
  <c r="I33" i="4"/>
  <c r="G7" i="6" s="1"/>
  <c r="W41" i="6" s="1"/>
  <c r="H17" i="5"/>
  <c r="H4" i="11"/>
  <c r="H4" i="12" s="1"/>
  <c r="C61" i="12" s="1"/>
  <c r="C63" i="12" s="1"/>
  <c r="P42" i="10"/>
  <c r="H24" i="5"/>
  <c r="N47" i="4"/>
  <c r="N48" i="4" s="1"/>
  <c r="N71" i="4"/>
  <c r="H5" i="14" s="1"/>
  <c r="H5" i="15" s="1"/>
  <c r="N117" i="4"/>
  <c r="N118" i="4" s="1"/>
  <c r="N16" i="4" s="1"/>
  <c r="K10" i="6"/>
  <c r="M19" i="4"/>
  <c r="L91" i="4"/>
  <c r="L21" i="4"/>
  <c r="L23" i="4" s="1"/>
  <c r="F3" i="12"/>
  <c r="F8" i="12" s="1"/>
  <c r="F8" i="11"/>
  <c r="F3" i="13"/>
  <c r="F8" i="13" s="1"/>
  <c r="K52" i="4" l="1"/>
  <c r="I13" i="6"/>
  <c r="Y45" i="6" s="1"/>
  <c r="D12" i="16"/>
  <c r="D13" i="16" s="1"/>
  <c r="I23" i="6"/>
  <c r="L311" i="4"/>
  <c r="F36" i="16"/>
  <c r="F38" i="16" s="1"/>
  <c r="F39" i="16" s="1"/>
  <c r="F22" i="16" s="1"/>
  <c r="F23" i="16" s="1"/>
  <c r="K285" i="4"/>
  <c r="E12" i="16"/>
  <c r="E13" i="16" s="1"/>
  <c r="G8" i="6"/>
  <c r="W42" i="6" s="1"/>
  <c r="J80" i="4"/>
  <c r="I37" i="4"/>
  <c r="G22" i="6" s="1"/>
  <c r="C57" i="11"/>
  <c r="C59" i="11" s="1"/>
  <c r="C61" i="11" s="1"/>
  <c r="I10" i="11" s="1"/>
  <c r="I18" i="11" s="1"/>
  <c r="H4" i="13"/>
  <c r="J4" i="13" s="1"/>
  <c r="P43" i="10"/>
  <c r="F14" i="13"/>
  <c r="F24" i="13" s="1"/>
  <c r="F13" i="13"/>
  <c r="F19" i="13" s="1"/>
  <c r="L10" i="6"/>
  <c r="N19" i="4"/>
  <c r="F14" i="11"/>
  <c r="F18" i="11"/>
  <c r="M133" i="4"/>
  <c r="M20" i="4" s="1"/>
  <c r="G3" i="11"/>
  <c r="L59" i="4"/>
  <c r="L63" i="4" s="1"/>
  <c r="J21" i="6"/>
  <c r="L312" i="4"/>
  <c r="L92" i="4"/>
  <c r="L270" i="4"/>
  <c r="L72" i="4" s="1"/>
  <c r="G35" i="16"/>
  <c r="L277" i="4"/>
  <c r="F13" i="12"/>
  <c r="F19" i="12" s="1"/>
  <c r="F14" i="12"/>
  <c r="F24" i="12" s="1"/>
  <c r="I10" i="12"/>
  <c r="I14" i="12" s="1"/>
  <c r="I24" i="12" s="1"/>
  <c r="C69" i="12"/>
  <c r="Z39" i="6" l="1"/>
  <c r="G12" i="6"/>
  <c r="W44" i="6" s="1"/>
  <c r="L73" i="4"/>
  <c r="L313" i="4" s="1"/>
  <c r="L275" i="4"/>
  <c r="F12" i="16"/>
  <c r="F13" i="16" s="1"/>
  <c r="I88" i="4"/>
  <c r="G15" i="6"/>
  <c r="P44" i="10"/>
  <c r="M21" i="4"/>
  <c r="M23" i="4" s="1"/>
  <c r="M91" i="4"/>
  <c r="G3" i="12"/>
  <c r="G8" i="12" s="1"/>
  <c r="G3" i="13"/>
  <c r="G8" i="13" s="1"/>
  <c r="G8" i="11"/>
  <c r="H3" i="11"/>
  <c r="N133" i="4"/>
  <c r="N20" i="4" s="1"/>
  <c r="E85" i="13"/>
  <c r="E88" i="13" s="1"/>
  <c r="E90" i="13" s="1"/>
  <c r="I10" i="13" s="1"/>
  <c r="I14" i="13" s="1"/>
  <c r="I24" i="13" s="1"/>
  <c r="F28" i="5"/>
  <c r="L314" i="4"/>
  <c r="F3" i="14"/>
  <c r="F6" i="14" s="1"/>
  <c r="F3" i="15"/>
  <c r="F6" i="15" s="1"/>
  <c r="L75" i="4" l="1"/>
  <c r="F27" i="5"/>
  <c r="L316" i="4"/>
  <c r="L51" i="4" s="1"/>
  <c r="P45" i="10"/>
  <c r="G13" i="13"/>
  <c r="G19" i="13" s="1"/>
  <c r="G14" i="13"/>
  <c r="G24" i="13" s="1"/>
  <c r="N21" i="4"/>
  <c r="N23" i="4" s="1"/>
  <c r="N91" i="4"/>
  <c r="G14" i="12"/>
  <c r="G24" i="12" s="1"/>
  <c r="G13" i="12"/>
  <c r="G19" i="12" s="1"/>
  <c r="F12" i="15"/>
  <c r="F22" i="15" s="1"/>
  <c r="F11" i="15"/>
  <c r="F17" i="15" s="1"/>
  <c r="H8" i="11"/>
  <c r="H3" i="12"/>
  <c r="H8" i="12" s="1"/>
  <c r="H3" i="13"/>
  <c r="F12" i="14"/>
  <c r="F16" i="14"/>
  <c r="G18" i="11"/>
  <c r="G14" i="11"/>
  <c r="H35" i="16"/>
  <c r="M277" i="4"/>
  <c r="M59" i="4"/>
  <c r="M63" i="4" s="1"/>
  <c r="M92" i="4"/>
  <c r="M312" i="4"/>
  <c r="M270" i="4"/>
  <c r="M72" i="4" s="1"/>
  <c r="K21" i="6"/>
  <c r="M311" i="4" l="1"/>
  <c r="J13" i="6"/>
  <c r="Z45" i="6" s="1"/>
  <c r="AA39" i="6"/>
  <c r="M73" i="4"/>
  <c r="G27" i="5" s="1"/>
  <c r="M275" i="4"/>
  <c r="L285" i="4"/>
  <c r="J23" i="6"/>
  <c r="L52" i="4"/>
  <c r="G36" i="16"/>
  <c r="G38" i="16" s="1"/>
  <c r="G39" i="16" s="1"/>
  <c r="G22" i="16" s="1"/>
  <c r="G23" i="16" s="1"/>
  <c r="P46" i="10"/>
  <c r="H8" i="13"/>
  <c r="E73" i="13"/>
  <c r="E75" i="13" s="1"/>
  <c r="J3" i="13" s="1"/>
  <c r="J8" i="13" s="1"/>
  <c r="E77" i="13" s="1"/>
  <c r="E79" i="13" s="1"/>
  <c r="F82" i="13" s="1"/>
  <c r="L21" i="6"/>
  <c r="N312" i="4"/>
  <c r="N270" i="4"/>
  <c r="N72" i="4" s="1"/>
  <c r="N59" i="4"/>
  <c r="N63" i="4" s="1"/>
  <c r="I35" i="16"/>
  <c r="N277" i="4"/>
  <c r="D52" i="15"/>
  <c r="D54" i="15" s="1"/>
  <c r="I8" i="15" s="1"/>
  <c r="I12" i="15" s="1"/>
  <c r="I22" i="15" s="1"/>
  <c r="N92" i="4"/>
  <c r="C50" i="14"/>
  <c r="C52" i="14" s="1"/>
  <c r="I8" i="14" s="1"/>
  <c r="I16" i="14" s="1"/>
  <c r="G3" i="15"/>
  <c r="G6" i="15" s="1"/>
  <c r="G3" i="14"/>
  <c r="G6" i="14" s="1"/>
  <c r="H14" i="12"/>
  <c r="H24" i="12" s="1"/>
  <c r="C44" i="12" s="1"/>
  <c r="C46" i="12" s="1"/>
  <c r="C48" i="12" s="1"/>
  <c r="H13" i="12"/>
  <c r="H19" i="12" s="1"/>
  <c r="C51" i="12"/>
  <c r="D53" i="12" s="1"/>
  <c r="D55" i="12" s="1"/>
  <c r="G28" i="5"/>
  <c r="M314" i="4"/>
  <c r="H14" i="11"/>
  <c r="C49" i="11"/>
  <c r="D51" i="11" s="1"/>
  <c r="D53" i="11" s="1"/>
  <c r="I9" i="11" s="1"/>
  <c r="I14" i="11" s="1"/>
  <c r="H18" i="11"/>
  <c r="C39" i="11" s="1"/>
  <c r="C41" i="11" s="1"/>
  <c r="C43" i="11" s="1"/>
  <c r="C45" i="11" s="1"/>
  <c r="E44" i="13" s="1"/>
  <c r="AB39" i="6" l="1"/>
  <c r="I9" i="12"/>
  <c r="I13" i="12" s="1"/>
  <c r="I19" i="12" s="1"/>
  <c r="C37" i="12" s="1"/>
  <c r="C39" i="12" s="1"/>
  <c r="C41" i="12" s="1"/>
  <c r="M313" i="4"/>
  <c r="M316" i="4" s="1"/>
  <c r="M51" i="4" s="1"/>
  <c r="M75" i="4"/>
  <c r="N73" i="4"/>
  <c r="N75" i="4" s="1"/>
  <c r="N275" i="4"/>
  <c r="I9" i="13"/>
  <c r="I13" i="13" s="1"/>
  <c r="I19" i="13" s="1"/>
  <c r="G12" i="16"/>
  <c r="G13" i="16" s="1"/>
  <c r="P47" i="10"/>
  <c r="C30" i="11"/>
  <c r="C32" i="11" s="1"/>
  <c r="C34" i="11" s="1"/>
  <c r="C36" i="11" s="1"/>
  <c r="E39" i="13" s="1"/>
  <c r="C5" i="19"/>
  <c r="I43" i="12"/>
  <c r="E45" i="13"/>
  <c r="H3" i="15"/>
  <c r="H6" i="15" s="1"/>
  <c r="H3" i="14"/>
  <c r="H6" i="14" s="1"/>
  <c r="D46" i="15"/>
  <c r="E48" i="15" s="1"/>
  <c r="D50" i="15" s="1"/>
  <c r="I7" i="15" s="1"/>
  <c r="I11" i="15" s="1"/>
  <c r="I17" i="15" s="1"/>
  <c r="G11" i="15"/>
  <c r="G17" i="15" s="1"/>
  <c r="G12" i="15"/>
  <c r="G22" i="15" s="1"/>
  <c r="G16" i="14"/>
  <c r="G12" i="14"/>
  <c r="H28" i="5"/>
  <c r="N314" i="4"/>
  <c r="H14" i="13"/>
  <c r="H24" i="13" s="1"/>
  <c r="C44" i="13" s="1"/>
  <c r="C46" i="13" s="1"/>
  <c r="C48" i="13" s="1"/>
  <c r="H13" i="13"/>
  <c r="H19" i="13" s="1"/>
  <c r="N311" i="4" l="1"/>
  <c r="K13" i="6"/>
  <c r="AA45" i="6" s="1"/>
  <c r="H27" i="5"/>
  <c r="N313" i="4"/>
  <c r="N316" i="4" s="1"/>
  <c r="N51" i="4" s="1"/>
  <c r="G5" i="19"/>
  <c r="E5" i="19"/>
  <c r="C37" i="13"/>
  <c r="C39" i="13" s="1"/>
  <c r="C41" i="13" s="1"/>
  <c r="F39" i="13" s="1"/>
  <c r="P48" i="10"/>
  <c r="M285" i="4"/>
  <c r="K23" i="6"/>
  <c r="H36" i="16"/>
  <c r="H38" i="16" s="1"/>
  <c r="H39" i="16" s="1"/>
  <c r="M52" i="4"/>
  <c r="E40" i="13"/>
  <c r="I29" i="12"/>
  <c r="C4" i="19"/>
  <c r="Q4" i="19" s="1"/>
  <c r="F45" i="13"/>
  <c r="F44" i="13"/>
  <c r="Q5" i="19"/>
  <c r="H12" i="15"/>
  <c r="H22" i="15" s="1"/>
  <c r="C41" i="15" s="1"/>
  <c r="C43" i="15" s="1"/>
  <c r="H11" i="15"/>
  <c r="H17" i="15" s="1"/>
  <c r="C36" i="15" s="1"/>
  <c r="C38" i="15" s="1"/>
  <c r="H12" i="14"/>
  <c r="H16" i="14"/>
  <c r="C37" i="14" s="1"/>
  <c r="C39" i="14" s="1"/>
  <c r="C44" i="14"/>
  <c r="D46" i="14" s="1"/>
  <c r="C48" i="14" s="1"/>
  <c r="I7" i="14" s="1"/>
  <c r="I12" i="14" s="1"/>
  <c r="L23" i="6" l="1"/>
  <c r="L13" i="6"/>
  <c r="AB45" i="6" s="1"/>
  <c r="E4" i="19"/>
  <c r="G4" i="19"/>
  <c r="F40" i="13"/>
  <c r="I36" i="16"/>
  <c r="I38" i="16" s="1"/>
  <c r="I39" i="16" s="1"/>
  <c r="I42" i="16" s="1"/>
  <c r="J44" i="16" s="1"/>
  <c r="I12" i="16" s="1"/>
  <c r="I13" i="16" s="1"/>
  <c r="P49" i="10"/>
  <c r="N52" i="4"/>
  <c r="H12" i="16"/>
  <c r="H13" i="16" s="1"/>
  <c r="H22" i="16"/>
  <c r="H23" i="16" s="1"/>
  <c r="N285" i="4"/>
  <c r="C28" i="14"/>
  <c r="C30" i="14" s="1"/>
  <c r="C32" i="14" s="1"/>
  <c r="C7" i="19"/>
  <c r="Q7" i="19" s="1"/>
  <c r="H48" i="15"/>
  <c r="H36" i="15"/>
  <c r="C6" i="19"/>
  <c r="Q6" i="19" s="1"/>
  <c r="M5" i="19"/>
  <c r="H5" i="19"/>
  <c r="F5" i="19"/>
  <c r="L5" i="19"/>
  <c r="G7" i="19" l="1"/>
  <c r="E7" i="19"/>
  <c r="G6" i="19"/>
  <c r="E6" i="19"/>
  <c r="H48" i="16"/>
  <c r="H51" i="16" s="1"/>
  <c r="I22" i="16" s="1"/>
  <c r="I23" i="16" s="1"/>
  <c r="C14" i="16"/>
  <c r="C15" i="16" s="1"/>
  <c r="C16" i="16" s="1"/>
  <c r="P50" i="10"/>
  <c r="C35" i="14"/>
  <c r="F4" i="19"/>
  <c r="L4" i="19"/>
  <c r="M4" i="19"/>
  <c r="H4" i="19"/>
  <c r="C24" i="16" l="1"/>
  <c r="C25" i="16" s="1"/>
  <c r="C26" i="16" s="1"/>
  <c r="E15" i="19" s="1"/>
  <c r="L15" i="19" s="1"/>
  <c r="P51" i="10"/>
  <c r="F6" i="19"/>
  <c r="L6" i="19"/>
  <c r="M6" i="19"/>
  <c r="H6" i="19"/>
  <c r="M7" i="19"/>
  <c r="H7" i="19"/>
  <c r="F7" i="19"/>
  <c r="L7" i="19"/>
  <c r="G15" i="19" l="1"/>
  <c r="H15" i="19" s="1"/>
  <c r="L20" i="16"/>
  <c r="O7" i="19"/>
  <c r="P52" i="10"/>
  <c r="N7" i="19"/>
  <c r="M15" i="19" l="1"/>
  <c r="O15" i="19" s="1"/>
  <c r="O16" i="19" s="1"/>
  <c r="S18" i="19" s="1"/>
  <c r="F15" i="19"/>
  <c r="Q15" i="19" s="1"/>
  <c r="Q16" i="19" s="1"/>
  <c r="S17" i="19" s="1"/>
  <c r="P53" i="10"/>
  <c r="N15" i="19" l="1"/>
  <c r="N16" i="19" s="1"/>
  <c r="S15" i="19" s="1"/>
  <c r="L21" i="19" s="1"/>
  <c r="P54" i="10"/>
  <c r="N19" i="19" l="1"/>
  <c r="P55" i="10"/>
  <c r="P56" i="10" l="1"/>
  <c r="P57" i="10" l="1"/>
  <c r="P58" i="10" l="1"/>
  <c r="P59" i="10" l="1"/>
  <c r="P60" i="10" l="1"/>
  <c r="P61" i="10" l="1"/>
  <c r="P62" i="10" l="1"/>
  <c r="P63" i="10" l="1"/>
  <c r="P64" i="10" l="1"/>
  <c r="P65" i="10" l="1"/>
  <c r="J157" i="4"/>
  <c r="J31" i="4" s="1"/>
  <c r="D15" i="5" s="1"/>
  <c r="K156" i="4"/>
  <c r="L156" i="4" s="1"/>
  <c r="M156" i="4" s="1"/>
  <c r="K157" i="4" l="1"/>
  <c r="K31" i="4" s="1"/>
  <c r="E15" i="5" s="1"/>
  <c r="M157" i="4"/>
  <c r="M31" i="4" s="1"/>
  <c r="N156" i="4"/>
  <c r="N157" i="4" s="1"/>
  <c r="N31" i="4" s="1"/>
  <c r="L157" i="4"/>
  <c r="L31" i="4" s="1"/>
  <c r="H28" i="6"/>
  <c r="H26" i="6" s="1"/>
  <c r="J286" i="4"/>
  <c r="J287" i="4" s="1"/>
  <c r="J290" i="4" s="1"/>
  <c r="J28" i="4" s="1"/>
  <c r="K286" i="4" l="1"/>
  <c r="K287" i="4" s="1"/>
  <c r="K290" i="4" s="1"/>
  <c r="K28" i="4" s="1"/>
  <c r="K33" i="4" s="1"/>
  <c r="I28" i="6"/>
  <c r="I26" i="6" s="1"/>
  <c r="L286" i="4"/>
  <c r="L287" i="4" s="1"/>
  <c r="L290" i="4" s="1"/>
  <c r="L28" i="4" s="1"/>
  <c r="F15" i="5"/>
  <c r="J28" i="6"/>
  <c r="J26" i="6" s="1"/>
  <c r="H15" i="5"/>
  <c r="N286" i="4"/>
  <c r="N287" i="4" s="1"/>
  <c r="N290" i="4" s="1"/>
  <c r="N28" i="4" s="1"/>
  <c r="L28" i="6"/>
  <c r="L26" i="6" s="1"/>
  <c r="K28" i="6"/>
  <c r="K26" i="6" s="1"/>
  <c r="G15" i="5"/>
  <c r="M286" i="4"/>
  <c r="M287" i="4" s="1"/>
  <c r="M290" i="4" s="1"/>
  <c r="M28" i="4" s="1"/>
  <c r="J81" i="4"/>
  <c r="J33" i="4"/>
  <c r="J87" i="4"/>
  <c r="K87" i="4" l="1"/>
  <c r="K263" i="4" s="1"/>
  <c r="K81" i="4"/>
  <c r="L80" i="4" s="1"/>
  <c r="K37" i="4"/>
  <c r="I22" i="6" s="1"/>
  <c r="I8" i="6"/>
  <c r="Y42" i="6" s="1"/>
  <c r="I7" i="6"/>
  <c r="Y41" i="6" s="1"/>
  <c r="K80" i="4"/>
  <c r="K79" i="4" s="1"/>
  <c r="K77" i="4" s="1"/>
  <c r="J79" i="4"/>
  <c r="J77" i="4" s="1"/>
  <c r="J90" i="4" s="1"/>
  <c r="M33" i="4"/>
  <c r="M81" i="4"/>
  <c r="M87" i="4"/>
  <c r="N87" i="4"/>
  <c r="N33" i="4"/>
  <c r="N81" i="4"/>
  <c r="L87" i="4"/>
  <c r="L81" i="4"/>
  <c r="L33" i="4"/>
  <c r="J212" i="4"/>
  <c r="J263" i="4"/>
  <c r="H7" i="6"/>
  <c r="X41" i="6" s="1"/>
  <c r="J37" i="4"/>
  <c r="H22" i="6" s="1"/>
  <c r="H8" i="6"/>
  <c r="X42" i="6" s="1"/>
  <c r="K212" i="4" l="1"/>
  <c r="K90" i="4"/>
  <c r="L212" i="4"/>
  <c r="L263" i="4"/>
  <c r="M212" i="4"/>
  <c r="M263" i="4"/>
  <c r="N80" i="4"/>
  <c r="N79" i="4" s="1"/>
  <c r="N77" i="4" s="1"/>
  <c r="N90" i="4" s="1"/>
  <c r="L37" i="4"/>
  <c r="J22" i="6" s="1"/>
  <c r="J8" i="6"/>
  <c r="Z42" i="6" s="1"/>
  <c r="J7" i="6"/>
  <c r="Z41" i="6" s="1"/>
  <c r="L7" i="6"/>
  <c r="AB41" i="6" s="1"/>
  <c r="N37" i="4"/>
  <c r="L22" i="6" s="1"/>
  <c r="L8" i="6"/>
  <c r="AB42" i="6" s="1"/>
  <c r="K7" i="6"/>
  <c r="AA41" i="6" s="1"/>
  <c r="K8" i="6"/>
  <c r="AA42" i="6" s="1"/>
  <c r="M37" i="4"/>
  <c r="K22" i="6" s="1"/>
  <c r="K88" i="4"/>
  <c r="I15" i="6"/>
  <c r="I12" i="6"/>
  <c r="Y44" i="6" s="1"/>
  <c r="H15" i="6"/>
  <c r="J88" i="4"/>
  <c r="H12" i="6"/>
  <c r="X44" i="6" s="1"/>
  <c r="L79" i="4"/>
  <c r="L77" i="4" s="1"/>
  <c r="L90" i="4" s="1"/>
  <c r="M80" i="4"/>
  <c r="M79" i="4" s="1"/>
  <c r="M77" i="4" s="1"/>
  <c r="N212" i="4"/>
  <c r="N263" i="4"/>
  <c r="M90" i="4" l="1"/>
  <c r="M88" i="4"/>
  <c r="K15" i="6"/>
  <c r="K12" i="6"/>
  <c r="AA44" i="6" s="1"/>
  <c r="L15" i="6"/>
  <c r="N88" i="4"/>
  <c r="L12" i="6"/>
  <c r="AB44" i="6" s="1"/>
  <c r="J12" i="6"/>
  <c r="Z44" i="6" s="1"/>
  <c r="J15" i="6"/>
  <c r="L88" i="4"/>
  <c r="H57" i="4" l="1"/>
  <c r="I57" i="4" s="1"/>
  <c r="J57" i="4" s="1"/>
  <c r="K57" i="4" s="1"/>
  <c r="L57" i="4" s="1"/>
  <c r="M57" i="4" s="1"/>
  <c r="N57" i="4" s="1"/>
  <c r="H26" i="4"/>
  <c r="I26" i="4" s="1"/>
  <c r="J26" i="4" s="1"/>
  <c r="K26" i="4" s="1"/>
  <c r="L26" i="4" s="1"/>
  <c r="M26" i="4" s="1"/>
  <c r="N26" i="4" s="1"/>
  <c r="I10" i="4"/>
  <c r="J10" i="4" s="1"/>
  <c r="K10" i="4" s="1"/>
  <c r="L10" i="4" s="1"/>
  <c r="M10" i="4" s="1"/>
  <c r="N10" i="4" s="1"/>
  <c r="G10" i="4"/>
  <c r="F10" i="4" l="1"/>
  <c r="F85" i="4" s="1"/>
  <c r="G85" i="4"/>
  <c r="G26" i="4"/>
  <c r="G57" i="4"/>
  <c r="F57" i="4"/>
  <c r="E10" i="4"/>
  <c r="E85" i="4" s="1"/>
  <c r="F26" i="4"/>
  <c r="I196" i="4"/>
  <c r="J196" i="4" s="1"/>
  <c r="K196" i="4" s="1"/>
  <c r="L196" i="4" s="1"/>
  <c r="M196" i="4" s="1"/>
  <c r="N196" i="4" s="1"/>
  <c r="E57" i="4" l="1"/>
  <c r="E26" i="4"/>
  <c r="D10" i="4"/>
  <c r="D85" i="4" s="1"/>
  <c r="B5" i="6" l="1"/>
  <c r="C5" i="6" s="1"/>
  <c r="D26" i="4"/>
  <c r="D57" i="4"/>
  <c r="D5" i="6" l="1"/>
  <c r="S35" i="6"/>
  <c r="E5" i="6" l="1"/>
  <c r="T35" i="6"/>
  <c r="F5" i="6" l="1"/>
  <c r="U35" i="6"/>
  <c r="G5" i="6" l="1"/>
  <c r="V35" i="6"/>
  <c r="H5" i="6" l="1"/>
  <c r="W35" i="6"/>
  <c r="I5" i="6" l="1"/>
  <c r="X35" i="6"/>
  <c r="J5" i="6" l="1"/>
  <c r="Y35" i="6"/>
  <c r="K5" i="6" l="1"/>
  <c r="Z35" i="6"/>
  <c r="L5" i="6" l="1"/>
  <c r="AB35" i="6" s="1"/>
  <c r="AA3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<sst xmlns="http://schemas.openxmlformats.org/spreadsheetml/2006/main" count="1285" uniqueCount="825">
  <si>
    <t>Income Statement</t>
  </si>
  <si>
    <t xml:space="preserve">For the Fiscal Period Ending
</t>
  </si>
  <si>
    <t>Currency</t>
  </si>
  <si>
    <t>USD</t>
  </si>
  <si>
    <t xml:space="preserve"> </t>
  </si>
  <si>
    <t>Revenue</t>
  </si>
  <si>
    <t>Other Revenue</t>
  </si>
  <si>
    <t>-</t>
  </si>
  <si>
    <t xml:space="preserve">  Total Revenue</t>
  </si>
  <si>
    <t>Cost Of Goods Sold</t>
  </si>
  <si>
    <t xml:space="preserve">  Gross Profit</t>
  </si>
  <si>
    <t>Selling General &amp; Admin Exp.</t>
  </si>
  <si>
    <t>R &amp; D Exp.</t>
  </si>
  <si>
    <t>Depreciation &amp; Amort.</t>
  </si>
  <si>
    <t>Amort. of Goodwill and Intangibles</t>
  </si>
  <si>
    <t>Other Operating Expense/(Income)</t>
  </si>
  <si>
    <t xml:space="preserve">  Other Operating Exp., Total</t>
  </si>
  <si>
    <t xml:space="preserve">  Operating Income</t>
  </si>
  <si>
    <t>Interest Expense</t>
  </si>
  <si>
    <t>Interest and Invest. Income</t>
  </si>
  <si>
    <t xml:space="preserve">  Net Interest Exp.</t>
  </si>
  <si>
    <t>Income/(Loss) from Affiliates</t>
  </si>
  <si>
    <t>Currency Exchange Gains (Loss)</t>
  </si>
  <si>
    <t>Other Non-Operating Inc. (Exp.)</t>
  </si>
  <si>
    <t xml:space="preserve">  EBT Excl. Unusual Items</t>
  </si>
  <si>
    <t>Merger &amp; Related Restruct. Charges</t>
  </si>
  <si>
    <t>Impairment of Goodwill</t>
  </si>
  <si>
    <t>Gain (Loss) On Sale Of Invest.</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</si>
  <si>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</si>
  <si>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</si>
  <si>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</si>
  <si>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</si>
  <si>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</si>
  <si>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</si>
  <si>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</si>
  <si>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</si>
  <si>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</si>
  <si>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</si>
  <si>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</si>
  <si>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</si>
  <si>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</si>
  <si>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</si>
  <si>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</si>
  <si>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</si>
  <si>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</si>
  <si>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</si>
  <si>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</si>
  <si>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</si>
  <si>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</si>
  <si>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</si>
  <si>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</si>
  <si>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</si>
  <si>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</si>
  <si>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</si>
  <si>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EBITDA</t>
  </si>
  <si>
    <t>EBITA</t>
  </si>
  <si>
    <t>EBIT</t>
  </si>
  <si>
    <t>EBITDAR</t>
  </si>
  <si>
    <t>Effective Tax Rate %</t>
  </si>
  <si>
    <t>Current Domestic Taxes</t>
  </si>
  <si>
    <t>Current Foreign Taxes</t>
  </si>
  <si>
    <t>Total Current Taxes</t>
  </si>
  <si>
    <t>Total Deferred Taxes</t>
  </si>
  <si>
    <t>Normalized Net Income</t>
  </si>
  <si>
    <t>Filing Date</t>
  </si>
  <si>
    <t>Restatement Type</t>
  </si>
  <si>
    <t>Calculation Type</t>
  </si>
  <si>
    <t>Supplemental Operating Expense Items</t>
  </si>
  <si>
    <t>Net Rental Exp.</t>
  </si>
  <si>
    <t>Imputed Oper. Lease Interest Exp.</t>
  </si>
  <si>
    <t>Imputed Oper. Lease Depreciation</t>
  </si>
  <si>
    <t>Stock-Based Comp., Unallocated</t>
  </si>
  <si>
    <t xml:space="preserve">  Stock-Based Comp., Total</t>
  </si>
  <si>
    <t>Note: For multiple class companies, per share items are primary class equivalent, and for foreign companies listed as primary ADRs, per share items are ADR-equivalent.</t>
  </si>
  <si>
    <t xml:space="preserve">
               </t>
  </si>
  <si>
    <t>Balance Sheet</t>
  </si>
  <si>
    <t xml:space="preserve">Balance Sheet as of:
</t>
  </si>
  <si>
    <t>ASSETS</t>
  </si>
  <si>
    <t>Cash And Equivalents</t>
  </si>
  <si>
    <t xml:space="preserve">  Total Cash &amp; ST Investments</t>
  </si>
  <si>
    <t>Accounts Receivable</t>
  </si>
  <si>
    <t xml:space="preserve">  Total Receivables</t>
  </si>
  <si>
    <t>Inventory</t>
  </si>
  <si>
    <t>Other Current Assets</t>
  </si>
  <si>
    <t xml:space="preserve">  Total Current Assets</t>
  </si>
  <si>
    <t>Gross Property, Plant &amp; Equipment</t>
  </si>
  <si>
    <t>Accumulated Depreciation</t>
  </si>
  <si>
    <t xml:space="preserve">  Net Property, Plant &amp; Equipment</t>
  </si>
  <si>
    <t>Goodwill</t>
  </si>
  <si>
    <t>Other Intangibles</t>
  </si>
  <si>
    <t>Deferred Tax Assets, LT</t>
  </si>
  <si>
    <t>Other Long-Term Assets</t>
  </si>
  <si>
    <t>Total Assets</t>
  </si>
  <si>
    <t>LIABILITIES</t>
  </si>
  <si>
    <t>Accounts Payable</t>
  </si>
  <si>
    <t>Accrued Exp.</t>
  </si>
  <si>
    <t>Curr. Port. of LT Debt</t>
  </si>
  <si>
    <t>Curr. Port. of Leases</t>
  </si>
  <si>
    <t>Curr. Income Taxes Payable</t>
  </si>
  <si>
    <t>Other Current Liabilities</t>
  </si>
  <si>
    <t xml:space="preserve">  Total Current Liabilities</t>
  </si>
  <si>
    <t>Long-Term Debt</t>
  </si>
  <si>
    <t>Long-Term Leases</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</si>
  <si>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</si>
  <si>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</si>
  <si>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</si>
  <si>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</si>
  <si>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</si>
  <si>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</si>
  <si>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</si>
  <si>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</si>
  <si>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</si>
  <si>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</si>
  <si>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</si>
  <si>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</si>
  <si>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</si>
  <si>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</si>
  <si>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</si>
  <si>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</si>
  <si>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</si>
  <si>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</si>
  <si>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</si>
  <si>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</si>
  <si>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</si>
  <si>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Inventory Method</t>
  </si>
  <si>
    <t>Land</t>
  </si>
  <si>
    <t>Buildings</t>
  </si>
  <si>
    <t>Machinery</t>
  </si>
  <si>
    <t>Full Time Employees</t>
  </si>
  <si>
    <t>Note: For multiple class companies, total share counts are primary class equivalent, and for foreign companies listed as primary ADRs, total share counts are ADR-equivalent.</t>
  </si>
  <si>
    <t>Net Income</t>
  </si>
  <si>
    <t>Depreciation &amp; Amort., Total</t>
  </si>
  <si>
    <t>Other Amortization</t>
  </si>
  <si>
    <t>(Gain) Loss On Sale Of Invest.</t>
  </si>
  <si>
    <t>Asset Writedown &amp; Restructuring Costs</t>
  </si>
  <si>
    <t>Stock-Based Compensation</t>
  </si>
  <si>
    <t>Other Operating Activities</t>
  </si>
  <si>
    <t>Change in Acc. Receivable</t>
  </si>
  <si>
    <t>Change in Acc. Payable</t>
  </si>
  <si>
    <t>Change in Inc. Taxes</t>
  </si>
  <si>
    <t>Change in Other Net Operating Assets</t>
  </si>
  <si>
    <t xml:space="preserve">  Cash from Ops.</t>
  </si>
  <si>
    <t>Capital Expenditure</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</si>
  <si>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</si>
  <si>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</si>
  <si>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</si>
  <si>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</si>
  <si>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</si>
  <si>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</si>
  <si>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</si>
  <si>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</si>
  <si>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</si>
  <si>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</si>
  <si>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</si>
  <si>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</si>
  <si>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</si>
  <si>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</si>
  <si>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Common Dividends Paid</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</si>
  <si>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</si>
  <si>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</si>
  <si>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</si>
  <si>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</si>
  <si>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</si>
  <si>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</si>
  <si>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</si>
  <si>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</si>
  <si>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</si>
  <si>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Unlevered Free Cash Flow</t>
  </si>
  <si>
    <t>Change in Net Working Capital</t>
  </si>
  <si>
    <t>Net Debt Issued</t>
  </si>
  <si>
    <t>Financial Model ($ millions)</t>
  </si>
  <si>
    <t>Company name</t>
  </si>
  <si>
    <t>Ticker</t>
  </si>
  <si>
    <t>Share price as of valuation date</t>
  </si>
  <si>
    <t>Valuation date</t>
  </si>
  <si>
    <t>Most recent fiscal year-end date</t>
  </si>
  <si>
    <t xml:space="preserve">Income Statement </t>
  </si>
  <si>
    <t>Cost of goods sold (COGS)</t>
  </si>
  <si>
    <t>Gross Profit</t>
  </si>
  <si>
    <t>SG&amp;A and other indirect expenses</t>
  </si>
  <si>
    <t>Operating Profit</t>
  </si>
  <si>
    <t>Interest expense</t>
  </si>
  <si>
    <t>Other non-operating income (expense) except interest expense &amp; unusual</t>
  </si>
  <si>
    <t>Unusual items</t>
  </si>
  <si>
    <t>Earnings Before Tax</t>
  </si>
  <si>
    <t>Taxes</t>
  </si>
  <si>
    <t>Net income from continuing operations</t>
  </si>
  <si>
    <t>Other considerations (discontinued, noncontrolling, preferred dividends, etc.)</t>
  </si>
  <si>
    <t>Net income</t>
  </si>
  <si>
    <t xml:space="preserve">Balance Sheet </t>
  </si>
  <si>
    <t>Assets</t>
  </si>
  <si>
    <t>Cash &amp; equivalents</t>
  </si>
  <si>
    <t>Other nonoperating current assets</t>
  </si>
  <si>
    <t>Accounts receivable</t>
  </si>
  <si>
    <t>Other operating current assets</t>
  </si>
  <si>
    <t>Current Assets</t>
  </si>
  <si>
    <t>PP&amp;E</t>
  </si>
  <si>
    <t>Other long-term assets</t>
  </si>
  <si>
    <t>Long-term Assets</t>
  </si>
  <si>
    <t>Liabilities</t>
  </si>
  <si>
    <t>Accounts payable</t>
  </si>
  <si>
    <t>Short-term debt</t>
  </si>
  <si>
    <t>Current portion of long-term debt</t>
  </si>
  <si>
    <t>Other current liabilities</t>
  </si>
  <si>
    <t>Current Liabilities</t>
  </si>
  <si>
    <t>Long-term debt</t>
  </si>
  <si>
    <t>Other long-term liabilities</t>
  </si>
  <si>
    <t>Long-term liabilities</t>
  </si>
  <si>
    <t>Shareholders' Equity</t>
  </si>
  <si>
    <t>Total Shareholders' Equity</t>
  </si>
  <si>
    <t>Total Liabilities &amp; Shareholders' Equity</t>
  </si>
  <si>
    <t>Weighted Average Basic Shares Outstanding</t>
  </si>
  <si>
    <t>Statement of Cash Flows</t>
  </si>
  <si>
    <t>Cash Flow from Operating Activities</t>
  </si>
  <si>
    <t>Depreciation</t>
  </si>
  <si>
    <t>Amortization</t>
  </si>
  <si>
    <t>Other operating cash flow</t>
  </si>
  <si>
    <t>Cash from Operating</t>
  </si>
  <si>
    <t>Cash Flow from Investing Activities</t>
  </si>
  <si>
    <t>Capital expenditures (CAPEX)</t>
  </si>
  <si>
    <t>Other investing cash flow</t>
  </si>
  <si>
    <t>Cash from Investing</t>
  </si>
  <si>
    <t>Cash Flow from Financing Activities</t>
  </si>
  <si>
    <t>Net debt issued (repaid)</t>
  </si>
  <si>
    <t>Net equity issued (repurchased)</t>
  </si>
  <si>
    <t>Dividends</t>
  </si>
  <si>
    <t>Other financing cash flow</t>
  </si>
  <si>
    <t>Cash from Financing</t>
  </si>
  <si>
    <t>Other changes in cash</t>
  </si>
  <si>
    <t>N/A</t>
  </si>
  <si>
    <t>Net increase (decrease) in cash</t>
  </si>
  <si>
    <t>Opening cash balance</t>
  </si>
  <si>
    <t>Closing cash balance</t>
  </si>
  <si>
    <t>Supporting Work</t>
  </si>
  <si>
    <t>Check: cash &gt; 0</t>
  </si>
  <si>
    <t>Check: A - (L + E) = 0</t>
  </si>
  <si>
    <t>Check: CAPEX (in SCF) &lt; 0</t>
  </si>
  <si>
    <t>Check: (closing cash - beg cash) - (CF oper + CF inv + CF fin + CF other) = 0</t>
  </si>
  <si>
    <t>1 - profit margin</t>
  </si>
  <si>
    <t>EBITDA/revenue</t>
  </si>
  <si>
    <t>Historic Revenue</t>
  </si>
  <si>
    <t>Revenue growth</t>
  </si>
  <si>
    <t>Revenue growth weight</t>
  </si>
  <si>
    <t>Weights * % growth</t>
  </si>
  <si>
    <t>Sum of weights + adjustments</t>
  </si>
  <si>
    <t>Forecast revenue</t>
  </si>
  <si>
    <t>Cost of goods sold</t>
  </si>
  <si>
    <t>COGS/Revenue</t>
  </si>
  <si>
    <t>Weights * COGS/Revenue</t>
  </si>
  <si>
    <t>sum of weights</t>
  </si>
  <si>
    <t>Forecast cost of goods sold</t>
  </si>
  <si>
    <t>SG&amp;A</t>
  </si>
  <si>
    <t>SG&amp;A/Revenue</t>
  </si>
  <si>
    <t>Weight * SG&amp;A/Revenue</t>
  </si>
  <si>
    <t>Average SG&amp;A/revenue + adjustments</t>
  </si>
  <si>
    <t>Interest</t>
  </si>
  <si>
    <t>Total debt</t>
  </si>
  <si>
    <t>Implied interest rate</t>
  </si>
  <si>
    <t>Average implied interest rate</t>
  </si>
  <si>
    <t>Forecast total debt</t>
  </si>
  <si>
    <t>Forecast interest</t>
  </si>
  <si>
    <t>Non-operating income/ Revenue</t>
  </si>
  <si>
    <t>Average non-op inc/rev</t>
  </si>
  <si>
    <t>forecast non-operating income</t>
  </si>
  <si>
    <t>unusual items/revenue</t>
  </si>
  <si>
    <t>average unusual items/rev</t>
  </si>
  <si>
    <t>forecast unusual items</t>
  </si>
  <si>
    <t>effective tax rate</t>
  </si>
  <si>
    <t>average effective tax</t>
  </si>
  <si>
    <t>effective tax * EBT</t>
  </si>
  <si>
    <t>Other considerations</t>
  </si>
  <si>
    <t>Other considerations/Revenue</t>
  </si>
  <si>
    <t>average other considerations/revenue</t>
  </si>
  <si>
    <t>Forecast other considerations</t>
  </si>
  <si>
    <t>End of Income statement</t>
  </si>
  <si>
    <t>Balance Sheet (not including cash)</t>
  </si>
  <si>
    <t>Other nonoperating current assets/revenue</t>
  </si>
  <si>
    <t>Average other nonoperating current assets/revenue</t>
  </si>
  <si>
    <t>Receivables</t>
  </si>
  <si>
    <t>Receivables/revenue</t>
  </si>
  <si>
    <t>average Rec/rev</t>
  </si>
  <si>
    <t>Forecast Receivables</t>
  </si>
  <si>
    <t>Inventory/direct costs</t>
  </si>
  <si>
    <t>average inv/direct costs</t>
  </si>
  <si>
    <t>forecast inventory</t>
  </si>
  <si>
    <t>other operating current assets</t>
  </si>
  <si>
    <t>other operating current assets/revenue</t>
  </si>
  <si>
    <t>average other operating current assets/revenue</t>
  </si>
  <si>
    <t>forecast other operating current assets</t>
  </si>
  <si>
    <t>CAPEX</t>
  </si>
  <si>
    <t xml:space="preserve">Forecast PP&amp;E </t>
  </si>
  <si>
    <t>Forecast Depreciation</t>
  </si>
  <si>
    <t>Forecast CAPEX</t>
  </si>
  <si>
    <t>Other long term assets</t>
  </si>
  <si>
    <t>other long term assets/revenue</t>
  </si>
  <si>
    <t>Weights</t>
  </si>
  <si>
    <t>Weight times percent</t>
  </si>
  <si>
    <t>Sum of weight* percent</t>
  </si>
  <si>
    <t>forecast other long term assets</t>
  </si>
  <si>
    <t>Accounts payable/COGS</t>
  </si>
  <si>
    <t>average payable/cogs</t>
  </si>
  <si>
    <t>Forecast payables</t>
  </si>
  <si>
    <t>average short-term debt</t>
  </si>
  <si>
    <t>Average short term debt multiplier</t>
  </si>
  <si>
    <t>Forecast short term debt</t>
  </si>
  <si>
    <t>Current portion of long term debt</t>
  </si>
  <si>
    <t>other current liabilities/revenue</t>
  </si>
  <si>
    <t>average ocl/revenue</t>
  </si>
  <si>
    <t>Long term debt</t>
  </si>
  <si>
    <t>Change in long term debt</t>
  </si>
  <si>
    <t>Average change in long term debt</t>
  </si>
  <si>
    <t>Forecast additional long term debt</t>
  </si>
  <si>
    <t>Forecast long term debt</t>
  </si>
  <si>
    <t>Cash</t>
  </si>
  <si>
    <t>Other long term liabilities</t>
  </si>
  <si>
    <t>other long term liabilities/revenue</t>
  </si>
  <si>
    <t>Average other long term liabilites/revenue</t>
  </si>
  <si>
    <t>forecast other long term liabilites</t>
  </si>
  <si>
    <t>End of Balance Sheet</t>
  </si>
  <si>
    <t>Start of SoCF</t>
  </si>
  <si>
    <t>Depreciation/Prior year PP&amp;E</t>
  </si>
  <si>
    <t>average dep/rev plus adjustment</t>
  </si>
  <si>
    <t>forecast depreciation</t>
  </si>
  <si>
    <t>Amortization/revenue</t>
  </si>
  <si>
    <t>Average amort/rev</t>
  </si>
  <si>
    <t>forecast amort</t>
  </si>
  <si>
    <t>oocf/rev</t>
  </si>
  <si>
    <t>weight times oocf/rev</t>
  </si>
  <si>
    <t>weighted average</t>
  </si>
  <si>
    <t>forecast oocf</t>
  </si>
  <si>
    <t>Capital expenditures (CAPEX)/revenue</t>
  </si>
  <si>
    <t>Average capex/rev</t>
  </si>
  <si>
    <t>forecast capex</t>
  </si>
  <si>
    <t>oicf/revenue</t>
  </si>
  <si>
    <t>weights * oicf/revenue</t>
  </si>
  <si>
    <t>forecast oicf</t>
  </si>
  <si>
    <t>weight*net equity/Net Income</t>
  </si>
  <si>
    <t>Weighted averages</t>
  </si>
  <si>
    <t>Sum of weights</t>
  </si>
  <si>
    <t>Forecast Net equity issued</t>
  </si>
  <si>
    <t>Dividend/NI</t>
  </si>
  <si>
    <t>average dividend/NI</t>
  </si>
  <si>
    <t>Dividend for forecast year</t>
  </si>
  <si>
    <t>Other financing cash flows</t>
  </si>
  <si>
    <t>ofcf/revenue</t>
  </si>
  <si>
    <t>forecast other financing cash flows</t>
  </si>
  <si>
    <t>Liabilities + equity</t>
  </si>
  <si>
    <t>All assets - cash</t>
  </si>
  <si>
    <t>Sum of L + E - A</t>
  </si>
  <si>
    <t>Closing equity</t>
  </si>
  <si>
    <t>Opening equity</t>
  </si>
  <si>
    <t>net income</t>
  </si>
  <si>
    <t>dividends</t>
  </si>
  <si>
    <t>effect of repurchases and issuances</t>
  </si>
  <si>
    <t>All other relevant items for changes in equity</t>
  </si>
  <si>
    <t>All other relevant items for changes in equity/sales</t>
  </si>
  <si>
    <t>average other relevant items/sales</t>
  </si>
  <si>
    <t>Average other relevant items * sales</t>
  </si>
  <si>
    <t>Forecast opening equity</t>
  </si>
  <si>
    <t>Forecast net income</t>
  </si>
  <si>
    <t>Forecast dividends</t>
  </si>
  <si>
    <t>Forecast effect of equity issued and repurchased</t>
  </si>
  <si>
    <t>Forecast all other relevant items for changes in equity</t>
  </si>
  <si>
    <t>Forecast closing equity</t>
  </si>
  <si>
    <t>Forecast year 1</t>
  </si>
  <si>
    <t>Forecast year 2</t>
  </si>
  <si>
    <t>Forecast year 3</t>
  </si>
  <si>
    <t>Forecast year 4</t>
  </si>
  <si>
    <t>Forecast year 5</t>
  </si>
  <si>
    <t>Forecast year 6</t>
  </si>
  <si>
    <t>Income statement</t>
  </si>
  <si>
    <t>Revenue growth rate</t>
  </si>
  <si>
    <t>COGS to sales</t>
  </si>
  <si>
    <t>SG&amp;A &amp; other indirect expenses to sales</t>
  </si>
  <si>
    <t>All other non-operating income (expense) to sales</t>
  </si>
  <si>
    <t>Unusual items to sales</t>
  </si>
  <si>
    <t>Effective tax rate</t>
  </si>
  <si>
    <t>Other considerations to sales</t>
  </si>
  <si>
    <t>Balance sheet</t>
  </si>
  <si>
    <t>Other nonoperating current assets to sales</t>
  </si>
  <si>
    <t>Receivables to sales</t>
  </si>
  <si>
    <t>Inventory to COGS</t>
  </si>
  <si>
    <t>Other operating current assets to sales</t>
  </si>
  <si>
    <t>Depreciation to sales (relevant for PP&amp;E and SCF)</t>
  </si>
  <si>
    <r>
      <t xml:space="preserve">CAPEX CF to sales (relevant for PP&amp;E and SCF) - </t>
    </r>
    <r>
      <rPr>
        <b/>
        <sz val="11"/>
        <color rgb="FF7030A0"/>
        <rFont val="Calibri"/>
        <family val="2"/>
      </rPr>
      <t>CF, so should be negative</t>
    </r>
  </si>
  <si>
    <t>Other long-term assets to sales</t>
  </si>
  <si>
    <t>Payables to COGS</t>
  </si>
  <si>
    <r>
      <rPr>
        <b/>
        <sz val="11"/>
        <color rgb="FFFF0000"/>
        <rFont val="Calibri"/>
        <family val="2"/>
      </rPr>
      <t>Amount</t>
    </r>
    <r>
      <rPr>
        <sz val="11"/>
        <color rgb="FF000000"/>
        <rFont val="Calibri"/>
        <family val="2"/>
      </rPr>
      <t xml:space="preserve"> of short-term debt</t>
    </r>
  </si>
  <si>
    <r>
      <rPr>
        <b/>
        <sz val="11"/>
        <color rgb="FFFF0000"/>
        <rFont val="Calibri"/>
        <family val="2"/>
      </rPr>
      <t>Amount</t>
    </r>
    <r>
      <rPr>
        <sz val="11"/>
        <color rgb="FF000000"/>
        <rFont val="Calibri"/>
        <family val="2"/>
      </rPr>
      <t xml:space="preserve"> of current portion of long-term debt</t>
    </r>
  </si>
  <si>
    <t>Other current liabilities to sales</t>
  </si>
  <si>
    <r>
      <rPr>
        <b/>
        <sz val="11"/>
        <color rgb="FFFF0000"/>
        <rFont val="Calibri"/>
        <family val="2"/>
      </rPr>
      <t>Amount</t>
    </r>
    <r>
      <rPr>
        <sz val="11"/>
        <color rgb="FF000000"/>
        <rFont val="Calibri"/>
        <family val="2"/>
      </rPr>
      <t xml:space="preserve"> of long-term debt in LT liabilities</t>
    </r>
  </si>
  <si>
    <t>Other long-term liabilities to sales</t>
  </si>
  <si>
    <r>
      <rPr>
        <b/>
        <sz val="11"/>
        <color rgb="FFFF0000"/>
        <rFont val="Calibri"/>
        <family val="2"/>
      </rPr>
      <t>Dividend</t>
    </r>
    <r>
      <rPr>
        <sz val="11"/>
        <color rgb="FF000000"/>
        <rFont val="Calibri"/>
        <family val="2"/>
      </rPr>
      <t xml:space="preserve"> cash flow in first forecast year</t>
    </r>
  </si>
  <si>
    <t>Dividend growth rate</t>
  </si>
  <si>
    <t>Net equity issued (repurchased) to sales</t>
  </si>
  <si>
    <t>All other relevant equity change items to sales</t>
  </si>
  <si>
    <t>Statement of cash flows</t>
  </si>
  <si>
    <t>Amortization to sales</t>
  </si>
  <si>
    <t>Other operating cash flow to sales</t>
  </si>
  <si>
    <t>Other investing cash flow to sales</t>
  </si>
  <si>
    <t>Other financing cash flow to sales</t>
  </si>
  <si>
    <t>Financial statement analysis for firm: historical &amp; forecast</t>
  </si>
  <si>
    <t>Historical period</t>
  </si>
  <si>
    <t>Forecast period</t>
  </si>
  <si>
    <t>Liquidity</t>
  </si>
  <si>
    <t>Current ratio</t>
  </si>
  <si>
    <t>Quick ratio</t>
  </si>
  <si>
    <t>Solvency</t>
  </si>
  <si>
    <t>Times interest earned (from EBIT)</t>
  </si>
  <si>
    <t>Leverage</t>
  </si>
  <si>
    <t>Debt to assets ratio</t>
  </si>
  <si>
    <t>Efficiency</t>
  </si>
  <si>
    <t>Asset turnover</t>
  </si>
  <si>
    <t>Receivables days</t>
  </si>
  <si>
    <t>Inventory days</t>
  </si>
  <si>
    <t>Payables days</t>
  </si>
  <si>
    <t>Working capital funding gap</t>
  </si>
  <si>
    <t>Profitability</t>
  </si>
  <si>
    <t>Operating profit margin</t>
  </si>
  <si>
    <t>Net profit margin</t>
  </si>
  <si>
    <t>Return on assets</t>
  </si>
  <si>
    <t>Return on invested capital based on a 22.5% tax rate</t>
  </si>
  <si>
    <t>Powered by Clearbit</t>
  </si>
  <si>
    <t>General Company Information</t>
  </si>
  <si>
    <t>Principal Office</t>
  </si>
  <si>
    <t>Website</t>
  </si>
  <si>
    <t>Phone</t>
  </si>
  <si>
    <t>Primary NAICS</t>
  </si>
  <si>
    <t>Closing Stock Price</t>
  </si>
  <si>
    <t>Number of Employees</t>
  </si>
  <si>
    <t>Incorporated</t>
  </si>
  <si>
    <t>Country</t>
  </si>
  <si>
    <t>Mergent Dividend Achiever</t>
  </si>
  <si>
    <t>United States</t>
  </si>
  <si>
    <t>Exchange and Ticker</t>
  </si>
  <si>
    <t>Number of Shareholders</t>
  </si>
  <si>
    <t>Primary SIC</t>
  </si>
  <si>
    <t>Business Summary</t>
  </si>
  <si>
    <t xml:space="preserve">* all results are stated in US Dollars </t>
  </si>
  <si>
    <t>Peer Grouping by:</t>
  </si>
  <si>
    <t>SIC</t>
  </si>
  <si>
    <t>Peer Scope:</t>
  </si>
  <si>
    <t>worldwide</t>
  </si>
  <si>
    <t>Company Name</t>
  </si>
  <si>
    <t>Current Ratio - latest</t>
  </si>
  <si>
    <t>Quick Ratio - latest</t>
  </si>
  <si>
    <t>Total Debt to Equity - latest</t>
  </si>
  <si>
    <t>Inventory Turnover - latest</t>
  </si>
  <si>
    <t>Operating Margin % - latest</t>
  </si>
  <si>
    <t>ROA % (Net) - latest</t>
  </si>
  <si>
    <t>ROI % (Operating) - latest</t>
  </si>
  <si>
    <t>ROE % (Net) - latest</t>
  </si>
  <si>
    <t>Total Asset Turnover - latest</t>
  </si>
  <si>
    <t>Net Profit Margin % - latest</t>
  </si>
  <si>
    <t>Interest Coverage - latest</t>
  </si>
  <si>
    <t>Target Country (United States)</t>
  </si>
  <si>
    <t>country</t>
  </si>
  <si>
    <t>25th percentile</t>
  </si>
  <si>
    <t>Median</t>
  </si>
  <si>
    <t>Mean</t>
  </si>
  <si>
    <t>75th percentile</t>
  </si>
  <si>
    <t>Financial statement analysis for firm: comparison with peers, most recent data</t>
  </si>
  <si>
    <t>Mergent variable</t>
  </si>
  <si>
    <t>Our variable</t>
  </si>
  <si>
    <t>My company</t>
  </si>
  <si>
    <t>Peer median</t>
  </si>
  <si>
    <t>Debt-to-equity</t>
  </si>
  <si>
    <t>Inventory turnover</t>
  </si>
  <si>
    <t>Return on invested capital</t>
  </si>
  <si>
    <t>Market value of equity</t>
  </si>
  <si>
    <t>If the interest coverage ratio (based on EBIT) is</t>
  </si>
  <si>
    <t>Weighted average basic shares outstanding (in millions, end of historical period)</t>
  </si>
  <si>
    <t>Greater than</t>
  </si>
  <si>
    <t>And equal to or less than</t>
  </si>
  <si>
    <t>Then rating is</t>
  </si>
  <si>
    <t>And spread is</t>
  </si>
  <si>
    <t>Price (as of valuation date)</t>
  </si>
  <si>
    <t>Infinity</t>
  </si>
  <si>
    <t>Aaa / AAA</t>
  </si>
  <si>
    <t>Market value of equity ($ millions)</t>
  </si>
  <si>
    <t>Aa2 / AA</t>
  </si>
  <si>
    <t>A1 / A+</t>
  </si>
  <si>
    <t>Market value of debt</t>
  </si>
  <si>
    <t>A2 / A</t>
  </si>
  <si>
    <t>Short-term debt (at end of historical period)</t>
  </si>
  <si>
    <t>A3 / A-</t>
  </si>
  <si>
    <t>Current portion of long-term debt (at end of historical period)</t>
  </si>
  <si>
    <t>Baa2 / BBB</t>
  </si>
  <si>
    <t>Long-term debt in long-term liabilities (at end of historical period)</t>
  </si>
  <si>
    <t>Ba1 / BB+</t>
  </si>
  <si>
    <t>Market value of debt ($ millions)</t>
  </si>
  <si>
    <t>Ba2 / BB</t>
  </si>
  <si>
    <t>B1 / B+</t>
  </si>
  <si>
    <t>Market value of debt &amp; equity</t>
  </si>
  <si>
    <t>B2 / B</t>
  </si>
  <si>
    <t>Market value of debt &amp; equity ($ millions)</t>
  </si>
  <si>
    <t>B3 / B-</t>
  </si>
  <si>
    <t>Caa / CCC</t>
  </si>
  <si>
    <t>Ca2 / CC</t>
  </si>
  <si>
    <t>Equity weight</t>
  </si>
  <si>
    <t>C2 / C</t>
  </si>
  <si>
    <t>Debt weight</t>
  </si>
  <si>
    <t>Negative infinity</t>
  </si>
  <si>
    <t>D2 / D</t>
  </si>
  <si>
    <t>Tax rate</t>
  </si>
  <si>
    <t>Tax rate (rounded to 2 decimal places)</t>
  </si>
  <si>
    <t>Average tax rate from 2019 - 2022</t>
  </si>
  <si>
    <t>Expected return of debt</t>
  </si>
  <si>
    <t>EBIT in last year of historical period</t>
  </si>
  <si>
    <t>Interest expense from debt in last year of historical period (as positive)</t>
  </si>
  <si>
    <t>Times interest earned = EBIT/interest</t>
  </si>
  <si>
    <t>Spread (according to times interest earned, external rating, or analyst judgement)</t>
  </si>
  <si>
    <t>Year debt is due</t>
  </si>
  <si>
    <t>Risk-free rate</t>
  </si>
  <si>
    <t>Expected return of firm's debt (not rounded)</t>
  </si>
  <si>
    <t>2nd method return on debt</t>
  </si>
  <si>
    <t>Expected return of firm's debt (rounded)</t>
  </si>
  <si>
    <t>Expected return of equity = RF + (β × market premium)</t>
  </si>
  <si>
    <t>Beta</t>
  </si>
  <si>
    <t>Market premium</t>
  </si>
  <si>
    <t>Expected return of firm's equity (not rounded)</t>
  </si>
  <si>
    <t>Expected return of firm's equity (rounded)</t>
  </si>
  <si>
    <t>WACC = [(E/V) × RE] + [(D/V) × (1 – Tc) × RD]</t>
  </si>
  <si>
    <t>1 - tax rate</t>
  </si>
  <si>
    <t>WACC (not rounded)</t>
  </si>
  <si>
    <t>WACC (rounded)</t>
  </si>
  <si>
    <t>&lt;1</t>
  </si>
  <si>
    <t>DCF Analysis</t>
  </si>
  <si>
    <t>Forecast yr 1</t>
  </si>
  <si>
    <t>Forecast yr 2</t>
  </si>
  <si>
    <t>Forecast yr 3</t>
  </si>
  <si>
    <t>Forecast yr 4</t>
  </si>
  <si>
    <t>Forecast yr 5</t>
  </si>
  <si>
    <t>Forecast yr 6</t>
  </si>
  <si>
    <t>Terminal</t>
  </si>
  <si>
    <t>FCFF &amp; Terminal Value</t>
  </si>
  <si>
    <t>EBIT × (1 - tax rate)</t>
  </si>
  <si>
    <t>Other cash flow from operating activities</t>
  </si>
  <si>
    <t>FCFF</t>
  </si>
  <si>
    <t>Terminal value (as a perpetuity)</t>
  </si>
  <si>
    <t>Terminal value (from a multiple)</t>
  </si>
  <si>
    <t>Years to discount</t>
  </si>
  <si>
    <t>Present values with terminal value as a perpetuity</t>
  </si>
  <si>
    <t>Present values with terminal value from a multiple</t>
  </si>
  <si>
    <t>Valuation Analysis</t>
  </si>
  <si>
    <t>Terminal growth rate</t>
  </si>
  <si>
    <t>WACC</t>
  </si>
  <si>
    <t>Expected return of equity</t>
  </si>
  <si>
    <t>Terminal EV/EBITDA</t>
  </si>
  <si>
    <t>Sourced from Damodaran</t>
  </si>
  <si>
    <t>Date of end of historical period</t>
  </si>
  <si>
    <t>Estimated enterprise value (at end of historical period)</t>
  </si>
  <si>
    <t>Value of net debt (at end of historical period)</t>
  </si>
  <si>
    <t>Estimated equity value (at end of historical period)</t>
  </si>
  <si>
    <t>Estimated price per share (at end of historical period)</t>
  </si>
  <si>
    <t>Share of year between end of historical period &amp; valuation date</t>
  </si>
  <si>
    <t>Estimated price per share (at valuation date)</t>
  </si>
  <si>
    <t>1+g</t>
  </si>
  <si>
    <t>FCFF(N+1)</t>
  </si>
  <si>
    <t>WACC-g</t>
  </si>
  <si>
    <t>FTV (Perp) = FFCFF(N+1)/WACC-g</t>
  </si>
  <si>
    <t>EBIT(N)</t>
  </si>
  <si>
    <t>D(N)</t>
  </si>
  <si>
    <t>A(N)</t>
  </si>
  <si>
    <t>EBITDA(N)</t>
  </si>
  <si>
    <t>exit multiple</t>
  </si>
  <si>
    <t>TV</t>
  </si>
  <si>
    <t>ST debt</t>
  </si>
  <si>
    <t>Current portion</t>
  </si>
  <si>
    <t>LT debt</t>
  </si>
  <si>
    <t>cash</t>
  </si>
  <si>
    <t>net debt</t>
  </si>
  <si>
    <t>EV as of valuation date (Price at valuation date * shares outstanding + net debt)</t>
  </si>
  <si>
    <t>Share of year expected for CF or TV</t>
  </si>
  <si>
    <t>Expected FCFF or TV (as a perpetuity)</t>
  </si>
  <si>
    <t>Expected FCFF or TV (from a multiple)</t>
  </si>
  <si>
    <t>Period</t>
  </si>
  <si>
    <t>What-If Analysis of DCF as a perpetuity</t>
  </si>
  <si>
    <t>Terminal Growth Rate</t>
  </si>
  <si>
    <t>Price at valuation date</t>
  </si>
  <si>
    <t>Estimated enterprise value (as of valuation date)</t>
  </si>
  <si>
    <t>Estimated equity value (as of valuation date)</t>
  </si>
  <si>
    <t>Estimated price per share (as of valuation date)</t>
  </si>
  <si>
    <t>What-If Analysis of DCF as a multiple</t>
  </si>
  <si>
    <t>Exit Multiple</t>
  </si>
  <si>
    <t>Normalized yr 6</t>
  </si>
  <si>
    <t>timing</t>
  </si>
  <si>
    <t xml:space="preserve">LTM EBIT </t>
  </si>
  <si>
    <t xml:space="preserve">LTM Total Revenue </t>
  </si>
  <si>
    <t>EBIT/sales</t>
  </si>
  <si>
    <t xml:space="preserve">LTM EBITDA </t>
  </si>
  <si>
    <t>*Fill in peer firms above the black cells and firm being valued below the black cells</t>
  </si>
  <si>
    <t xml:space="preserve">**Only fill in data for peers that are included in the peer group.  If you decide to drop any firms from the original peer group, do not include their data above.  Just leave the row blank.  If you add any firms to the original peer group, then include them here. </t>
  </si>
  <si>
    <t>***LTM EBIT &amp; LTM Total revenue obtained from market comps data</t>
  </si>
  <si>
    <t>Median peer EBIT/sales</t>
  </si>
  <si>
    <t>1-tax rate</t>
  </si>
  <si>
    <t>Median peer EBIT/sales to firm EBIT/sales</t>
  </si>
  <si>
    <t>EBIT * (1-tax rate)</t>
  </si>
  <si>
    <t>Median peer ebit/sales</t>
  </si>
  <si>
    <t>normalized ebit * 1- tax rate</t>
  </si>
  <si>
    <t>TV (Perp) = FCFF (N+1)/(WACC -g)</t>
  </si>
  <si>
    <t>FCFF (N+1)</t>
  </si>
  <si>
    <t>WACC - g</t>
  </si>
  <si>
    <t>TV(Perp) = FCFF(N+1)/WACC - g</t>
  </si>
  <si>
    <t>Dep</t>
  </si>
  <si>
    <t>Amort</t>
  </si>
  <si>
    <t>exit mult</t>
  </si>
  <si>
    <t>Last historic period</t>
  </si>
  <si>
    <t>short term debt</t>
  </si>
  <si>
    <t xml:space="preserve">current portion </t>
  </si>
  <si>
    <t>long term debt</t>
  </si>
  <si>
    <t>net debt (total debt - cash)</t>
  </si>
  <si>
    <t>FCFE &amp; Terminal Value</t>
  </si>
  <si>
    <t>Cash flows from operating activities</t>
  </si>
  <si>
    <t>Net change in debt</t>
  </si>
  <si>
    <t>FCFE</t>
  </si>
  <si>
    <t>1+return on equity ^ yearfrac</t>
  </si>
  <si>
    <t>Terminal P/E</t>
  </si>
  <si>
    <t>FCFE(N+1)</t>
  </si>
  <si>
    <t>RE-g</t>
  </si>
  <si>
    <t>TV perp</t>
  </si>
  <si>
    <t>NI</t>
  </si>
  <si>
    <t>Exit mult</t>
  </si>
  <si>
    <t>TV mult</t>
  </si>
  <si>
    <t>Expected FCFE or TV (as a perpetuity)</t>
  </si>
  <si>
    <t>Expected FCFE or TV (from a multiple)</t>
  </si>
  <si>
    <t>What-If Analysis of DCF-FCFE as a perpetuity</t>
  </si>
  <si>
    <t>Terminal Growth</t>
  </si>
  <si>
    <t>Estimated equity value (at valuation date)</t>
  </si>
  <si>
    <t>Cost of Equity</t>
  </si>
  <si>
    <t>Price at valuation</t>
  </si>
  <si>
    <t>What-If Analysis of DCF-FCFE as a Multiple</t>
  </si>
  <si>
    <t>Cost of equity</t>
  </si>
  <si>
    <t>Number of shares (at end of historical period)</t>
  </si>
  <si>
    <t>Terminal growth</t>
  </si>
  <si>
    <t>Persisitence factor (ω)</t>
  </si>
  <si>
    <t>between 0 and 1, with 1 being high persistence</t>
  </si>
  <si>
    <t>Approach 1: forecast RIs &amp; assume constant growth for subsequent RIs</t>
  </si>
  <si>
    <t>BVE0</t>
  </si>
  <si>
    <t>RI1</t>
  </si>
  <si>
    <t>RI2</t>
  </si>
  <si>
    <t>RI3</t>
  </si>
  <si>
    <t>RI4</t>
  </si>
  <si>
    <t>RI5</t>
  </si>
  <si>
    <t>Discount periods</t>
  </si>
  <si>
    <t>Amount</t>
  </si>
  <si>
    <t>Present value of amount</t>
  </si>
  <si>
    <t>Market value of equity as of end of historical period</t>
  </si>
  <si>
    <t>Estimated share price as of end of historical period</t>
  </si>
  <si>
    <t>Estimated share price at valuation date</t>
  </si>
  <si>
    <t>Approach 2: forecast RIs &amp; assume persistent factor for subsequent RIs</t>
  </si>
  <si>
    <t>Val Cont RI</t>
  </si>
  <si>
    <t>Persistence (ω)</t>
  </si>
  <si>
    <t>YearFrac</t>
  </si>
  <si>
    <t>Equity</t>
  </si>
  <si>
    <t>RE</t>
  </si>
  <si>
    <t>Equity charge</t>
  </si>
  <si>
    <t>Residual Income</t>
  </si>
  <si>
    <t>"TV3" = RI4 / (RE - g)</t>
  </si>
  <si>
    <t>RE - g</t>
  </si>
  <si>
    <t>TV3</t>
  </si>
  <si>
    <t>{RIN+1}/ {(1+RE – ω)</t>
  </si>
  <si>
    <t>RI(N+1) = RI4</t>
  </si>
  <si>
    <t>Omega = persistence factor</t>
  </si>
  <si>
    <t>(1 + RE - omega)</t>
  </si>
  <si>
    <t>"TV3"</t>
  </si>
  <si>
    <t>Day Close Price Latest</t>
  </si>
  <si>
    <t>Shares Outstanding Latest</t>
  </si>
  <si>
    <t>Market Capitalization Latest</t>
  </si>
  <si>
    <t xml:space="preserve">LTM Net Debt </t>
  </si>
  <si>
    <t>LTM Total Pref. Equity</t>
  </si>
  <si>
    <t>LTM Minority Interest</t>
  </si>
  <si>
    <t>Total Enterprise Value Latest</t>
  </si>
  <si>
    <t xml:space="preserve">LTM Tangible Book Value/Share </t>
  </si>
  <si>
    <t xml:space="preserve">LTM Filing Date, Income Statement </t>
  </si>
  <si>
    <t xml:space="preserve">LTM Diluted EPS Excl. Extra Items </t>
  </si>
  <si>
    <t>Denominator for the other multiple based on enterprise value</t>
  </si>
  <si>
    <t>Denominator for the other multiple based on equity value</t>
  </si>
  <si>
    <t>Denominator for the other multiple based on equity value per share (may be same as previous column or may need to divide previous column by number of shares)</t>
  </si>
  <si>
    <t>LTM unlevered</t>
  </si>
  <si>
    <t>LTM levered</t>
  </si>
  <si>
    <t>2023 Unlevered</t>
  </si>
  <si>
    <t>2023 Levered</t>
  </si>
  <si>
    <t>**Only fill in data for peers that are included in the peer group.  If you decide to drop any firms from the original peer group, do not include their data above.  Just leave the row blank.  If you add any firms to the original peer group, then include them in the yellow section above the black cells.  Do not include more than 10 peers.</t>
  </si>
  <si>
    <t>Multiple</t>
  </si>
  <si>
    <t>35th percentile peer multiple</t>
  </si>
  <si>
    <t>65th percentile peer multiple</t>
  </si>
  <si>
    <t>(unlevered)</t>
  </si>
  <si>
    <t>(levered)</t>
  </si>
  <si>
    <t>EV/EBITDA</t>
  </si>
  <si>
    <t>Peer stats</t>
  </si>
  <si>
    <t>EV/EBIT</t>
  </si>
  <si>
    <t>Company</t>
  </si>
  <si>
    <t>EV/Sales</t>
  </si>
  <si>
    <t>P/E</t>
  </si>
  <si>
    <t>P/B</t>
  </si>
  <si>
    <t>EV/FCFF</t>
  </si>
  <si>
    <t>P/FCFE</t>
  </si>
  <si>
    <t>EV/sales</t>
  </si>
  <si>
    <t>Check for negative values</t>
  </si>
  <si>
    <t>P/FCFE per share</t>
  </si>
  <si>
    <t>* Fill in the cells in this table with the values of each multiple, not estimated prices</t>
  </si>
  <si>
    <t>Low (value) - estimated price, which is the estimated price of your firm based on the 35th percentile peer multiple</t>
  </si>
  <si>
    <t>High (value) - estimated price, which is the estimated price of your firm based on the 65th percentile peer multiple</t>
  </si>
  <si>
    <t>Error if less than 0</t>
  </si>
  <si>
    <t>* Fill in the cells in this table with estimated prices</t>
  </si>
  <si>
    <t>Summary statistics</t>
  </si>
  <si>
    <t>35th percentile</t>
  </si>
  <si>
    <t>65th percentile</t>
  </si>
  <si>
    <t>Enterprise Value</t>
  </si>
  <si>
    <t>Equity Value</t>
  </si>
  <si>
    <t>Share Price</t>
  </si>
  <si>
    <t>Low Val</t>
  </si>
  <si>
    <t>Low lab</t>
  </si>
  <si>
    <t>high val</t>
  </si>
  <si>
    <t>high lab</t>
  </si>
  <si>
    <t>Weights between DCF, Comps, and RI</t>
  </si>
  <si>
    <t>Weights within valuation methods</t>
  </si>
  <si>
    <t>Low Label</t>
  </si>
  <si>
    <t>High Val</t>
  </si>
  <si>
    <t>High Label</t>
  </si>
  <si>
    <t>Mid value</t>
  </si>
  <si>
    <t>DCF-FCFF perp</t>
  </si>
  <si>
    <t>DCF-FCFF mult</t>
  </si>
  <si>
    <t>DCF-FCFE perp</t>
  </si>
  <si>
    <t>DCF-FCFE mult</t>
  </si>
  <si>
    <t>Price</t>
  </si>
  <si>
    <t>price as of valuation</t>
  </si>
  <si>
    <t>$ amount owed</t>
  </si>
  <si>
    <t>Weighted Interest</t>
  </si>
  <si>
    <t>Sums of weighted interest and $ amount</t>
  </si>
  <si>
    <t>Weighted int / $ amount</t>
  </si>
  <si>
    <t>Reclassified
12 months
Sep-30-2020</t>
  </si>
  <si>
    <t>Reclassified
12 months
Sep-30-2021</t>
  </si>
  <si>
    <t>Reclassified
12 months
Sep-30-2022</t>
  </si>
  <si>
    <t>12 months
Sep-30-2023</t>
  </si>
  <si>
    <t>12 months
Sep-30-2024</t>
  </si>
  <si>
    <t>As Reported Total Revenue*</t>
  </si>
  <si>
    <t>General and Administrative Exp.</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</si>
  <si>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</si>
  <si>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Restated
Sep-30-2020</t>
  </si>
  <si>
    <t>Reclassified
Sep-30-2021</t>
  </si>
  <si>
    <t>Reclassified
Sep-30-2022</t>
  </si>
  <si>
    <t>Reclassified
Sep-30-2023</t>
  </si>
  <si>
    <t>Long-term Investments</t>
  </si>
  <si>
    <t>Equity Method Investments</t>
  </si>
  <si>
    <t>Cash Flow</t>
  </si>
  <si>
    <t>Restated
12 months
Sep-30-2020</t>
  </si>
  <si>
    <t>12 months
Sep-30-2021</t>
  </si>
  <si>
    <t>12 months
Sep-30-2022</t>
  </si>
  <si>
    <t>Restated
12 months
Sep-30-2023</t>
  </si>
  <si>
    <t>(Income) Loss on Equity Invest.</t>
  </si>
  <si>
    <t>if company is private B29 = B28, if company is public B29 = C29</t>
  </si>
  <si>
    <t>(3 year monthly)</t>
  </si>
  <si>
    <t>Value of debt may be different from balance sheet to represent difference between carrying value and fair value</t>
  </si>
  <si>
    <t>If no data from damodaran use equidam</t>
  </si>
  <si>
    <t>Maturities of long-term debt per 10-k</t>
  </si>
  <si>
    <t>Interest rate</t>
  </si>
  <si>
    <t>Confidence int</t>
  </si>
  <si>
    <t>Changed div growth to reflect dividend increase announcement and fix unrealistic implication of 2024 data</t>
  </si>
  <si>
    <t>Revenue growth excluding acquisition (for growth calculation only)</t>
  </si>
  <si>
    <t>&lt;- this number is growth of firm without Putnam investment</t>
  </si>
  <si>
    <t>Acquisitions share of revenue estimate calculated as (AUM before acquisition - additional AUM from acquisition / total AUM) * (3/4) (3/4 reflects % of the year the company earns revenue based on acquisition date)</t>
  </si>
  <si>
    <t>This number is the new cost of dividends (Calculated by multiplying annual dividend by the number of shares outstanding</t>
  </si>
  <si>
    <t>decreased SG&amp;A/Rev by .5% each year to reflect trending decrease in profitability over historic period</t>
  </si>
  <si>
    <t>decreased COGS/Rev by .25% each year to reflect trending decrease in profitability over historic period</t>
  </si>
  <si>
    <t>Dividend/NI forecast</t>
  </si>
  <si>
    <t>Test slope calc</t>
  </si>
  <si>
    <t>Slope (decrease) of revenue between 2021 and 2024 (per year)</t>
  </si>
  <si>
    <t>Franklin Resources, Inc. (NYSE:BEN) &gt;  Quick Comparable Analysis &gt; Financial Data</t>
  </si>
  <si>
    <t>Details</t>
  </si>
  <si>
    <t>Template:</t>
  </si>
  <si>
    <t>Capital IQ Default Comps</t>
  </si>
  <si>
    <t>Currency:</t>
  </si>
  <si>
    <t>US Dollar</t>
  </si>
  <si>
    <t>As-Of Date:</t>
  </si>
  <si>
    <t>Company Comp Set</t>
  </si>
  <si>
    <t>T. Rowe Price Group, Inc. (NasdaqGS:TROW)</t>
  </si>
  <si>
    <t>Invesco Ltd. (NYSE:IVZ)</t>
  </si>
  <si>
    <t>Blackstone Inc. (NYSE:BX)</t>
  </si>
  <si>
    <t>Northern Trust Corporation (NasdaqGS:NTRS)</t>
  </si>
  <si>
    <t>BlackRock, Inc. (NYSE:BLK)</t>
  </si>
  <si>
    <t>The Carlyle Group Inc. (NasdaqGS:CG)</t>
  </si>
  <si>
    <t>TPG Inc. (NasdaqGS:TPG)</t>
  </si>
  <si>
    <t>The Charles Schwab Corporation (NYSE:SCHW)</t>
  </si>
  <si>
    <t>State Street Corporation (NYSE:STT)</t>
  </si>
  <si>
    <t>Ares Management Corporation (NYSE:ARES)</t>
  </si>
  <si>
    <t>Franklin Resources, Inc. (NYSE:BEN)</t>
  </si>
  <si>
    <t>Summary Statistics</t>
  </si>
  <si>
    <t>High</t>
  </si>
  <si>
    <t>Low</t>
  </si>
  <si>
    <t>Franklin Resources Inc (NYS: BEN)</t>
  </si>
  <si>
    <t>One Franklin Parkway San Mateo, CA 94403 USA</t>
  </si>
  <si>
    <t>www.franklinresources.com</t>
  </si>
  <si>
    <t>650 312-2000</t>
  </si>
  <si>
    <t>523940 : Portfolio Management and Investment Advice</t>
  </si>
  <si>
    <t>Fax</t>
  </si>
  <si>
    <t>650 312-3655</t>
  </si>
  <si>
    <t>20.11 (as of 12/30/2024)</t>
  </si>
  <si>
    <t>9,200 (Approximate Full-Time as of 09/30/2023)</t>
  </si>
  <si>
    <t>December 1969 , DE, United States</t>
  </si>
  <si>
    <t>Yes, # of Years: 34</t>
  </si>
  <si>
    <t>NYS : BEN</t>
  </si>
  <si>
    <t>2,476 (record) (as of 10/31/2023)</t>
  </si>
  <si>
    <t>6282 : Investment advice</t>
  </si>
  <si>
    <t xml:space="preserve">Franklin Resources, Inc. is a global investment management company with subsidiaries operating as Franklin Templeton and serving clients in over 150 countries. It offers specialization on a global scale, bringing capabilities in fixed income, equity, </t>
  </si>
  <si>
    <t xml:space="preserve">alternatives and multi-asset solutions. Co. provides its investment management and related services to retail, institutional and high-net-worth investors in jurisdictions worldwide. Its investment products include sponsored funds, as well as </t>
  </si>
  <si>
    <t xml:space="preserve">institutional and high-net-worth separate accounts, retail separately managed account programs, sub-advised products, and other investment vehicles. </t>
  </si>
  <si>
    <t>Recommendation</t>
  </si>
  <si>
    <r>
      <t xml:space="preserve">10 year treasury bond return (10 year is standard per </t>
    </r>
    <r>
      <rPr>
        <i/>
        <u/>
        <sz val="11"/>
        <color rgb="FF0563C1"/>
        <rFont val="Calibri"/>
        <family val="2"/>
      </rPr>
      <t>Corporate finance Investment and Advisory Application</t>
    </r>
    <r>
      <rPr>
        <u/>
        <sz val="11"/>
        <color rgb="FF0563C1"/>
        <rFont val="Calibri"/>
        <family val="2"/>
      </rPr>
      <t>)</t>
    </r>
  </si>
  <si>
    <t>Pennsylvania Trust and Athena Capital and legg mason acquired in 2020</t>
  </si>
  <si>
    <t>Major Checks</t>
  </si>
  <si>
    <t>Source of table</t>
  </si>
  <si>
    <t>Bull Val.</t>
  </si>
  <si>
    <t>Base Val.</t>
  </si>
  <si>
    <t>Bear Val.</t>
  </si>
  <si>
    <t>Expected return of firms equity</t>
  </si>
  <si>
    <t>Expected return of firms debt</t>
  </si>
  <si>
    <t>Expected Return on Equity</t>
  </si>
  <si>
    <t>Gross Margin</t>
  </si>
  <si>
    <t>Last Historic Year</t>
  </si>
  <si>
    <t>Historic Period</t>
  </si>
  <si>
    <t>Debt to Equity Ratio</t>
  </si>
  <si>
    <t>Price of BEN 1/14/25</t>
  </si>
  <si>
    <t>Kroll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</si>
</sst>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164" formatCode="0.000000"/>
    <numFmt numFmtId="165" formatCode="#,##0&quot; &quot;;&quot;(&quot;#,##0&quot;)&quot;"/>
    <numFmt numFmtId="166" formatCode="#,##0.0&quot; &quot;;&quot;(&quot;#,##0.0&quot;)&quot;"/>
    <numFmt numFmtId="167" formatCode="&quot; &quot;* #,##0&quot; &quot;;&quot; &quot;* &quot;(&quot;#,##0&quot;)&quot;;&quot; &quot;* &quot;- &quot;;&quot; &quot;@&quot; &quot;"/>
    <numFmt numFmtId="168" formatCode="0&quot; &quot;;&quot;(&quot;0&quot;)&quot;"/>
    <numFmt numFmtId="169" formatCode="0.00000000000%"/>
    <numFmt numFmtId="170" formatCode="&quot;$&quot;#,##0"/>
    <numFmt numFmtId="171" formatCode="0&quot;E&quot;"/>
    <numFmt numFmtId="172" formatCode="&quot;$&quot;#,##0.00"/>
    <numFmt numFmtId="173" formatCode="mmm\-dd\-yyyy"/>
    <numFmt numFmtId="174" formatCode="#,##0.0"/>
    <numFmt numFmtId="175" formatCode="&quot; &quot;* #,##0.0&quot; &quot;;&quot;-&quot;* #,##0.0&quot; &quot;;&quot; &quot;* &quot;-&quot;#&quot; &quot;;&quot; &quot;@&quot; &quot;"/>
    <numFmt numFmtId="176" formatCode="0.0%"/>
    <numFmt numFmtId="177" formatCode="&quot;$&quot;#,##0.00&quot; &quot;;&quot;(&quot;&quot;$&quot;#,##0.00&quot;)&quot;"/>
    <numFmt numFmtId="178" formatCode="&quot;$&quot;#,##0&quot; &quot;;&quot;(&quot;&quot;$&quot;#,##0&quot;)&quot;"/>
    <numFmt numFmtId="179" formatCode="#,##0.00&quot; &quot;;&quot;(&quot;#,##0.00&quot;)&quot;"/>
    <numFmt numFmtId="180" formatCode="0.0"/>
    <numFmt numFmtId="181" formatCode="0.000%"/>
    <numFmt numFmtId="182" formatCode="&quot; &quot;* #,##0.0&quot; &quot;;&quot; &quot;* &quot;(&quot;#,##0.0&quot;)  &quot;;&quot; &quot;* 0&quot; &quot;"/>
    <numFmt numFmtId="183" formatCode="0.00&quot; &quot;;&quot;(&quot;0.00&quot;)&quot;"/>
    <numFmt numFmtId="184" formatCode="0.00000%"/>
    <numFmt numFmtId="185" formatCode="0.000"/>
    <numFmt numFmtId="186" formatCode="&quot; &quot;&quot;$&quot;* #,##0.00&quot; &quot;;&quot; &quot;&quot;$&quot;* &quot;(&quot;#,##0.00&quot;)&quot;;&quot; &quot;&quot;$&quot;* &quot;-&quot;#&quot; &quot;;&quot; &quot;@&quot; &quot;"/>
    <numFmt numFmtId="187" formatCode="0.0000000"/>
    <numFmt numFmtId="188" formatCode="&quot;$&quot;#,##0.000&quot; &quot;;&quot;(&quot;&quot;$&quot;#,##0.000&quot;)&quot;"/>
    <numFmt numFmtId="189" formatCode="&quot; &quot;* #,##0.00&quot; &quot;;&quot; &quot;* &quot;(&quot;#,##0.00&quot;)&quot;;&quot; &quot;* &quot;-&quot;#&quot; &quot;;&quot; &quot;@&quot; &quot;"/>
    <numFmt numFmtId="190" formatCode="#,##0.000"/>
    <numFmt numFmtId="191" formatCode="&quot; &quot;* #,##0.000&quot; &quot;;&quot; &quot;* &quot;(&quot;#,##0.000&quot;)&quot;;&quot; &quot;* &quot;- &quot;;&quot; &quot;@&quot; &quot;"/>
    <numFmt numFmtId="192" formatCode="&quot; &quot;* #,##0&quot; &quot;;&quot; &quot;* &quot;(&quot;#,##0&quot;)&quot;;&quot; &quot;* &quot;-&quot;#&quot; &quot;;&quot; &quot;@&quot; &quot;"/>
    <numFmt numFmtId="193" formatCode="0.0000"/>
    <numFmt numFmtId="194" formatCode="&quot; &quot;* #,##0.00&quot; &quot;;&quot; &quot;* &quot;(&quot;#,##0.00&quot;)&quot;;&quot; &quot;* &quot;- &quot;;&quot; &quot;@&quot; &quot;"/>
    <numFmt numFmtId="195" formatCode="0.0000%"/>
    <numFmt numFmtId="196" formatCode="&quot; &quot;[$$-409]* #,##0.00&quot; &quot;;&quot; &quot;[$$-409]* &quot;(&quot;#,##0.00&quot;)&quot;;&quot; &quot;[$$-409]* &quot;-&quot;#&quot; &quot;;&quot; &quot;@&quot; &quot;"/>
    <numFmt numFmtId="197" formatCode="&quot;$&quot;#,##0.00&quot; &quot;;[Red]&quot;(&quot;&quot;$&quot;#,##0.00&quot;)&quot;"/>
    <numFmt numFmtId="198" formatCode="0&quot;A&quot;"/>
    <numFmt numFmtId="199" formatCode="&quot; &quot;* #,##0&quot; &quot;;&quot;-&quot;* #,##0&quot; &quot;;&quot; &quot;* &quot;-&quot;#&quot; &quot;;&quot; &quot;@&quot; &quot;"/>
    <numFmt numFmtId="200" formatCode="&quot; &quot;* #,##0.00&quot; &quot;;&quot;-&quot;* #,##0.00&quot; &quot;;&quot; &quot;* &quot;-&quot;#&quot; &quot;;&quot; &quot;@&quot; &quot;"/>
    <numFmt numFmtId="201" formatCode="_(\ #,##0.0#_);_(\(\ #,##0.0#\)_);_(\ &quot; - &quot;_)"/>
    <numFmt numFmtId="202" formatCode="_(\ #,##0.0_);_(\ \(#,##0.0\)_);_(\ &quot; - &quot;_)"/>
    <numFmt numFmtId="203" formatCode="_(* #,##0.0_);_(* \(#,##0.0\)_)\ ;_(* 0_)"/>
    <numFmt numFmtId="204" formatCode="_(&quot;$&quot;#,##0.0#_);_(\(&quot;$&quot;#,##0.0#\)_);_(&quot;$&quot;&quot; - &quot;_)"/>
    <numFmt numFmtId="205" formatCode="_(* #,##0.0#_);_(* \(#,##0.0#\)_)\ ;_(* 0_)"/>
    <numFmt numFmtId="206" formatCode="_(#,##0.0%_);_(\(#,##0.0%\)_);_(#,##0.0%_)"/>
    <numFmt numFmtId="207" formatCode="_(* #,##0.0##_);_(* \(#,##0.0##\)_)\ ;_(* 0_)"/>
    <numFmt numFmtId="208" formatCode="_(* #,##0_);_(* \(#,##0\)_)\ ;_(* 0_)"/>
  </numFmts>
  <fonts count="72" x14ac:knownFonts="1">
    <font>
      <sz val="11"/>
      <color rgb="FF000000"/>
      <name val="Calibri"/>
      <family val="2"/>
    </font>
    <font>
      <sz val="11"/>
      <color rgb="FF000000"/>
      <name val="Calibri"/>
      <family val="2"/>
    </font>
    <font>
      <sz val="11"/>
      <color rgb="FF006100"/>
      <name val="Calibri"/>
      <family val="2"/>
    </font>
    <font>
      <sz val="11"/>
      <color rgb="FF9C0006"/>
      <name val="Calibri"/>
      <family val="2"/>
    </font>
    <font>
      <sz val="11"/>
      <color rgb="FF9C5700"/>
      <name val="Calibri"/>
      <family val="2"/>
    </font>
    <font>
      <sz val="10"/>
      <color rgb="FF000000"/>
      <name val="Arial"/>
      <family val="2"/>
    </font>
    <font>
      <b/>
      <sz val="8"/>
      <color rgb="FF000000"/>
      <name val="Verdana"/>
      <family val="2"/>
    </font>
    <font>
      <b/>
      <u/>
      <sz val="8"/>
      <color rgb="FF000000"/>
      <name val="Arial"/>
      <family val="2"/>
    </font>
    <font>
      <u/>
      <sz val="11"/>
      <color rgb="FF0563C1"/>
      <name val="Calibri"/>
      <family val="2"/>
    </font>
    <font>
      <sz val="1"/>
      <color rgb="FFFFFFFF"/>
      <name val="Symbol"/>
      <family val="1"/>
      <charset val="2"/>
    </font>
    <font>
      <b/>
      <u/>
      <sz val="8"/>
      <color rgb="FF000000"/>
      <name val="Verdana"/>
      <family val="2"/>
    </font>
    <font>
      <b/>
      <sz val="10"/>
      <color rgb="FFFFFFFF"/>
      <name val="Arial"/>
      <family val="2"/>
    </font>
    <font>
      <b/>
      <sz val="12"/>
      <color rgb="FF000000"/>
      <name val="Verdana"/>
      <family val="2"/>
    </font>
    <font>
      <b/>
      <sz val="8"/>
      <color rgb="FFFFFFFF"/>
      <name val="Verdana"/>
      <family val="2"/>
    </font>
    <font>
      <vertAlign val="subscript"/>
      <sz val="8"/>
      <color rgb="FF000000"/>
      <name val="Arial"/>
      <family val="2"/>
    </font>
    <font>
      <vertAlign val="superscript"/>
      <sz val="8"/>
      <color rgb="FF000000"/>
      <name val="Arial"/>
      <family val="2"/>
    </font>
    <font>
      <b/>
      <sz val="8"/>
      <color rgb="FF000000"/>
      <name val="Arial"/>
      <family val="2"/>
    </font>
    <font>
      <i/>
      <sz val="8"/>
      <color rgb="FF000000"/>
      <name val="Arial"/>
      <family val="2"/>
    </font>
    <font>
      <sz val="8"/>
      <color rgb="FF000000"/>
      <name val="Arial"/>
      <family val="2"/>
    </font>
    <font>
      <b/>
      <sz val="13"/>
      <color rgb="FF000000"/>
      <name val="Verdana"/>
      <family val="2"/>
    </font>
    <font>
      <sz val="12"/>
      <color rgb="FF000000"/>
      <name val="Calibri"/>
      <family val="2"/>
    </font>
    <font>
      <b/>
      <sz val="12"/>
      <color rgb="FFFFFFFF"/>
      <name val="Calibri"/>
      <family val="2"/>
    </font>
    <font>
      <b/>
      <sz val="12"/>
      <color rgb="FF000000"/>
      <name val="Calibri"/>
      <family val="2"/>
    </font>
    <font>
      <sz val="12"/>
      <color rgb="FFFF0000"/>
      <name val="Calibri"/>
      <family val="2"/>
    </font>
    <font>
      <sz val="12"/>
      <color rgb="FF0070C0"/>
      <name val="Calibri"/>
      <family val="2"/>
    </font>
    <font>
      <sz val="12"/>
      <color rgb="FF0D0D0D"/>
      <name val="Calibri"/>
      <family val="2"/>
    </font>
    <font>
      <b/>
      <sz val="12"/>
      <color rgb="FF0D0D0D"/>
      <name val="Calibri"/>
      <family val="2"/>
    </font>
    <font>
      <b/>
      <sz val="12"/>
      <color rgb="FF0070C0"/>
      <name val="Calibri"/>
      <family val="2"/>
    </font>
    <font>
      <i/>
      <sz val="12"/>
      <color rgb="FF000000"/>
      <name val="Calibri"/>
      <family val="2"/>
    </font>
    <font>
      <sz val="12"/>
      <color rgb="FF00B050"/>
      <name val="Calibri"/>
      <family val="2"/>
    </font>
    <font>
      <b/>
      <sz val="16"/>
      <color rgb="FF000000"/>
      <name val="Calibri"/>
      <family val="2"/>
    </font>
    <font>
      <sz val="16"/>
      <color rgb="FF000000"/>
      <name val="Calibri"/>
      <family val="2"/>
    </font>
    <font>
      <b/>
      <sz val="12"/>
      <color rgb="FFFF0000"/>
      <name val="Calibri"/>
      <family val="2"/>
    </font>
    <font>
      <b/>
      <i/>
      <sz val="14"/>
      <color rgb="FFFFFF00"/>
      <name val="Calibri"/>
      <family val="2"/>
    </font>
    <font>
      <sz val="11"/>
      <color rgb="FFFF0000"/>
      <name val="Calibri"/>
      <family val="2"/>
    </font>
    <font>
      <sz val="11"/>
      <color rgb="FF0070C0"/>
      <name val="Calibri"/>
      <family val="2"/>
    </font>
    <font>
      <b/>
      <sz val="11"/>
      <color rgb="FF7030A0"/>
      <name val="Calibri"/>
      <family val="2"/>
    </font>
    <font>
      <b/>
      <sz val="11"/>
      <color rgb="FFFF0000"/>
      <name val="Calibri"/>
      <family val="2"/>
    </font>
    <font>
      <b/>
      <sz val="16"/>
      <color rgb="FF000000"/>
      <name val="Arial"/>
      <family val="2"/>
    </font>
    <font>
      <b/>
      <sz val="14"/>
      <color rgb="FF000000"/>
      <name val="Arial"/>
      <family val="2"/>
    </font>
    <font>
      <b/>
      <sz val="10"/>
      <color rgb="FF000000"/>
      <name val="Arial"/>
      <family val="2"/>
    </font>
    <font>
      <b/>
      <sz val="11"/>
      <color rgb="FF000000"/>
      <name val="Calibri"/>
      <family val="2"/>
    </font>
    <font>
      <i/>
      <sz val="11"/>
      <color rgb="FF000000"/>
      <name val="Calibri"/>
      <family val="2"/>
    </font>
    <font>
      <b/>
      <sz val="11"/>
      <color rgb="FF000000"/>
      <name val="Arial"/>
      <family val="2"/>
    </font>
    <font>
      <sz val="11"/>
      <color rgb="FF000000"/>
      <name val="Arial"/>
      <family val="2"/>
    </font>
    <font>
      <sz val="11"/>
      <color rgb="FF000000"/>
      <name val="Verdana"/>
      <family val="2"/>
    </font>
    <font>
      <sz val="9"/>
      <color rgb="FF000000"/>
      <name val="Arial"/>
      <family val="2"/>
    </font>
    <font>
      <b/>
      <sz val="14"/>
      <color rgb="FF7030A0"/>
      <name val="Calibri"/>
      <family val="2"/>
    </font>
    <font>
      <sz val="12"/>
      <name val="Calibri"/>
      <family val="2"/>
    </font>
    <font>
      <sz val="8"/>
      <name val="Arial"/>
      <family val="2"/>
    </font>
    <font>
      <b/>
      <sz val="13"/>
      <color indexed="8"/>
      <name val="Verdana"/>
      <family val="2"/>
    </font>
    <font>
      <b/>
      <sz val="8"/>
      <color indexed="9"/>
      <name val="Verdana"/>
      <family val="2"/>
    </font>
    <font>
      <sz val="1"/>
      <color indexed="9"/>
      <name val="Symbol"/>
      <family val="1"/>
      <charset val="2"/>
    </font>
    <font>
      <b/>
      <sz val="8"/>
      <name val="Arial"/>
      <family val="2"/>
    </font>
    <font>
      <sz val="8"/>
      <color indexed="8"/>
      <name val="Arial"/>
      <family val="2"/>
    </font>
    <font>
      <b/>
      <sz val="8"/>
      <color indexed="8"/>
      <name val="Arial"/>
      <family val="2"/>
    </font>
    <font>
      <sz val="11"/>
      <color theme="1"/>
      <name val="Calibri"/>
      <family val="2"/>
    </font>
    <font>
      <b/>
      <i/>
      <sz val="8"/>
      <color indexed="8"/>
      <name val="Arial"/>
      <family val="2"/>
    </font>
    <font>
      <b/>
      <u val="double"/>
      <sz val="8"/>
      <color indexed="8"/>
      <name val="Arial"/>
      <family val="2"/>
    </font>
    <font>
      <b/>
      <u/>
      <sz val="8"/>
      <color indexed="8"/>
      <name val="Arial"/>
      <family val="2"/>
    </font>
    <font>
      <sz val="8"/>
      <color rgb="FF000000"/>
      <name val="Calibri"/>
      <family val="2"/>
    </font>
    <font>
      <u/>
      <sz val="11"/>
      <color rgb="FF000000"/>
      <name val="Calibri"/>
      <family val="2"/>
    </font>
    <font>
      <i/>
      <u/>
      <sz val="11"/>
      <color rgb="FF0563C1"/>
      <name val="Calibri"/>
      <family val="2"/>
    </font>
    <font>
      <sz val="8"/>
      <color rgb="FF212121"/>
      <name val="Arial"/>
      <family val="2"/>
    </font>
    <font>
      <sz val="11"/>
      <color theme="0"/>
      <name val="Aptos Narrow"/>
      <family val="2"/>
      <scheme val="minor"/>
    </font>
    <font>
      <b/>
      <sz val="14"/>
      <color rgb="FFFFFFFF"/>
      <name val="Calibri"/>
      <family val="2"/>
    </font>
    <font>
      <b/>
      <sz val="14"/>
      <color theme="0"/>
      <name val="Aptos Narrow"/>
      <family val="2"/>
      <scheme val="minor"/>
    </font>
    <font>
      <b/>
      <sz val="12"/>
      <color theme="0"/>
      <name val="Aptos Narrow"/>
      <family val="2"/>
      <scheme val="minor"/>
    </font>
    <font>
      <sz val="8"/>
      <name val="Calibri"/>
      <family val="2"/>
    </font>
    <font>
      <sz val="11"/>
      <name val="Aptos Narrow"/>
      <family val="2"/>
      <scheme val="minor"/>
    </font>
    <font>
      <b/>
      <sz val="12"/>
      <name val="Aptos Narrow"/>
      <family val="2"/>
      <scheme val="minor"/>
    </font>
    <font>
      <b/>
      <sz val="11"/>
      <color theme="0"/>
      <name val="Aptos Narrow"/>
      <family val="2"/>
      <scheme val="minor"/>
    </font>
  </fonts>
  <fills count="52">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993300"/>
        <bgColor rgb="FF993300"/>
      </patternFill>
    </fill>
    <fill>
      <patternFill patternType="solid">
        <fgColor rgb="FF333399"/>
        <bgColor rgb="FF333399"/>
      </patternFill>
    </fill>
    <fill>
      <patternFill patternType="solid">
        <fgColor rgb="FF333333"/>
        <bgColor rgb="FF333333"/>
      </patternFill>
    </fill>
    <fill>
      <patternFill patternType="solid">
        <fgColor rgb="FF003366"/>
        <bgColor rgb="FF003366"/>
      </patternFill>
    </fill>
    <fill>
      <patternFill patternType="solid">
        <fgColor rgb="FFFFFF00"/>
        <bgColor rgb="FFFFFF00"/>
      </patternFill>
    </fill>
    <fill>
      <patternFill patternType="solid">
        <fgColor rgb="FF1E6238"/>
        <bgColor rgb="FF1E6238"/>
      </patternFill>
    </fill>
    <fill>
      <patternFill patternType="solid">
        <fgColor rgb="FFE2A82B"/>
        <bgColor rgb="FFE2A82B"/>
      </patternFill>
    </fill>
    <fill>
      <patternFill patternType="solid">
        <fgColor rgb="FF000000"/>
        <bgColor rgb="FF000000"/>
      </patternFill>
    </fill>
    <fill>
      <patternFill patternType="solid">
        <fgColor rgb="FF92D050"/>
        <bgColor rgb="FF92D050"/>
      </patternFill>
    </fill>
    <fill>
      <patternFill patternType="solid">
        <fgColor rgb="FF00B0F0"/>
        <bgColor rgb="FF00B0F0"/>
      </patternFill>
    </fill>
    <fill>
      <patternFill patternType="solid">
        <fgColor rgb="FFDDEBF7"/>
        <bgColor rgb="FFDDEBF7"/>
      </patternFill>
    </fill>
    <fill>
      <patternFill patternType="solid">
        <fgColor rgb="FFFF0000"/>
        <bgColor rgb="FFFF0000"/>
      </patternFill>
    </fill>
    <fill>
      <patternFill patternType="solid">
        <fgColor rgb="FFCCFFFF"/>
        <bgColor rgb="FFCCFFFF"/>
      </patternFill>
    </fill>
    <fill>
      <patternFill patternType="solid">
        <fgColor rgb="FFF4B084"/>
        <bgColor rgb="FFF4B084"/>
      </patternFill>
    </fill>
    <fill>
      <patternFill patternType="solid">
        <fgColor rgb="FFFFD966"/>
        <bgColor rgb="FFFFD966"/>
      </patternFill>
    </fill>
    <fill>
      <patternFill patternType="solid">
        <fgColor rgb="FF002060"/>
        <bgColor rgb="FF002060"/>
      </patternFill>
    </fill>
    <fill>
      <patternFill patternType="solid">
        <fgColor rgb="FFE1DDE7"/>
        <bgColor rgb="FFE1DDE7"/>
      </patternFill>
    </fill>
    <fill>
      <patternFill patternType="solid">
        <fgColor rgb="FFFCE4D6"/>
        <bgColor rgb="FFFCE4D6"/>
      </patternFill>
    </fill>
    <fill>
      <patternFill patternType="solid">
        <fgColor rgb="FFFFF2CC"/>
        <bgColor rgb="FFFFF2CC"/>
      </patternFill>
    </fill>
    <fill>
      <patternFill patternType="solid">
        <fgColor rgb="FFBDD7EE"/>
        <bgColor rgb="FFBDD7EE"/>
      </patternFill>
    </fill>
    <fill>
      <patternFill patternType="solid">
        <fgColor rgb="FFC6E0B4"/>
        <bgColor rgb="FFC6E0B4"/>
      </patternFill>
    </fill>
    <fill>
      <patternFill patternType="solid">
        <fgColor rgb="FFD9D9D9"/>
        <bgColor rgb="FFD9D9D9"/>
      </patternFill>
    </fill>
    <fill>
      <patternFill patternType="solid">
        <fgColor rgb="FF5B9BD5"/>
        <bgColor rgb="FF5B9BD5"/>
      </patternFill>
    </fill>
    <fill>
      <patternFill patternType="solid">
        <fgColor rgb="FFFFFFFF"/>
        <bgColor rgb="FFFFFFFF"/>
      </patternFill>
    </fill>
    <fill>
      <patternFill patternType="solid">
        <fgColor rgb="FFFFC000"/>
        <bgColor rgb="FFFFC000"/>
      </patternFill>
    </fill>
    <fill>
      <patternFill patternType="solid">
        <fgColor indexed="56"/>
        <bgColor indexed="64"/>
      </patternFill>
    </fill>
    <fill>
      <patternFill patternType="solid">
        <fgColor indexed="60"/>
        <bgColor indexed="64"/>
      </patternFill>
    </fill>
    <fill>
      <patternFill patternType="solid">
        <fgColor theme="1"/>
        <bgColor rgb="FFFFFF00"/>
      </patternFill>
    </fill>
    <fill>
      <patternFill patternType="solid">
        <fgColor theme="6" tint="0.39997558519241921"/>
        <bgColor indexed="64"/>
      </patternFill>
    </fill>
    <fill>
      <patternFill patternType="solid">
        <fgColor rgb="FF00B0F0"/>
        <bgColor indexed="64"/>
      </patternFill>
    </fill>
    <fill>
      <patternFill patternType="solid">
        <fgColor theme="7"/>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bgColor rgb="FFFFFF00"/>
      </patternFill>
    </fill>
    <fill>
      <patternFill patternType="solid">
        <fgColor theme="0" tint="-0.14999847407452621"/>
        <bgColor rgb="FFFFFF00"/>
      </patternFill>
    </fill>
    <fill>
      <patternFill patternType="solid">
        <fgColor theme="0" tint="-0.249977111117893"/>
        <bgColor rgb="FFFFFF00"/>
      </patternFill>
    </fill>
    <fill>
      <patternFill patternType="solid">
        <fgColor theme="3" tint="0.89999084444715716"/>
        <bgColor rgb="FFFFFF00"/>
      </patternFill>
    </fill>
    <fill>
      <patternFill patternType="solid">
        <fgColor rgb="FF002060"/>
        <bgColor rgb="FF82490B"/>
      </patternFill>
    </fill>
    <fill>
      <patternFill patternType="solid">
        <fgColor theme="2"/>
        <bgColor rgb="FFFFFF00"/>
      </patternFill>
    </fill>
    <fill>
      <patternFill patternType="solid">
        <fgColor theme="2"/>
        <bgColor indexed="64"/>
      </patternFill>
    </fill>
    <fill>
      <patternFill patternType="solid">
        <fgColor theme="3" tint="0.749992370372631"/>
        <bgColor rgb="FFFFFF00"/>
      </patternFill>
    </fill>
    <fill>
      <patternFill patternType="solid">
        <fgColor theme="4" tint="0.39997558519241921"/>
        <bgColor rgb="FFFFFF00"/>
      </patternFill>
    </fill>
    <fill>
      <patternFill patternType="solid">
        <fgColor theme="3" tint="0.749992370372631"/>
        <bgColor indexed="64"/>
      </patternFill>
    </fill>
    <fill>
      <patternFill patternType="solid">
        <fgColor theme="6"/>
      </patternFill>
    </fill>
    <fill>
      <patternFill patternType="solid">
        <fgColor rgb="FFB0BEC5"/>
        <bgColor rgb="FFD9D9D9"/>
      </patternFill>
    </fill>
    <fill>
      <patternFill patternType="solid">
        <fgColor theme="3" tint="0.749992370372631"/>
        <bgColor rgb="FF1E6238"/>
      </patternFill>
    </fill>
  </fills>
  <borders count="29">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DEDFDE"/>
      </left>
      <right style="medium">
        <color rgb="FFEFEFE2"/>
      </right>
      <top style="medium">
        <color rgb="FFDEDFDE"/>
      </top>
      <bottom style="medium">
        <color rgb="FFDEDFDE"/>
      </bottom>
      <diagonal/>
    </border>
    <border>
      <left style="medium">
        <color rgb="FFEFEFE2"/>
      </left>
      <right style="medium">
        <color rgb="FFDEDFDE"/>
      </right>
      <top style="medium">
        <color rgb="FFDEDFDE"/>
      </top>
      <bottom style="medium">
        <color rgb="FFDEDFDE"/>
      </bottom>
      <diagonal/>
    </border>
    <border>
      <left style="thin">
        <color rgb="FF000000"/>
      </left>
      <right style="thin">
        <color rgb="FF000000"/>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8"/>
      </top>
      <bottom/>
      <diagonal/>
    </border>
    <border>
      <left/>
      <right/>
      <top style="thin">
        <color rgb="FF000000"/>
      </top>
      <bottom style="thin">
        <color indexed="64"/>
      </bottom>
      <diagonal/>
    </border>
    <border>
      <left style="thin">
        <color rgb="FF000000"/>
      </left>
      <right style="thin">
        <color rgb="FF000000"/>
      </right>
      <top/>
      <bottom style="thin">
        <color rgb="FF000000"/>
      </bottom>
      <diagonal/>
    </border>
  </borders>
  <cellStyleXfs count="51">
    <xf numFmtId="0" fontId="0" fillId="0" borderId="0"/>
    <xf numFmtId="189" fontId="1" fillId="0" borderId="0" applyFont="0" applyFill="0" applyBorder="0" applyAlignment="0" applyProtection="0"/>
    <xf numFmtId="186"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0" borderId="0" applyNumberFormat="0" applyBorder="0" applyAlignment="0" applyProtection="0"/>
    <xf numFmtId="0" fontId="5"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6" fillId="0"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200" fontId="1" fillId="0" borderId="0" applyFont="0" applyFill="0" applyBorder="0" applyAlignment="0" applyProtection="0"/>
    <xf numFmtId="189" fontId="1" fillId="0" borderId="0" applyFont="0" applyFill="0" applyBorder="0" applyAlignment="0" applyProtection="0"/>
    <xf numFmtId="0" fontId="8" fillId="0" borderId="0" applyNumberFormat="0" applyFill="0" applyBorder="0" applyAlignment="0" applyProtection="0"/>
    <xf numFmtId="0" fontId="9" fillId="0" borderId="0" applyNumberFormat="0" applyBorder="0" applyAlignment="0" applyProtection="0"/>
    <xf numFmtId="0" fontId="9" fillId="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0" borderId="0" applyNumberFormat="0" applyBorder="0" applyAlignment="0" applyProtection="0"/>
    <xf numFmtId="0" fontId="12" fillId="0" borderId="0" applyNumberFormat="0" applyBorder="0" applyAlignment="0" applyProtection="0"/>
    <xf numFmtId="0" fontId="5" fillId="0" borderId="0" applyNumberFormat="0" applyBorder="0" applyProtection="0"/>
    <xf numFmtId="0" fontId="5" fillId="0" borderId="0" applyNumberFormat="0" applyBorder="0" applyProtection="0"/>
    <xf numFmtId="0" fontId="5" fillId="0" borderId="0" applyNumberFormat="0" applyBorder="0" applyProtection="0"/>
    <xf numFmtId="0" fontId="13" fillId="8" borderId="0" applyNumberFormat="0" applyBorder="0" applyAlignment="0" applyProtection="0"/>
    <xf numFmtId="0" fontId="13" fillId="8" borderId="0" applyNumberFormat="0" applyBorder="0" applyAlignment="0" applyProtection="0"/>
    <xf numFmtId="0" fontId="14" fillId="0" borderId="0" applyNumberFormat="0" applyBorder="0" applyAlignment="0" applyProtection="0"/>
    <xf numFmtId="0" fontId="14" fillId="0" borderId="0" applyNumberFormat="0" applyBorder="0" applyAlignment="0" applyProtection="0"/>
    <xf numFmtId="0" fontId="15" fillId="0" borderId="0" applyNumberFormat="0" applyBorder="0" applyAlignment="0" applyProtection="0"/>
    <xf numFmtId="0" fontId="15" fillId="0" borderId="0" applyNumberFormat="0" applyBorder="0" applyAlignment="0" applyProtection="0"/>
    <xf numFmtId="0" fontId="16" fillId="0" borderId="0" applyNumberFormat="0" applyBorder="0" applyAlignment="0" applyProtection="0"/>
    <xf numFmtId="0" fontId="16" fillId="0" borderId="0" applyNumberFormat="0" applyBorder="0" applyAlignment="0" applyProtection="0"/>
    <xf numFmtId="0" fontId="17" fillId="0" borderId="0" applyNumberFormat="0" applyBorder="0" applyAlignment="0" applyProtection="0"/>
    <xf numFmtId="0" fontId="17" fillId="0" borderId="0" applyNumberFormat="0" applyBorder="0" applyAlignment="0" applyProtection="0"/>
    <xf numFmtId="0" fontId="18" fillId="0" borderId="0" applyNumberFormat="0" applyBorder="0" applyAlignment="0" applyProtection="0"/>
    <xf numFmtId="0" fontId="18" fillId="0" borderId="0" applyNumberFormat="0" applyBorder="0" applyAlignment="0" applyProtection="0"/>
    <xf numFmtId="0" fontId="19" fillId="0" borderId="0" applyNumberFormat="0" applyBorder="0" applyAlignment="0" applyProtection="0"/>
    <xf numFmtId="0" fontId="19" fillId="0" borderId="0" applyNumberFormat="0" applyBorder="0" applyAlignment="0" applyProtection="0"/>
    <xf numFmtId="0" fontId="16" fillId="0" borderId="0" applyNumberFormat="0" applyBorder="0" applyAlignment="0" applyProtection="0"/>
    <xf numFmtId="0" fontId="16" fillId="0" borderId="0" applyNumberFormat="0" applyBorder="0" applyAlignment="0" applyProtection="0"/>
    <xf numFmtId="0" fontId="64" fillId="35" borderId="0" applyNumberFormat="0" applyBorder="0" applyAlignment="0" applyProtection="0"/>
    <xf numFmtId="0" fontId="64" fillId="49" borderId="0" applyNumberFormat="0" applyBorder="0" applyAlignment="0" applyProtection="0"/>
  </cellStyleXfs>
  <cellXfs count="534">
    <xf numFmtId="0" fontId="0" fillId="0" borderId="0" xfId="0"/>
    <xf numFmtId="0" fontId="16" fillId="0" borderId="0" xfId="0" applyFont="1" applyAlignment="1">
      <alignment horizontal="left" vertical="top"/>
    </xf>
    <xf numFmtId="182" fontId="18" fillId="0" borderId="0" xfId="0" applyNumberFormat="1" applyFont="1" applyAlignment="1">
      <alignment horizontal="right" vertical="top" wrapText="1"/>
    </xf>
    <xf numFmtId="182" fontId="16" fillId="0" borderId="0" xfId="0" applyNumberFormat="1" applyFont="1" applyAlignment="1">
      <alignment horizontal="right" vertical="top" wrapText="1"/>
    </xf>
    <xf numFmtId="0" fontId="18" fillId="0" borderId="0" xfId="0" applyFont="1"/>
    <xf numFmtId="167" fontId="20" fillId="0" borderId="0" xfId="19" applyNumberFormat="1" applyFont="1" applyAlignment="1">
      <alignment vertical="center"/>
    </xf>
    <xf numFmtId="167" fontId="20" fillId="0" borderId="0" xfId="19" applyNumberFormat="1" applyFont="1" applyAlignment="1">
      <alignment horizontal="right" vertical="center"/>
    </xf>
    <xf numFmtId="0" fontId="20" fillId="0" borderId="0" xfId="19" applyNumberFormat="1" applyFont="1" applyAlignment="1">
      <alignment horizontal="left" vertical="center"/>
    </xf>
    <xf numFmtId="167" fontId="23" fillId="0" borderId="0" xfId="19" applyNumberFormat="1" applyFont="1" applyAlignment="1">
      <alignment horizontal="right" vertical="center"/>
    </xf>
    <xf numFmtId="14" fontId="20" fillId="0" borderId="0" xfId="19" applyNumberFormat="1" applyFont="1" applyAlignment="1">
      <alignment horizontal="right" vertical="center"/>
    </xf>
    <xf numFmtId="165" fontId="20" fillId="0" borderId="0" xfId="19" applyNumberFormat="1" applyFont="1" applyFill="1" applyAlignment="1">
      <alignment horizontal="right" vertical="center"/>
    </xf>
    <xf numFmtId="0" fontId="22" fillId="0" borderId="1" xfId="19" applyNumberFormat="1" applyFont="1" applyBorder="1" applyAlignment="1">
      <alignment horizontal="left" vertical="center"/>
    </xf>
    <xf numFmtId="165" fontId="22" fillId="0" borderId="1" xfId="19" applyNumberFormat="1" applyFont="1" applyFill="1" applyBorder="1" applyAlignment="1">
      <alignment horizontal="right" vertical="center"/>
    </xf>
    <xf numFmtId="0" fontId="22" fillId="0" borderId="3" xfId="19" applyNumberFormat="1" applyFont="1" applyBorder="1" applyAlignment="1">
      <alignment horizontal="left" vertical="center"/>
    </xf>
    <xf numFmtId="165" fontId="22" fillId="0" borderId="3" xfId="19" applyNumberFormat="1" applyFont="1" applyFill="1" applyBorder="1" applyAlignment="1">
      <alignment horizontal="right" vertical="center"/>
    </xf>
    <xf numFmtId="0" fontId="22" fillId="0" borderId="4" xfId="19" applyNumberFormat="1" applyFont="1" applyBorder="1" applyAlignment="1">
      <alignment horizontal="left" vertical="center"/>
    </xf>
    <xf numFmtId="165" fontId="22" fillId="0" borderId="4" xfId="19" applyNumberFormat="1" applyFont="1" applyFill="1" applyBorder="1" applyAlignment="1">
      <alignment horizontal="right" vertical="center"/>
    </xf>
    <xf numFmtId="0" fontId="22" fillId="0" borderId="0" xfId="19" applyNumberFormat="1" applyFont="1" applyAlignment="1">
      <alignment horizontal="left" vertical="center"/>
    </xf>
    <xf numFmtId="165" fontId="22" fillId="0" borderId="0" xfId="19" applyNumberFormat="1" applyFont="1" applyFill="1" applyAlignment="1">
      <alignment horizontal="right" vertical="center"/>
    </xf>
    <xf numFmtId="165" fontId="22" fillId="0" borderId="0" xfId="19" applyNumberFormat="1" applyFont="1" applyAlignment="1">
      <alignment horizontal="right" vertical="center"/>
    </xf>
    <xf numFmtId="165" fontId="26" fillId="0" borderId="0" xfId="19" applyNumberFormat="1" applyFont="1" applyAlignment="1">
      <alignment horizontal="right" vertical="center"/>
    </xf>
    <xf numFmtId="167" fontId="20" fillId="0" borderId="0" xfId="19" applyNumberFormat="1" applyFont="1" applyFill="1" applyAlignment="1">
      <alignment vertical="center"/>
    </xf>
    <xf numFmtId="0" fontId="20" fillId="0" borderId="0" xfId="19" applyNumberFormat="1" applyFont="1" applyFill="1" applyAlignment="1">
      <alignment horizontal="left" vertical="center"/>
    </xf>
    <xf numFmtId="0" fontId="22" fillId="0" borderId="0" xfId="19" applyNumberFormat="1" applyFont="1" applyFill="1" applyAlignment="1">
      <alignment horizontal="left" vertical="center"/>
    </xf>
    <xf numFmtId="165" fontId="25" fillId="0" borderId="0" xfId="19" applyNumberFormat="1" applyFont="1" applyFill="1" applyAlignment="1">
      <alignment horizontal="right" vertical="center"/>
    </xf>
    <xf numFmtId="0" fontId="20" fillId="0" borderId="0" xfId="0" applyFont="1" applyAlignment="1">
      <alignment horizontal="left" vertical="center"/>
    </xf>
    <xf numFmtId="165" fontId="20" fillId="0" borderId="0" xfId="0" applyNumberFormat="1" applyFont="1" applyAlignment="1">
      <alignment horizontal="right" vertical="center"/>
    </xf>
    <xf numFmtId="0" fontId="22" fillId="0" borderId="1" xfId="19" applyNumberFormat="1" applyFont="1" applyFill="1" applyBorder="1" applyAlignment="1">
      <alignment horizontal="left" vertical="center"/>
    </xf>
    <xf numFmtId="0" fontId="20" fillId="0" borderId="1" xfId="19" applyNumberFormat="1" applyFont="1" applyFill="1" applyBorder="1" applyAlignment="1">
      <alignment horizontal="left" vertical="center"/>
    </xf>
    <xf numFmtId="165" fontId="20" fillId="0" borderId="1" xfId="19" applyNumberFormat="1" applyFont="1" applyFill="1" applyBorder="1" applyAlignment="1">
      <alignment horizontal="right" vertical="center"/>
    </xf>
    <xf numFmtId="0" fontId="22" fillId="0" borderId="4" xfId="19" applyNumberFormat="1" applyFont="1" applyFill="1" applyBorder="1" applyAlignment="1">
      <alignment horizontal="left" vertical="center"/>
    </xf>
    <xf numFmtId="165" fontId="20" fillId="0" borderId="0" xfId="3" applyNumberFormat="1" applyFont="1" applyFill="1" applyAlignment="1">
      <alignment horizontal="right" vertical="center"/>
    </xf>
    <xf numFmtId="165" fontId="25" fillId="0" borderId="0" xfId="3" applyNumberFormat="1" applyFont="1" applyAlignment="1">
      <alignment horizontal="right" vertical="center"/>
    </xf>
    <xf numFmtId="167" fontId="23" fillId="0" borderId="0" xfId="19" applyNumberFormat="1" applyFont="1" applyFill="1" applyAlignment="1">
      <alignment vertical="center"/>
    </xf>
    <xf numFmtId="165" fontId="20" fillId="0" borderId="0" xfId="19" applyNumberFormat="1" applyFont="1" applyAlignment="1">
      <alignment horizontal="right" vertical="center"/>
    </xf>
    <xf numFmtId="165" fontId="25" fillId="0" borderId="0" xfId="19" applyNumberFormat="1" applyFont="1" applyAlignment="1">
      <alignment horizontal="right" vertical="center"/>
    </xf>
    <xf numFmtId="165" fontId="24" fillId="0" borderId="3" xfId="19" applyNumberFormat="1" applyFont="1" applyFill="1" applyBorder="1" applyAlignment="1">
      <alignment horizontal="right" vertical="center"/>
    </xf>
    <xf numFmtId="165" fontId="27" fillId="0" borderId="0" xfId="19" applyNumberFormat="1" applyFont="1" applyFill="1" applyAlignment="1">
      <alignment horizontal="right" vertical="center"/>
    </xf>
    <xf numFmtId="0" fontId="20" fillId="0" borderId="2" xfId="19" applyNumberFormat="1" applyFont="1" applyBorder="1" applyAlignment="1">
      <alignment horizontal="left" vertical="center"/>
    </xf>
    <xf numFmtId="165" fontId="20" fillId="0" borderId="2" xfId="19" applyNumberFormat="1" applyFont="1" applyBorder="1" applyAlignment="1">
      <alignment horizontal="right" vertical="center"/>
    </xf>
    <xf numFmtId="182" fontId="24" fillId="0" borderId="0" xfId="31" applyNumberFormat="1" applyFont="1" applyAlignment="1" applyProtection="1">
      <alignment horizontal="right" vertical="top" wrapText="1"/>
    </xf>
    <xf numFmtId="166" fontId="25" fillId="12" borderId="2" xfId="3" applyNumberFormat="1" applyFont="1" applyFill="1" applyBorder="1" applyAlignment="1">
      <alignment horizontal="right" vertical="center"/>
    </xf>
    <xf numFmtId="0" fontId="28" fillId="0" borderId="0" xfId="19" applyNumberFormat="1" applyFont="1" applyAlignment="1">
      <alignment horizontal="left" vertical="center"/>
    </xf>
    <xf numFmtId="165" fontId="28" fillId="0" borderId="0" xfId="19" applyNumberFormat="1" applyFont="1" applyAlignment="1">
      <alignment horizontal="right" vertical="center"/>
    </xf>
    <xf numFmtId="167" fontId="22" fillId="0" borderId="0" xfId="19" applyNumberFormat="1" applyFont="1" applyAlignment="1">
      <alignment horizontal="right" vertical="center"/>
    </xf>
    <xf numFmtId="167" fontId="22" fillId="0" borderId="1" xfId="19" applyNumberFormat="1" applyFont="1" applyBorder="1" applyAlignment="1">
      <alignment horizontal="right" vertical="center"/>
    </xf>
    <xf numFmtId="167" fontId="23" fillId="0" borderId="0" xfId="19" applyNumberFormat="1" applyFont="1" applyAlignment="1">
      <alignment vertical="center"/>
    </xf>
    <xf numFmtId="165" fontId="24" fillId="0" borderId="0" xfId="19" applyNumberFormat="1" applyFont="1" applyAlignment="1">
      <alignment horizontal="right" vertical="center"/>
    </xf>
    <xf numFmtId="0" fontId="22" fillId="0" borderId="2" xfId="19" applyNumberFormat="1" applyFont="1" applyBorder="1" applyAlignment="1">
      <alignment horizontal="left" vertical="center"/>
    </xf>
    <xf numFmtId="165" fontId="24" fillId="0" borderId="2" xfId="19" applyNumberFormat="1" applyFont="1" applyBorder="1" applyAlignment="1">
      <alignment horizontal="right" vertical="center"/>
    </xf>
    <xf numFmtId="0" fontId="20" fillId="0" borderId="1" xfId="19" applyNumberFormat="1" applyFont="1" applyBorder="1" applyAlignment="1">
      <alignment horizontal="left" vertical="center"/>
    </xf>
    <xf numFmtId="167" fontId="20" fillId="0" borderId="1" xfId="19" applyNumberFormat="1" applyFont="1" applyBorder="1" applyAlignment="1">
      <alignment horizontal="right" vertical="center"/>
    </xf>
    <xf numFmtId="168" fontId="20" fillId="0" borderId="0" xfId="19" applyNumberFormat="1" applyFont="1" applyAlignment="1">
      <alignment vertical="center"/>
    </xf>
    <xf numFmtId="168" fontId="20" fillId="0" borderId="0" xfId="19" applyNumberFormat="1" applyFont="1" applyAlignment="1">
      <alignment horizontal="left" vertical="center"/>
    </xf>
    <xf numFmtId="168" fontId="20" fillId="0" borderId="0" xfId="19" applyNumberFormat="1" applyFont="1" applyAlignment="1">
      <alignment horizontal="right" vertical="center"/>
    </xf>
    <xf numFmtId="9" fontId="20" fillId="0" borderId="0" xfId="3" applyFont="1" applyAlignment="1">
      <alignment horizontal="right" vertical="center"/>
    </xf>
    <xf numFmtId="10" fontId="20" fillId="0" borderId="0" xfId="3" applyNumberFormat="1" applyFont="1" applyAlignment="1">
      <alignment horizontal="right" vertical="center"/>
    </xf>
    <xf numFmtId="168" fontId="20" fillId="13" borderId="0" xfId="19" applyNumberFormat="1" applyFont="1" applyFill="1" applyAlignment="1">
      <alignment horizontal="left" vertical="center"/>
    </xf>
    <xf numFmtId="168" fontId="20" fillId="13" borderId="0" xfId="19" applyNumberFormat="1" applyFont="1" applyFill="1" applyAlignment="1">
      <alignment horizontal="right" vertical="center"/>
    </xf>
    <xf numFmtId="168" fontId="20" fillId="13" borderId="0" xfId="19" applyNumberFormat="1" applyFont="1" applyFill="1" applyAlignment="1">
      <alignment vertical="center"/>
    </xf>
    <xf numFmtId="183" fontId="20" fillId="0" borderId="0" xfId="19" applyNumberFormat="1" applyFont="1" applyAlignment="1">
      <alignment horizontal="left" vertical="center" indent="1"/>
    </xf>
    <xf numFmtId="10" fontId="20" fillId="0" borderId="0" xfId="3" applyNumberFormat="1" applyFont="1" applyAlignment="1">
      <alignment vertical="center"/>
    </xf>
    <xf numFmtId="10" fontId="20" fillId="0" borderId="0" xfId="3" applyNumberFormat="1" applyFont="1" applyFill="1" applyAlignment="1">
      <alignment vertical="center"/>
    </xf>
    <xf numFmtId="10" fontId="20" fillId="0" borderId="0" xfId="3" applyNumberFormat="1" applyFont="1" applyFill="1" applyAlignment="1">
      <alignment horizontal="right" vertical="center"/>
    </xf>
    <xf numFmtId="9" fontId="20" fillId="0" borderId="0" xfId="3" applyFont="1" applyAlignment="1">
      <alignment vertical="center"/>
    </xf>
    <xf numFmtId="168" fontId="20" fillId="0" borderId="0" xfId="19" applyNumberFormat="1" applyFont="1" applyFill="1" applyAlignment="1">
      <alignment horizontal="left" vertical="center"/>
    </xf>
    <xf numFmtId="168" fontId="20" fillId="0" borderId="0" xfId="19" applyNumberFormat="1" applyFont="1" applyFill="1" applyAlignment="1">
      <alignment horizontal="right" vertical="center"/>
    </xf>
    <xf numFmtId="168" fontId="20" fillId="0" borderId="0" xfId="19" applyNumberFormat="1" applyFont="1" applyFill="1" applyAlignment="1">
      <alignment vertical="center"/>
    </xf>
    <xf numFmtId="1" fontId="20" fillId="0" borderId="0" xfId="3" applyNumberFormat="1" applyFont="1" applyFill="1" applyAlignment="1">
      <alignment horizontal="right" vertical="center"/>
    </xf>
    <xf numFmtId="176" fontId="20" fillId="0" borderId="0" xfId="3" applyNumberFormat="1" applyFont="1" applyAlignment="1">
      <alignment horizontal="right" vertical="center"/>
    </xf>
    <xf numFmtId="168" fontId="20" fillId="14" borderId="0" xfId="19" applyNumberFormat="1" applyFont="1" applyFill="1" applyAlignment="1">
      <alignment horizontal="left" vertical="center"/>
    </xf>
    <xf numFmtId="168" fontId="20" fillId="14" borderId="0" xfId="19" applyNumberFormat="1" applyFont="1" applyFill="1" applyAlignment="1">
      <alignment horizontal="right" vertical="center"/>
    </xf>
    <xf numFmtId="168" fontId="20" fillId="14" borderId="0" xfId="19" applyNumberFormat="1" applyFont="1" applyFill="1" applyAlignment="1">
      <alignment vertical="center"/>
    </xf>
    <xf numFmtId="168" fontId="20" fillId="15" borderId="0" xfId="19" applyNumberFormat="1" applyFont="1" applyFill="1" applyAlignment="1">
      <alignment horizontal="left" vertical="center"/>
    </xf>
    <xf numFmtId="168" fontId="20" fillId="15" borderId="0" xfId="19" applyNumberFormat="1" applyFont="1" applyFill="1" applyAlignment="1">
      <alignment horizontal="right" vertical="center"/>
    </xf>
    <xf numFmtId="168" fontId="20" fillId="15" borderId="0" xfId="19" applyNumberFormat="1" applyFont="1" applyFill="1" applyAlignment="1">
      <alignment vertical="center"/>
    </xf>
    <xf numFmtId="183" fontId="20" fillId="0" borderId="0" xfId="19" applyNumberFormat="1" applyFont="1" applyAlignment="1">
      <alignment horizontal="right" vertical="center"/>
    </xf>
    <xf numFmtId="1" fontId="20" fillId="0" borderId="0" xfId="2" applyNumberFormat="1" applyFont="1" applyAlignment="1">
      <alignment horizontal="right" vertical="center"/>
    </xf>
    <xf numFmtId="168" fontId="20" fillId="16" borderId="0" xfId="19" applyNumberFormat="1" applyFont="1" applyFill="1" applyAlignment="1">
      <alignment horizontal="left" vertical="center"/>
    </xf>
    <xf numFmtId="168" fontId="20" fillId="17" borderId="0" xfId="19" applyNumberFormat="1" applyFont="1" applyFill="1" applyAlignment="1">
      <alignment vertical="center"/>
    </xf>
    <xf numFmtId="168" fontId="20" fillId="9" borderId="0" xfId="19" applyNumberFormat="1" applyFont="1" applyFill="1" applyAlignment="1">
      <alignment vertical="center"/>
    </xf>
    <xf numFmtId="168" fontId="20" fillId="18" borderId="0" xfId="19" applyNumberFormat="1" applyFont="1" applyFill="1" applyAlignment="1">
      <alignment horizontal="left" vertical="center"/>
    </xf>
    <xf numFmtId="168" fontId="20" fillId="18" borderId="0" xfId="19" applyNumberFormat="1" applyFont="1" applyFill="1" applyAlignment="1">
      <alignment horizontal="right" vertical="center"/>
    </xf>
    <xf numFmtId="168" fontId="20" fillId="18" borderId="0" xfId="19" applyNumberFormat="1" applyFont="1" applyFill="1" applyAlignment="1">
      <alignment vertical="center"/>
    </xf>
    <xf numFmtId="2" fontId="20" fillId="0" borderId="0" xfId="2" applyNumberFormat="1" applyFont="1" applyAlignment="1">
      <alignment vertical="center"/>
    </xf>
    <xf numFmtId="168" fontId="20" fillId="19" borderId="0" xfId="19" applyNumberFormat="1" applyFont="1" applyFill="1" applyAlignment="1">
      <alignment horizontal="left" vertical="center"/>
    </xf>
    <xf numFmtId="168" fontId="20" fillId="19" borderId="0" xfId="19" applyNumberFormat="1" applyFont="1" applyFill="1" applyAlignment="1">
      <alignment horizontal="right" vertical="center"/>
    </xf>
    <xf numFmtId="168" fontId="20" fillId="19" borderId="0" xfId="19" applyNumberFormat="1" applyFont="1" applyFill="1" applyAlignment="1">
      <alignment vertical="center"/>
    </xf>
    <xf numFmtId="0" fontId="20" fillId="0" borderId="0" xfId="1" applyNumberFormat="1" applyFont="1" applyAlignment="1">
      <alignment horizontal="left" vertical="center"/>
    </xf>
    <xf numFmtId="1" fontId="20" fillId="0" borderId="0" xfId="3" applyNumberFormat="1" applyFont="1" applyAlignment="1">
      <alignment horizontal="right" vertical="center"/>
    </xf>
    <xf numFmtId="10" fontId="20" fillId="0" borderId="0" xfId="19" applyNumberFormat="1" applyFont="1" applyAlignment="1">
      <alignment horizontal="right" vertical="center"/>
    </xf>
    <xf numFmtId="1" fontId="20" fillId="0" borderId="0" xfId="19" applyNumberFormat="1" applyFont="1" applyAlignment="1">
      <alignment horizontal="right" vertical="center"/>
    </xf>
    <xf numFmtId="0" fontId="20" fillId="19" borderId="0" xfId="1" applyNumberFormat="1" applyFont="1" applyFill="1" applyAlignment="1">
      <alignment horizontal="left" vertical="center"/>
    </xf>
    <xf numFmtId="167" fontId="20" fillId="19" borderId="0" xfId="19" applyNumberFormat="1" applyFont="1" applyFill="1" applyAlignment="1">
      <alignment horizontal="right" vertical="center"/>
    </xf>
    <xf numFmtId="167" fontId="20" fillId="19" borderId="0" xfId="19" applyNumberFormat="1" applyFont="1" applyFill="1" applyAlignment="1">
      <alignment vertical="center"/>
    </xf>
    <xf numFmtId="10" fontId="29" fillId="0" borderId="0" xfId="19" applyNumberFormat="1" applyFont="1" applyAlignment="1">
      <alignment horizontal="right" vertical="center"/>
    </xf>
    <xf numFmtId="0" fontId="31" fillId="0" borderId="0" xfId="0" applyFont="1" applyAlignment="1">
      <alignment horizontal="left" vertical="center"/>
    </xf>
    <xf numFmtId="0" fontId="32" fillId="0" borderId="5" xfId="0" applyFont="1" applyBorder="1" applyAlignment="1">
      <alignment horizontal="center" wrapText="1"/>
    </xf>
    <xf numFmtId="0" fontId="33" fillId="20" borderId="5" xfId="0" applyFont="1" applyFill="1" applyBorder="1" applyAlignment="1">
      <alignment vertical="center"/>
    </xf>
    <xf numFmtId="0" fontId="34" fillId="20" borderId="5" xfId="0" applyFont="1" applyFill="1" applyBorder="1" applyAlignment="1">
      <alignment horizontal="center" vertical="center"/>
    </xf>
    <xf numFmtId="0" fontId="0" fillId="0" borderId="0" xfId="0" applyAlignment="1">
      <alignment horizontal="left" vertical="center"/>
    </xf>
    <xf numFmtId="0" fontId="0" fillId="21" borderId="5" xfId="0" applyFill="1" applyBorder="1" applyAlignment="1">
      <alignment vertical="center"/>
    </xf>
    <xf numFmtId="10" fontId="1" fillId="21" borderId="5" xfId="3" applyNumberFormat="1" applyFill="1" applyBorder="1" applyAlignment="1">
      <alignment horizontal="center" vertical="center"/>
    </xf>
    <xf numFmtId="0" fontId="0" fillId="22" borderId="5" xfId="0" applyFill="1" applyBorder="1" applyAlignment="1">
      <alignment vertical="center"/>
    </xf>
    <xf numFmtId="10" fontId="1" fillId="22" borderId="5" xfId="3" applyNumberFormat="1" applyFill="1" applyBorder="1" applyAlignment="1">
      <alignment horizontal="center" vertical="center"/>
    </xf>
    <xf numFmtId="10" fontId="34" fillId="20" borderId="5" xfId="3" applyNumberFormat="1" applyFont="1" applyFill="1" applyBorder="1" applyAlignment="1">
      <alignment horizontal="center" vertical="center"/>
    </xf>
    <xf numFmtId="0" fontId="0" fillId="23" borderId="5" xfId="0" applyFill="1" applyBorder="1" applyAlignment="1">
      <alignment vertical="center"/>
    </xf>
    <xf numFmtId="10" fontId="1" fillId="23" borderId="5" xfId="3" applyNumberFormat="1" applyFill="1" applyBorder="1" applyAlignment="1">
      <alignment horizontal="center" vertical="center"/>
    </xf>
    <xf numFmtId="170" fontId="1" fillId="23" borderId="5" xfId="3" applyNumberFormat="1" applyFill="1" applyBorder="1" applyAlignment="1">
      <alignment horizontal="center" vertical="center"/>
    </xf>
    <xf numFmtId="0" fontId="0" fillId="24" borderId="5" xfId="0" applyFill="1" applyBorder="1" applyAlignment="1">
      <alignment vertical="center"/>
    </xf>
    <xf numFmtId="170" fontId="1" fillId="24" borderId="5" xfId="3" applyNumberFormat="1" applyFill="1" applyBorder="1" applyAlignment="1">
      <alignment horizontal="center" vertical="center"/>
    </xf>
    <xf numFmtId="10" fontId="1" fillId="12" borderId="5" xfId="3" applyNumberFormat="1" applyFill="1" applyBorder="1" applyAlignment="1">
      <alignment horizontal="center" vertical="center"/>
    </xf>
    <xf numFmtId="10" fontId="1" fillId="24" borderId="5" xfId="3" applyNumberFormat="1" applyFill="1" applyBorder="1" applyAlignment="1">
      <alignment horizontal="center" vertical="center"/>
    </xf>
    <xf numFmtId="0" fontId="0" fillId="25" borderId="5" xfId="0" applyFill="1" applyBorder="1" applyAlignment="1">
      <alignment vertical="center"/>
    </xf>
    <xf numFmtId="10" fontId="1" fillId="25" borderId="5" xfId="3" applyNumberFormat="1" applyFill="1" applyBorder="1" applyAlignment="1">
      <alignment horizontal="center" vertical="center"/>
    </xf>
    <xf numFmtId="0" fontId="0" fillId="0" borderId="0" xfId="0" applyAlignment="1">
      <alignment vertical="center"/>
    </xf>
    <xf numFmtId="169" fontId="1" fillId="0" borderId="0" xfId="3" applyNumberFormat="1" applyAlignment="1">
      <alignment horizontal="center" vertical="center"/>
    </xf>
    <xf numFmtId="0" fontId="0" fillId="0" borderId="0" xfId="0" applyAlignment="1">
      <alignment horizontal="center" vertical="center"/>
    </xf>
    <xf numFmtId="0" fontId="20" fillId="0" borderId="0" xfId="0" applyFont="1"/>
    <xf numFmtId="0" fontId="22" fillId="0" borderId="2" xfId="0" applyFont="1" applyBorder="1" applyAlignment="1">
      <alignment vertical="center" wrapText="1"/>
    </xf>
    <xf numFmtId="0" fontId="22" fillId="0" borderId="1" xfId="0" applyFont="1" applyBorder="1" applyAlignment="1">
      <alignment vertical="center" wrapText="1"/>
    </xf>
    <xf numFmtId="0" fontId="22" fillId="26" borderId="5" xfId="0" applyFont="1" applyFill="1" applyBorder="1" applyAlignment="1">
      <alignment vertical="center" wrapText="1"/>
    </xf>
    <xf numFmtId="0" fontId="20" fillId="0" borderId="5" xfId="0" applyFont="1" applyBorder="1" applyAlignment="1">
      <alignment vertical="center" wrapText="1"/>
    </xf>
    <xf numFmtId="0" fontId="40" fillId="0" borderId="0" xfId="0" applyFont="1" applyAlignment="1">
      <alignment horizontal="left" vertical="top"/>
    </xf>
    <xf numFmtId="0" fontId="0" fillId="0" borderId="0" xfId="0" applyAlignment="1">
      <alignment horizontal="left"/>
    </xf>
    <xf numFmtId="0" fontId="0" fillId="0" borderId="0" xfId="0" applyAlignment="1">
      <alignment horizontal="left" vertical="top" wrapText="1"/>
    </xf>
    <xf numFmtId="2" fontId="5" fillId="0" borderId="0" xfId="30" applyNumberFormat="1" applyProtection="1"/>
    <xf numFmtId="2" fontId="0" fillId="0" borderId="0" xfId="0" applyNumberFormat="1"/>
    <xf numFmtId="0" fontId="0" fillId="0" borderId="0" xfId="0" applyAlignment="1">
      <alignment horizontal="right"/>
    </xf>
    <xf numFmtId="0" fontId="18" fillId="0" borderId="0" xfId="0" applyFont="1" applyAlignment="1">
      <alignment horizontal="left"/>
    </xf>
    <xf numFmtId="0" fontId="40" fillId="0" borderId="0" xfId="0" applyFont="1" applyAlignment="1">
      <alignment horizontal="right" vertical="top" wrapText="1"/>
    </xf>
    <xf numFmtId="0" fontId="5" fillId="27" borderId="0" xfId="30" applyFill="1" applyAlignment="1" applyProtection="1">
      <alignment horizontal="left"/>
    </xf>
    <xf numFmtId="0" fontId="0" fillId="0" borderId="5" xfId="0" applyBorder="1"/>
    <xf numFmtId="2" fontId="0" fillId="0" borderId="5" xfId="0" applyNumberFormat="1" applyBorder="1"/>
    <xf numFmtId="0" fontId="39" fillId="0" borderId="0" xfId="0" applyFont="1" applyAlignment="1">
      <alignment horizontal="left"/>
    </xf>
    <xf numFmtId="0" fontId="40" fillId="0" borderId="0" xfId="0" applyFont="1" applyAlignment="1">
      <alignment vertical="top" wrapText="1"/>
    </xf>
    <xf numFmtId="0" fontId="20" fillId="0" borderId="0" xfId="0" applyFont="1" applyAlignment="1">
      <alignment horizontal="left"/>
    </xf>
    <xf numFmtId="0" fontId="22" fillId="0" borderId="0" xfId="0" applyFont="1" applyAlignment="1">
      <alignment horizontal="left"/>
    </xf>
    <xf numFmtId="0" fontId="22" fillId="0" borderId="5" xfId="0" applyFont="1" applyBorder="1" applyAlignment="1">
      <alignment horizontal="left"/>
    </xf>
    <xf numFmtId="0" fontId="22" fillId="0" borderId="5" xfId="0" applyFont="1" applyBorder="1" applyAlignment="1">
      <alignment horizontal="center"/>
    </xf>
    <xf numFmtId="0" fontId="20" fillId="0" borderId="5" xfId="30" applyFont="1" applyBorder="1" applyAlignment="1" applyProtection="1">
      <alignment horizontal="left" vertical="top" wrapText="1"/>
    </xf>
    <xf numFmtId="0" fontId="20" fillId="0" borderId="5" xfId="0" applyFont="1" applyBorder="1" applyAlignment="1">
      <alignment horizontal="left"/>
    </xf>
    <xf numFmtId="2" fontId="20" fillId="9" borderId="5" xfId="0" applyNumberFormat="1" applyFont="1" applyFill="1" applyBorder="1" applyAlignment="1">
      <alignment horizontal="center"/>
    </xf>
    <xf numFmtId="2" fontId="20" fillId="9" borderId="5" xfId="3" applyNumberFormat="1" applyFont="1" applyFill="1" applyBorder="1" applyAlignment="1">
      <alignment horizontal="center"/>
    </xf>
    <xf numFmtId="0" fontId="20" fillId="0" borderId="0" xfId="0" applyFont="1" applyAlignment="1">
      <alignment horizontal="center"/>
    </xf>
    <xf numFmtId="0" fontId="41" fillId="0" borderId="0" xfId="0" applyFont="1"/>
    <xf numFmtId="0" fontId="0" fillId="28" borderId="5" xfId="0" applyFill="1" applyBorder="1" applyAlignment="1">
      <alignment horizontal="left" vertical="center"/>
    </xf>
    <xf numFmtId="0" fontId="42" fillId="28" borderId="5" xfId="0" applyFont="1" applyFill="1" applyBorder="1" applyAlignment="1">
      <alignment horizontal="center" vertical="center"/>
    </xf>
    <xf numFmtId="2" fontId="0" fillId="28" borderId="5" xfId="0" applyNumberFormat="1" applyFill="1" applyBorder="1" applyAlignment="1">
      <alignment horizontal="center" vertical="center"/>
    </xf>
    <xf numFmtId="3" fontId="0" fillId="28" borderId="5" xfId="0" applyNumberFormat="1" applyFill="1" applyBorder="1" applyAlignment="1">
      <alignment horizontal="center" vertical="center"/>
    </xf>
    <xf numFmtId="0" fontId="0" fillId="28" borderId="5" xfId="0" applyFill="1" applyBorder="1" applyAlignment="1">
      <alignment horizontal="center" vertical="center"/>
    </xf>
    <xf numFmtId="10" fontId="0" fillId="28" borderId="5" xfId="0" applyNumberFormat="1" applyFill="1" applyBorder="1" applyAlignment="1">
      <alignment horizontal="center" vertical="center"/>
    </xf>
    <xf numFmtId="0" fontId="0" fillId="0" borderId="5" xfId="19" applyNumberFormat="1" applyFont="1" applyBorder="1"/>
    <xf numFmtId="3" fontId="0" fillId="0" borderId="0" xfId="0" applyNumberFormat="1" applyAlignment="1">
      <alignment horizontal="right"/>
    </xf>
    <xf numFmtId="164" fontId="0" fillId="0" borderId="0" xfId="0" applyNumberFormat="1"/>
    <xf numFmtId="10" fontId="0" fillId="0" borderId="0" xfId="0" applyNumberFormat="1"/>
    <xf numFmtId="10" fontId="1" fillId="0" borderId="0" xfId="3" applyNumberFormat="1"/>
    <xf numFmtId="9" fontId="0" fillId="0" borderId="0" xfId="0" applyNumberFormat="1"/>
    <xf numFmtId="0" fontId="41" fillId="0" borderId="0" xfId="0" applyFont="1" applyAlignment="1">
      <alignment wrapText="1"/>
    </xf>
    <xf numFmtId="165" fontId="0" fillId="0" borderId="0" xfId="0" applyNumberFormat="1"/>
    <xf numFmtId="0" fontId="41" fillId="0" borderId="5" xfId="0" applyFont="1" applyBorder="1"/>
    <xf numFmtId="167" fontId="20" fillId="0" borderId="0" xfId="19" applyNumberFormat="1" applyFont="1"/>
    <xf numFmtId="2" fontId="21" fillId="10" borderId="0" xfId="0" applyNumberFormat="1" applyFont="1" applyFill="1" applyAlignment="1">
      <alignment vertical="center"/>
    </xf>
    <xf numFmtId="171" fontId="21" fillId="11" borderId="0" xfId="19" applyNumberFormat="1" applyFont="1" applyFill="1" applyAlignment="1">
      <alignment horizontal="right"/>
    </xf>
    <xf numFmtId="167" fontId="21" fillId="0" borderId="0" xfId="0" applyNumberFormat="1" applyFont="1" applyAlignment="1">
      <alignment horizontal="right" vertical="center"/>
    </xf>
    <xf numFmtId="171" fontId="21" fillId="0" borderId="0" xfId="19" applyNumberFormat="1" applyFont="1"/>
    <xf numFmtId="165" fontId="20" fillId="0" borderId="0" xfId="19" applyNumberFormat="1" applyFont="1"/>
    <xf numFmtId="2" fontId="20" fillId="0" borderId="5" xfId="19" applyNumberFormat="1" applyFont="1" applyBorder="1"/>
    <xf numFmtId="165" fontId="20" fillId="9" borderId="5" xfId="19" applyNumberFormat="1" applyFont="1" applyFill="1" applyBorder="1" applyAlignment="1">
      <alignment horizontal="right"/>
    </xf>
    <xf numFmtId="2" fontId="22" fillId="0" borderId="5" xfId="19" applyNumberFormat="1" applyFont="1" applyBorder="1"/>
    <xf numFmtId="165" fontId="22" fillId="9" borderId="5" xfId="19" applyNumberFormat="1" applyFont="1" applyFill="1" applyBorder="1" applyAlignment="1">
      <alignment horizontal="right"/>
    </xf>
    <xf numFmtId="165" fontId="22" fillId="0" borderId="0" xfId="19" applyNumberFormat="1" applyFont="1"/>
    <xf numFmtId="165" fontId="20" fillId="0" borderId="0" xfId="19" applyNumberFormat="1" applyFont="1" applyAlignment="1">
      <alignment horizontal="right"/>
    </xf>
    <xf numFmtId="165" fontId="22" fillId="9" borderId="5" xfId="19" applyNumberFormat="1" applyFont="1" applyFill="1" applyBorder="1"/>
    <xf numFmtId="2" fontId="20" fillId="0" borderId="5" xfId="19" applyNumberFormat="1" applyFont="1" applyFill="1" applyBorder="1"/>
    <xf numFmtId="165" fontId="20" fillId="0" borderId="0" xfId="19" applyNumberFormat="1" applyFont="1" applyFill="1" applyAlignment="1">
      <alignment horizontal="right"/>
    </xf>
    <xf numFmtId="165" fontId="22" fillId="0" borderId="0" xfId="19" applyNumberFormat="1" applyFont="1" applyFill="1"/>
    <xf numFmtId="2" fontId="22" fillId="0" borderId="0" xfId="19" applyNumberFormat="1" applyFont="1" applyFill="1"/>
    <xf numFmtId="165" fontId="20" fillId="0" borderId="0" xfId="19" applyNumberFormat="1" applyFont="1" applyFill="1"/>
    <xf numFmtId="2" fontId="20" fillId="0" borderId="5" xfId="19" applyNumberFormat="1" applyFont="1" applyFill="1" applyBorder="1" applyProtection="1">
      <protection locked="0"/>
    </xf>
    <xf numFmtId="165" fontId="24" fillId="9" borderId="5" xfId="19" applyNumberFormat="1" applyFont="1" applyFill="1" applyBorder="1" applyAlignment="1">
      <alignment horizontal="right"/>
    </xf>
    <xf numFmtId="165" fontId="24" fillId="9" borderId="5" xfId="19" applyNumberFormat="1" applyFont="1" applyFill="1" applyBorder="1"/>
    <xf numFmtId="2" fontId="20" fillId="0" borderId="0" xfId="19" applyNumberFormat="1" applyFont="1" applyFill="1"/>
    <xf numFmtId="176" fontId="20" fillId="0" borderId="0" xfId="3" applyNumberFormat="1" applyFont="1" applyFill="1"/>
    <xf numFmtId="2" fontId="20" fillId="0" borderId="0" xfId="19" applyNumberFormat="1" applyFont="1"/>
    <xf numFmtId="10" fontId="24" fillId="9" borderId="5" xfId="3" applyNumberFormat="1" applyFont="1" applyFill="1" applyBorder="1" applyAlignment="1">
      <alignment horizontal="right"/>
    </xf>
    <xf numFmtId="10" fontId="24" fillId="0" borderId="0" xfId="3" applyNumberFormat="1" applyFont="1"/>
    <xf numFmtId="9" fontId="20" fillId="0" borderId="0" xfId="3" applyFont="1"/>
    <xf numFmtId="10" fontId="20" fillId="9" borderId="5" xfId="3" applyNumberFormat="1" applyFont="1" applyFill="1" applyBorder="1" applyAlignment="1">
      <alignment horizontal="right"/>
    </xf>
    <xf numFmtId="10" fontId="20" fillId="0" borderId="0" xfId="3" applyNumberFormat="1" applyFont="1"/>
    <xf numFmtId="10" fontId="20" fillId="0" borderId="0" xfId="3" applyNumberFormat="1" applyFont="1" applyAlignment="1">
      <alignment horizontal="right"/>
    </xf>
    <xf numFmtId="2" fontId="24" fillId="9" borderId="5" xfId="3" applyNumberFormat="1" applyFont="1" applyFill="1" applyBorder="1" applyAlignment="1">
      <alignment horizontal="right"/>
    </xf>
    <xf numFmtId="2" fontId="20" fillId="0" borderId="0" xfId="3" applyNumberFormat="1" applyFont="1" applyFill="1" applyAlignment="1">
      <alignment horizontal="right"/>
    </xf>
    <xf numFmtId="10" fontId="20" fillId="0" borderId="0" xfId="3" applyNumberFormat="1" applyFont="1" applyFill="1" applyAlignment="1">
      <alignment horizontal="right"/>
    </xf>
    <xf numFmtId="10" fontId="20" fillId="0" borderId="0" xfId="3" applyNumberFormat="1" applyFont="1" applyFill="1"/>
    <xf numFmtId="14" fontId="20" fillId="9" borderId="5" xfId="19" applyNumberFormat="1" applyFont="1" applyFill="1" applyBorder="1" applyAlignment="1">
      <alignment horizontal="right"/>
    </xf>
    <xf numFmtId="14" fontId="20" fillId="0" borderId="0" xfId="19" applyNumberFormat="1" applyFont="1" applyFill="1"/>
    <xf numFmtId="14" fontId="20" fillId="0" borderId="0" xfId="19" applyNumberFormat="1" applyFont="1" applyFill="1" applyAlignment="1">
      <alignment horizontal="right"/>
    </xf>
    <xf numFmtId="0" fontId="20" fillId="0" borderId="5" xfId="0" applyFont="1" applyBorder="1"/>
    <xf numFmtId="175" fontId="20" fillId="9" borderId="5" xfId="19" applyNumberFormat="1" applyFont="1" applyFill="1" applyBorder="1" applyAlignment="1" applyProtection="1">
      <alignment horizontal="right"/>
      <protection locked="0"/>
    </xf>
    <xf numFmtId="199" fontId="20" fillId="0" borderId="0" xfId="19" applyNumberFormat="1" applyFont="1" applyFill="1" applyAlignment="1" applyProtection="1">
      <alignment horizontal="right"/>
      <protection locked="0"/>
    </xf>
    <xf numFmtId="172" fontId="20" fillId="9" borderId="5" xfId="19" applyNumberFormat="1" applyFont="1" applyFill="1" applyBorder="1" applyAlignment="1">
      <alignment horizontal="right"/>
    </xf>
    <xf numFmtId="177" fontId="20" fillId="0" borderId="0" xfId="19" applyNumberFormat="1" applyFont="1" applyFill="1"/>
    <xf numFmtId="2" fontId="20" fillId="9" borderId="5" xfId="3" applyNumberFormat="1" applyFont="1" applyFill="1" applyBorder="1" applyAlignment="1">
      <alignment horizontal="right"/>
    </xf>
    <xf numFmtId="2" fontId="20" fillId="0" borderId="0" xfId="3" applyNumberFormat="1" applyFont="1" applyFill="1"/>
    <xf numFmtId="172" fontId="20" fillId="0" borderId="0" xfId="19" applyNumberFormat="1" applyFont="1" applyFill="1"/>
    <xf numFmtId="172" fontId="20" fillId="0" borderId="0" xfId="19" applyNumberFormat="1" applyFont="1" applyFill="1" applyAlignment="1">
      <alignment horizontal="right"/>
    </xf>
    <xf numFmtId="177" fontId="20" fillId="9" borderId="5" xfId="19" applyNumberFormat="1" applyFont="1" applyFill="1" applyBorder="1" applyAlignment="1">
      <alignment horizontal="right"/>
    </xf>
    <xf numFmtId="167" fontId="20" fillId="0" borderId="0" xfId="19" applyNumberFormat="1" applyFont="1" applyAlignment="1">
      <alignment horizontal="right"/>
    </xf>
    <xf numFmtId="185" fontId="20" fillId="0" borderId="0" xfId="19" applyNumberFormat="1" applyFont="1" applyAlignment="1">
      <alignment horizontal="right"/>
    </xf>
    <xf numFmtId="10" fontId="20" fillId="0" borderId="0" xfId="19" applyNumberFormat="1" applyFont="1"/>
    <xf numFmtId="167" fontId="20" fillId="0" borderId="0" xfId="19" applyNumberFormat="1" applyFont="1" applyFill="1" applyAlignment="1">
      <alignment horizontal="right"/>
    </xf>
    <xf numFmtId="1" fontId="20" fillId="0" borderId="0" xfId="19" applyNumberFormat="1" applyFont="1" applyFill="1" applyAlignment="1">
      <alignment horizontal="right"/>
    </xf>
    <xf numFmtId="1" fontId="20" fillId="0" borderId="0" xfId="19" applyNumberFormat="1" applyFont="1" applyAlignment="1">
      <alignment horizontal="right"/>
    </xf>
    <xf numFmtId="9" fontId="20" fillId="9" borderId="5" xfId="3" applyFont="1" applyFill="1" applyBorder="1" applyAlignment="1">
      <alignment horizontal="right"/>
    </xf>
    <xf numFmtId="9" fontId="20" fillId="9" borderId="5" xfId="3" applyFont="1" applyFill="1" applyBorder="1"/>
    <xf numFmtId="165" fontId="20" fillId="9" borderId="5" xfId="3" applyNumberFormat="1" applyFont="1" applyFill="1" applyBorder="1" applyAlignment="1">
      <alignment horizontal="right"/>
    </xf>
    <xf numFmtId="179" fontId="20" fillId="9" borderId="5" xfId="19" applyNumberFormat="1" applyFont="1" applyFill="1" applyBorder="1" applyAlignment="1">
      <alignment horizontal="right"/>
    </xf>
    <xf numFmtId="165" fontId="20" fillId="0" borderId="0" xfId="19" applyNumberFormat="1" applyFont="1" applyAlignment="1"/>
    <xf numFmtId="186" fontId="20" fillId="0" borderId="5" xfId="2" applyFont="1" applyBorder="1"/>
    <xf numFmtId="10" fontId="20" fillId="0" borderId="5" xfId="3" applyNumberFormat="1" applyFont="1" applyBorder="1"/>
    <xf numFmtId="179" fontId="20" fillId="0" borderId="6" xfId="19" applyNumberFormat="1" applyFont="1" applyBorder="1"/>
    <xf numFmtId="179" fontId="20" fillId="0" borderId="1" xfId="19" applyNumberFormat="1" applyFont="1" applyBorder="1"/>
    <xf numFmtId="179" fontId="20" fillId="0" borderId="7" xfId="19" applyNumberFormat="1" applyFont="1" applyBorder="1"/>
    <xf numFmtId="179" fontId="20" fillId="0" borderId="8" xfId="19" applyNumberFormat="1" applyFont="1" applyBorder="1"/>
    <xf numFmtId="179" fontId="20" fillId="0" borderId="0" xfId="19" applyNumberFormat="1" applyFont="1"/>
    <xf numFmtId="179" fontId="20" fillId="0" borderId="9" xfId="19" applyNumberFormat="1" applyFont="1" applyBorder="1"/>
    <xf numFmtId="179" fontId="20" fillId="0" borderId="10" xfId="19" applyNumberFormat="1" applyFont="1" applyBorder="1"/>
    <xf numFmtId="179" fontId="20" fillId="0" borderId="2" xfId="19" applyNumberFormat="1" applyFont="1" applyBorder="1"/>
    <xf numFmtId="179" fontId="20" fillId="0" borderId="11" xfId="19" applyNumberFormat="1" applyFont="1" applyBorder="1"/>
    <xf numFmtId="186" fontId="20" fillId="0" borderId="0" xfId="2" applyFont="1"/>
    <xf numFmtId="166" fontId="20" fillId="9" borderId="5" xfId="19" applyNumberFormat="1" applyFont="1" applyFill="1" applyBorder="1" applyAlignment="1">
      <alignment horizontal="right"/>
    </xf>
    <xf numFmtId="186" fontId="20" fillId="9" borderId="5" xfId="2" applyFont="1" applyFill="1" applyBorder="1" applyAlignment="1">
      <alignment horizontal="right"/>
    </xf>
    <xf numFmtId="2" fontId="20" fillId="0" borderId="5" xfId="3" applyNumberFormat="1" applyFont="1" applyBorder="1"/>
    <xf numFmtId="179" fontId="20" fillId="9" borderId="5" xfId="19" applyNumberFormat="1" applyFont="1" applyFill="1" applyBorder="1"/>
    <xf numFmtId="165" fontId="20" fillId="0" borderId="5" xfId="19" applyNumberFormat="1" applyFont="1" applyBorder="1"/>
    <xf numFmtId="0" fontId="43" fillId="0" borderId="5" xfId="0" applyFont="1" applyBorder="1" applyAlignment="1">
      <alignment horizontal="left" wrapText="1"/>
    </xf>
    <xf numFmtId="0" fontId="43" fillId="0" borderId="5" xfId="0" applyFont="1" applyBorder="1" applyAlignment="1">
      <alignment horizontal="right" wrapText="1"/>
    </xf>
    <xf numFmtId="0" fontId="44" fillId="0" borderId="0" xfId="0" applyFont="1" applyAlignment="1">
      <alignment horizontal="left" vertical="top" wrapText="1"/>
    </xf>
    <xf numFmtId="0" fontId="44" fillId="9" borderId="5" xfId="0" applyFont="1" applyFill="1" applyBorder="1" applyAlignment="1">
      <alignment horizontal="left" vertical="top" wrapText="1"/>
    </xf>
    <xf numFmtId="4" fontId="44" fillId="9" borderId="5" xfId="0" applyNumberFormat="1" applyFont="1" applyFill="1" applyBorder="1" applyAlignment="1">
      <alignment horizontal="right" vertical="top" wrapText="1"/>
    </xf>
    <xf numFmtId="174" fontId="44" fillId="9" borderId="5" xfId="0" applyNumberFormat="1" applyFont="1" applyFill="1" applyBorder="1" applyAlignment="1">
      <alignment horizontal="right" vertical="top" wrapText="1"/>
    </xf>
    <xf numFmtId="2" fontId="44" fillId="9" borderId="5" xfId="0" applyNumberFormat="1" applyFont="1" applyFill="1" applyBorder="1" applyAlignment="1">
      <alignment horizontal="right" vertical="top" wrapText="1"/>
    </xf>
    <xf numFmtId="190" fontId="44" fillId="9" borderId="5" xfId="0" applyNumberFormat="1" applyFont="1" applyFill="1" applyBorder="1" applyAlignment="1">
      <alignment horizontal="right" vertical="top" wrapText="1"/>
    </xf>
    <xf numFmtId="0" fontId="44" fillId="0" borderId="0" xfId="0" applyFont="1" applyAlignment="1">
      <alignment vertical="top" wrapText="1"/>
    </xf>
    <xf numFmtId="4" fontId="43" fillId="12" borderId="5" xfId="0" applyNumberFormat="1" applyFont="1" applyFill="1" applyBorder="1" applyAlignment="1">
      <alignment vertical="top" wrapText="1"/>
    </xf>
    <xf numFmtId="2" fontId="43" fillId="12" borderId="5" xfId="0" applyNumberFormat="1" applyFont="1" applyFill="1" applyBorder="1" applyAlignment="1">
      <alignment vertical="top" wrapText="1"/>
    </xf>
    <xf numFmtId="174" fontId="43" fillId="12" borderId="5" xfId="0" applyNumberFormat="1" applyFont="1" applyFill="1" applyBorder="1" applyAlignment="1">
      <alignment vertical="top" wrapText="1"/>
    </xf>
    <xf numFmtId="2" fontId="20" fillId="0" borderId="12" xfId="19" applyNumberFormat="1" applyFont="1" applyBorder="1"/>
    <xf numFmtId="167" fontId="20" fillId="0" borderId="3" xfId="19" applyNumberFormat="1" applyFont="1" applyBorder="1"/>
    <xf numFmtId="167" fontId="20" fillId="0" borderId="13" xfId="19" applyNumberFormat="1" applyFont="1" applyBorder="1"/>
    <xf numFmtId="191" fontId="20" fillId="9" borderId="5" xfId="19" applyNumberFormat="1" applyFont="1" applyFill="1" applyBorder="1"/>
    <xf numFmtId="2" fontId="20" fillId="0" borderId="0" xfId="3" applyNumberFormat="1" applyFont="1"/>
    <xf numFmtId="185" fontId="20" fillId="0" borderId="0" xfId="3" applyNumberFormat="1" applyFont="1"/>
    <xf numFmtId="176" fontId="20" fillId="0" borderId="0" xfId="3" applyNumberFormat="1" applyFont="1"/>
    <xf numFmtId="180" fontId="20" fillId="0" borderId="0" xfId="19" applyNumberFormat="1" applyFont="1"/>
    <xf numFmtId="194" fontId="20" fillId="0" borderId="0" xfId="19" applyNumberFormat="1" applyFont="1"/>
    <xf numFmtId="2" fontId="20" fillId="0" borderId="0" xfId="3" applyNumberFormat="1" applyFont="1" applyFill="1" applyAlignment="1">
      <alignment horizontal="left"/>
    </xf>
    <xf numFmtId="192" fontId="20" fillId="9" borderId="5" xfId="1" applyNumberFormat="1" applyFont="1" applyFill="1" applyBorder="1" applyAlignment="1">
      <alignment horizontal="right"/>
    </xf>
    <xf numFmtId="10" fontId="20" fillId="0" borderId="0" xfId="19" applyNumberFormat="1" applyFont="1" applyAlignment="1">
      <alignment horizontal="right"/>
    </xf>
    <xf numFmtId="2" fontId="20" fillId="0" borderId="0" xfId="19" applyNumberFormat="1" applyFont="1" applyAlignment="1">
      <alignment horizontal="right"/>
    </xf>
    <xf numFmtId="178" fontId="20" fillId="9" borderId="5" xfId="3" applyNumberFormat="1" applyFont="1" applyFill="1" applyBorder="1" applyAlignment="1">
      <alignment horizontal="right"/>
    </xf>
    <xf numFmtId="197" fontId="20" fillId="0" borderId="5" xfId="0" applyNumberFormat="1" applyFont="1" applyBorder="1"/>
    <xf numFmtId="14" fontId="20" fillId="9" borderId="5" xfId="19" applyNumberFormat="1" applyFont="1" applyFill="1" applyBorder="1" applyAlignment="1">
      <alignment horizontal="center"/>
    </xf>
    <xf numFmtId="10" fontId="20" fillId="9" borderId="5" xfId="19" applyNumberFormat="1" applyFont="1" applyFill="1" applyBorder="1" applyAlignment="1">
      <alignment horizontal="center"/>
    </xf>
    <xf numFmtId="174" fontId="20" fillId="9" borderId="5" xfId="0" applyNumberFormat="1" applyFont="1" applyFill="1" applyBorder="1" applyAlignment="1">
      <alignment horizontal="center" vertical="center"/>
    </xf>
    <xf numFmtId="0" fontId="20" fillId="0" borderId="0" xfId="0" applyFont="1" applyAlignment="1">
      <alignment horizontal="center" vertical="center"/>
    </xf>
    <xf numFmtId="10" fontId="20" fillId="9" borderId="5" xfId="0" applyNumberFormat="1" applyFont="1" applyFill="1" applyBorder="1" applyAlignment="1">
      <alignment horizontal="center" vertical="center"/>
    </xf>
    <xf numFmtId="0" fontId="22" fillId="0" borderId="0" xfId="0" applyFont="1"/>
    <xf numFmtId="0" fontId="20" fillId="0" borderId="5" xfId="0" applyFont="1" applyBorder="1" applyAlignment="1">
      <alignment horizontal="center" vertical="center"/>
    </xf>
    <xf numFmtId="165" fontId="24" fillId="9" borderId="5" xfId="0" applyNumberFormat="1" applyFont="1" applyFill="1" applyBorder="1" applyAlignment="1">
      <alignment horizontal="center" vertical="center"/>
    </xf>
    <xf numFmtId="165" fontId="20" fillId="9" borderId="5" xfId="0" applyNumberFormat="1" applyFont="1" applyFill="1" applyBorder="1" applyAlignment="1">
      <alignment horizontal="center" vertical="center"/>
    </xf>
    <xf numFmtId="180" fontId="20" fillId="0" borderId="0" xfId="0" applyNumberFormat="1" applyFont="1" applyAlignment="1">
      <alignment horizontal="center" vertical="center"/>
    </xf>
    <xf numFmtId="172" fontId="20" fillId="9" borderId="5" xfId="0" applyNumberFormat="1" applyFont="1" applyFill="1" applyBorder="1" applyAlignment="1">
      <alignment horizontal="center" vertical="center"/>
    </xf>
    <xf numFmtId="172" fontId="20" fillId="9" borderId="5" xfId="19" applyNumberFormat="1" applyFont="1" applyFill="1" applyBorder="1" applyAlignment="1">
      <alignment horizontal="center"/>
    </xf>
    <xf numFmtId="172" fontId="20" fillId="0" borderId="5" xfId="0" applyNumberFormat="1" applyFont="1" applyBorder="1" applyAlignment="1">
      <alignment horizontal="center"/>
    </xf>
    <xf numFmtId="2" fontId="24" fillId="0" borderId="5" xfId="0" applyNumberFormat="1" applyFont="1" applyBorder="1" applyAlignment="1">
      <alignment horizontal="center" vertical="center"/>
    </xf>
    <xf numFmtId="177" fontId="20" fillId="9" borderId="5" xfId="2" applyNumberFormat="1" applyFont="1" applyFill="1" applyBorder="1" applyAlignment="1">
      <alignment horizontal="center" vertical="center"/>
    </xf>
    <xf numFmtId="2" fontId="20" fillId="0" borderId="0" xfId="0" applyNumberFormat="1" applyFont="1" applyAlignment="1">
      <alignment horizontal="center" vertical="center"/>
    </xf>
    <xf numFmtId="2" fontId="20" fillId="0" borderId="5" xfId="0" applyNumberFormat="1" applyFont="1" applyBorder="1" applyAlignment="1">
      <alignment horizontal="center"/>
    </xf>
    <xf numFmtId="3" fontId="20" fillId="0" borderId="0" xfId="0" applyNumberFormat="1" applyFont="1" applyAlignment="1">
      <alignment horizontal="center" vertical="center"/>
    </xf>
    <xf numFmtId="10" fontId="20" fillId="0" borderId="0" xfId="0" applyNumberFormat="1" applyFont="1" applyAlignment="1">
      <alignment horizontal="center" vertical="center"/>
    </xf>
    <xf numFmtId="10" fontId="20" fillId="0" borderId="0" xfId="0" applyNumberFormat="1" applyFont="1" applyAlignment="1">
      <alignment horizontal="center"/>
    </xf>
    <xf numFmtId="3" fontId="20" fillId="0" borderId="0" xfId="0" applyNumberFormat="1" applyFont="1" applyAlignment="1">
      <alignment horizontal="center"/>
    </xf>
    <xf numFmtId="2" fontId="20" fillId="0" borderId="0" xfId="0" applyNumberFormat="1" applyFont="1" applyAlignment="1">
      <alignment horizontal="center"/>
    </xf>
    <xf numFmtId="193" fontId="20" fillId="0" borderId="0" xfId="0" applyNumberFormat="1" applyFont="1" applyAlignment="1">
      <alignment horizontal="center"/>
    </xf>
    <xf numFmtId="0" fontId="43" fillId="0" borderId="5" xfId="0" applyFont="1" applyBorder="1" applyAlignment="1">
      <alignment horizontal="center" wrapText="1"/>
    </xf>
    <xf numFmtId="0" fontId="22" fillId="0" borderId="5" xfId="0" applyFont="1" applyBorder="1" applyAlignment="1">
      <alignment wrapText="1"/>
    </xf>
    <xf numFmtId="173" fontId="44" fillId="9" borderId="5" xfId="0" applyNumberFormat="1" applyFont="1" applyFill="1" applyBorder="1" applyAlignment="1">
      <alignment horizontal="center" vertical="top" wrapText="1"/>
    </xf>
    <xf numFmtId="174" fontId="20" fillId="9" borderId="5" xfId="0" applyNumberFormat="1" applyFont="1" applyFill="1" applyBorder="1" applyAlignment="1">
      <alignment horizontal="right"/>
    </xf>
    <xf numFmtId="196" fontId="20" fillId="9" borderId="5" xfId="0" applyNumberFormat="1" applyFont="1" applyFill="1" applyBorder="1"/>
    <xf numFmtId="174" fontId="20" fillId="0" borderId="0" xfId="0" applyNumberFormat="1" applyFont="1"/>
    <xf numFmtId="0" fontId="44" fillId="12" borderId="5" xfId="0" applyFont="1" applyFill="1" applyBorder="1" applyAlignment="1">
      <alignment vertical="top" wrapText="1"/>
    </xf>
    <xf numFmtId="173" fontId="44" fillId="12" borderId="5" xfId="0" applyNumberFormat="1" applyFont="1" applyFill="1" applyBorder="1" applyAlignment="1">
      <alignment horizontal="center" vertical="top" wrapText="1"/>
    </xf>
    <xf numFmtId="196" fontId="20" fillId="12" borderId="5" xfId="0" applyNumberFormat="1" applyFont="1" applyFill="1" applyBorder="1"/>
    <xf numFmtId="0" fontId="20" fillId="0" borderId="0" xfId="0" applyFont="1" applyAlignment="1">
      <alignment wrapText="1"/>
    </xf>
    <xf numFmtId="0" fontId="20" fillId="0" borderId="0" xfId="0" applyFont="1" applyAlignment="1">
      <alignment horizontal="left" wrapText="1"/>
    </xf>
    <xf numFmtId="4" fontId="8" fillId="28" borderId="14" xfId="21" applyNumberFormat="1" applyFill="1" applyBorder="1" applyAlignment="1">
      <alignment horizontal="right" vertical="center"/>
    </xf>
    <xf numFmtId="0" fontId="45" fillId="28" borderId="15" xfId="0" applyFont="1" applyFill="1" applyBorder="1" applyAlignment="1">
      <alignment horizontal="right"/>
    </xf>
    <xf numFmtId="196" fontId="20" fillId="0" borderId="0" xfId="0" applyNumberFormat="1" applyFont="1"/>
    <xf numFmtId="0" fontId="20" fillId="0" borderId="5" xfId="0" applyFont="1" applyBorder="1" applyAlignment="1">
      <alignment horizontal="center" wrapText="1"/>
    </xf>
    <xf numFmtId="172" fontId="20" fillId="0" borderId="0" xfId="0" applyNumberFormat="1" applyFont="1"/>
    <xf numFmtId="0" fontId="22" fillId="0" borderId="16" xfId="0" applyFont="1" applyBorder="1"/>
    <xf numFmtId="2" fontId="20" fillId="0" borderId="5" xfId="0" applyNumberFormat="1" applyFont="1" applyBorder="1"/>
    <xf numFmtId="4" fontId="8" fillId="0" borderId="0" xfId="21" applyNumberFormat="1"/>
    <xf numFmtId="2" fontId="20" fillId="0" borderId="0" xfId="0" applyNumberFormat="1" applyFont="1"/>
    <xf numFmtId="0" fontId="20" fillId="0" borderId="5" xfId="0" applyFont="1" applyBorder="1" applyAlignment="1">
      <alignment horizontal="left" wrapText="1"/>
    </xf>
    <xf numFmtId="186" fontId="20" fillId="9" borderId="5" xfId="2" applyFont="1" applyFill="1" applyBorder="1" applyAlignment="1">
      <alignment horizontal="center"/>
    </xf>
    <xf numFmtId="186" fontId="20" fillId="9" borderId="5" xfId="2" applyFont="1" applyFill="1" applyBorder="1" applyAlignment="1">
      <alignment horizontal="left"/>
    </xf>
    <xf numFmtId="186" fontId="20" fillId="0" borderId="0" xfId="2" applyFont="1" applyAlignment="1">
      <alignment horizontal="center"/>
    </xf>
    <xf numFmtId="0" fontId="20" fillId="0" borderId="1" xfId="0" applyFont="1" applyBorder="1" applyAlignment="1">
      <alignment horizontal="left" vertical="top"/>
    </xf>
    <xf numFmtId="2" fontId="20" fillId="0" borderId="1" xfId="0" applyNumberFormat="1" applyFont="1" applyBorder="1"/>
    <xf numFmtId="0" fontId="20" fillId="0" borderId="0" xfId="0" applyFont="1" applyAlignment="1">
      <alignment horizontal="left" vertical="top"/>
    </xf>
    <xf numFmtId="0" fontId="22" fillId="0" borderId="5" xfId="0" applyFont="1" applyBorder="1"/>
    <xf numFmtId="0" fontId="22" fillId="0" borderId="5" xfId="0" applyFont="1" applyBorder="1" applyAlignment="1">
      <alignment horizontal="right"/>
    </xf>
    <xf numFmtId="187" fontId="20" fillId="0" borderId="5" xfId="0" applyNumberFormat="1" applyFont="1" applyBorder="1"/>
    <xf numFmtId="187" fontId="20" fillId="0" borderId="0" xfId="0" applyNumberFormat="1" applyFont="1"/>
    <xf numFmtId="1" fontId="20" fillId="0" borderId="5" xfId="0" applyNumberFormat="1" applyFont="1" applyBorder="1"/>
    <xf numFmtId="0" fontId="20" fillId="12" borderId="5" xfId="0" applyFont="1" applyFill="1" applyBorder="1"/>
    <xf numFmtId="0" fontId="20" fillId="12" borderId="12" xfId="0" applyFont="1" applyFill="1" applyBorder="1"/>
    <xf numFmtId="1" fontId="20" fillId="0" borderId="0" xfId="0" applyNumberFormat="1" applyFont="1"/>
    <xf numFmtId="0" fontId="20" fillId="12" borderId="16" xfId="0" applyFont="1" applyFill="1" applyBorder="1"/>
    <xf numFmtId="177" fontId="20" fillId="0" borderId="5" xfId="0" applyNumberFormat="1" applyFont="1" applyBorder="1"/>
    <xf numFmtId="188" fontId="20" fillId="0" borderId="5" xfId="0" applyNumberFormat="1" applyFont="1" applyBorder="1"/>
    <xf numFmtId="9" fontId="20" fillId="0" borderId="0" xfId="0" applyNumberFormat="1" applyFont="1" applyAlignment="1">
      <alignment horizontal="center"/>
    </xf>
    <xf numFmtId="9" fontId="20" fillId="0" borderId="0" xfId="0" applyNumberFormat="1" applyFont="1"/>
    <xf numFmtId="1" fontId="20" fillId="0" borderId="0" xfId="0" applyNumberFormat="1" applyFont="1" applyAlignment="1">
      <alignment horizontal="left"/>
    </xf>
    <xf numFmtId="177" fontId="20" fillId="0" borderId="0" xfId="0" applyNumberFormat="1" applyFont="1"/>
    <xf numFmtId="188" fontId="20" fillId="0" borderId="0" xfId="0" applyNumberFormat="1" applyFont="1"/>
    <xf numFmtId="0" fontId="22" fillId="0" borderId="0" xfId="0" applyFont="1" applyAlignment="1">
      <alignment horizontal="right"/>
    </xf>
    <xf numFmtId="0" fontId="47" fillId="0" borderId="0" xfId="0" applyFont="1"/>
    <xf numFmtId="0" fontId="0" fillId="0" borderId="0" xfId="0" applyAlignment="1">
      <alignment horizontal="center" wrapText="1"/>
    </xf>
    <xf numFmtId="0" fontId="0" fillId="0" borderId="0" xfId="0" applyAlignment="1">
      <alignment wrapText="1"/>
    </xf>
    <xf numFmtId="0" fontId="0" fillId="0" borderId="8" xfId="0" applyBorder="1"/>
    <xf numFmtId="186" fontId="0" fillId="0" borderId="5" xfId="0" applyNumberFormat="1" applyBorder="1"/>
    <xf numFmtId="9" fontId="0" fillId="29" borderId="0" xfId="0" applyNumberFormat="1" applyFill="1"/>
    <xf numFmtId="9" fontId="1" fillId="0" borderId="0" xfId="3"/>
    <xf numFmtId="186" fontId="0" fillId="0" borderId="0" xfId="0" applyNumberFormat="1"/>
    <xf numFmtId="186" fontId="1" fillId="0" borderId="5" xfId="2" applyBorder="1"/>
    <xf numFmtId="177" fontId="0" fillId="0" borderId="5" xfId="0" applyNumberFormat="1" applyBorder="1"/>
    <xf numFmtId="9" fontId="0" fillId="14" borderId="0" xfId="0" applyNumberFormat="1" applyFill="1"/>
    <xf numFmtId="0" fontId="0" fillId="0" borderId="16" xfId="0" applyBorder="1"/>
    <xf numFmtId="9" fontId="0" fillId="13" borderId="0" xfId="0" applyNumberFormat="1" applyFill="1"/>
    <xf numFmtId="0" fontId="0" fillId="0" borderId="1" xfId="0" applyBorder="1"/>
    <xf numFmtId="2" fontId="0" fillId="0" borderId="1" xfId="0" applyNumberFormat="1" applyBorder="1"/>
    <xf numFmtId="0" fontId="0" fillId="0" borderId="17" xfId="0" applyBorder="1"/>
    <xf numFmtId="186" fontId="0" fillId="0" borderId="5" xfId="2" applyFont="1" applyBorder="1" applyAlignment="1">
      <alignment horizontal="center"/>
    </xf>
    <xf numFmtId="186" fontId="0" fillId="0" borderId="16" xfId="2" applyFont="1" applyBorder="1" applyAlignment="1">
      <alignment horizontal="center"/>
    </xf>
    <xf numFmtId="10" fontId="20" fillId="0" borderId="10" xfId="0" applyNumberFormat="1" applyFont="1" applyBorder="1"/>
    <xf numFmtId="0" fontId="20" fillId="0" borderId="7" xfId="0" applyFont="1" applyBorder="1"/>
    <xf numFmtId="10" fontId="20" fillId="0" borderId="7" xfId="0" applyNumberFormat="1" applyFont="1" applyBorder="1"/>
    <xf numFmtId="2" fontId="0" fillId="0" borderId="19" xfId="0" applyNumberFormat="1" applyBorder="1"/>
    <xf numFmtId="2" fontId="0" fillId="0" borderId="17" xfId="0" applyNumberFormat="1" applyBorder="1"/>
    <xf numFmtId="2" fontId="0" fillId="0" borderId="20" xfId="0" applyNumberFormat="1" applyBorder="1"/>
    <xf numFmtId="2" fontId="0" fillId="0" borderId="21" xfId="0" applyNumberFormat="1" applyBorder="1"/>
    <xf numFmtId="2" fontId="0" fillId="0" borderId="22" xfId="0" applyNumberFormat="1" applyBorder="1"/>
    <xf numFmtId="2" fontId="0" fillId="0" borderId="23" xfId="0" applyNumberFormat="1" applyBorder="1"/>
    <xf numFmtId="2" fontId="0" fillId="0" borderId="24" xfId="0" applyNumberFormat="1" applyBorder="1"/>
    <xf numFmtId="2" fontId="0" fillId="0" borderId="25" xfId="0" applyNumberFormat="1" applyBorder="1"/>
    <xf numFmtId="0" fontId="49" fillId="0" borderId="0" xfId="0" applyFont="1"/>
    <xf numFmtId="0" fontId="50" fillId="0" borderId="0" xfId="0" applyFont="1"/>
    <xf numFmtId="0" fontId="51" fillId="30" borderId="0" xfId="0" applyFont="1" applyFill="1"/>
    <xf numFmtId="0" fontId="52" fillId="0" borderId="0" xfId="22" applyFont="1" applyAlignment="1"/>
    <xf numFmtId="0" fontId="53" fillId="0" borderId="0" xfId="0" applyFont="1"/>
    <xf numFmtId="0" fontId="49" fillId="0" borderId="0" xfId="0" applyFont="1" applyAlignment="1">
      <alignment horizontal="left"/>
    </xf>
    <xf numFmtId="173" fontId="49" fillId="0" borderId="0" xfId="0" applyNumberFormat="1" applyFont="1" applyAlignment="1">
      <alignment horizontal="left"/>
    </xf>
    <xf numFmtId="0" fontId="54" fillId="0" borderId="0" xfId="0" applyFont="1" applyAlignment="1">
      <alignment horizontal="left" vertical="top"/>
    </xf>
    <xf numFmtId="0" fontId="55" fillId="31" borderId="0" xfId="0" applyFont="1" applyFill="1" applyAlignment="1">
      <alignment horizontal="left" vertical="top" wrapText="1"/>
    </xf>
    <xf numFmtId="0" fontId="55" fillId="31" borderId="0" xfId="0" applyFont="1" applyFill="1" applyAlignment="1">
      <alignment horizontal="right" vertical="top" wrapText="1"/>
    </xf>
    <xf numFmtId="0" fontId="55" fillId="31" borderId="0" xfId="0" applyFont="1" applyFill="1" applyAlignment="1">
      <alignment horizontal="center" vertical="top" wrapText="1"/>
    </xf>
    <xf numFmtId="201" fontId="54" fillId="0" borderId="0" xfId="0" applyNumberFormat="1" applyFont="1" applyAlignment="1">
      <alignment horizontal="right" vertical="top" wrapText="1"/>
    </xf>
    <xf numFmtId="202" fontId="54" fillId="0" borderId="0" xfId="0" applyNumberFormat="1" applyFont="1" applyAlignment="1">
      <alignment horizontal="right" vertical="top" wrapText="1"/>
    </xf>
    <xf numFmtId="0" fontId="54" fillId="0" borderId="0" xfId="0" applyFont="1" applyAlignment="1">
      <alignment horizontal="right" vertical="top" wrapText="1"/>
    </xf>
    <xf numFmtId="173" fontId="54" fillId="0" borderId="0" xfId="0" applyNumberFormat="1" applyFont="1" applyAlignment="1">
      <alignment horizontal="center" vertical="top" wrapText="1"/>
    </xf>
    <xf numFmtId="0" fontId="55" fillId="0" borderId="0" xfId="0" applyFont="1" applyAlignment="1">
      <alignment vertical="top" wrapText="1"/>
    </xf>
    <xf numFmtId="0" fontId="55" fillId="31" borderId="0" xfId="0" applyFont="1" applyFill="1" applyAlignment="1">
      <alignment vertical="top" wrapText="1"/>
    </xf>
    <xf numFmtId="0" fontId="54" fillId="0" borderId="0" xfId="0" applyFont="1" applyAlignment="1">
      <alignment horizontal="center" vertical="top" wrapText="1"/>
    </xf>
    <xf numFmtId="0" fontId="49" fillId="0" borderId="0" xfId="0" applyFont="1" applyAlignment="1">
      <alignment vertical="top" wrapText="1"/>
    </xf>
    <xf numFmtId="174" fontId="20" fillId="32" borderId="5" xfId="0" applyNumberFormat="1" applyFont="1" applyFill="1" applyBorder="1" applyAlignment="1">
      <alignment horizontal="right"/>
    </xf>
    <xf numFmtId="0" fontId="9" fillId="0" borderId="0" xfId="22" applyAlignment="1"/>
    <xf numFmtId="0" fontId="55" fillId="31" borderId="0" xfId="0" applyFont="1" applyFill="1" applyAlignment="1">
      <alignment wrapText="1"/>
    </xf>
    <xf numFmtId="0" fontId="55" fillId="31" borderId="0" xfId="0" applyFont="1" applyFill="1" applyAlignment="1">
      <alignment horizontal="right" wrapText="1"/>
    </xf>
    <xf numFmtId="0" fontId="57" fillId="31" borderId="0" xfId="0" applyFont="1" applyFill="1" applyAlignment="1">
      <alignment wrapText="1"/>
    </xf>
    <xf numFmtId="0" fontId="57" fillId="31" borderId="0" xfId="0" applyFont="1" applyFill="1" applyAlignment="1">
      <alignment horizontal="right" wrapText="1"/>
    </xf>
    <xf numFmtId="0" fontId="55" fillId="0" borderId="0" xfId="0" applyFont="1" applyAlignment="1">
      <alignment horizontal="left" vertical="top"/>
    </xf>
    <xf numFmtId="203" fontId="54" fillId="0" borderId="0" xfId="0" applyNumberFormat="1" applyFont="1" applyAlignment="1">
      <alignment horizontal="right" vertical="top" wrapText="1"/>
    </xf>
    <xf numFmtId="203" fontId="55" fillId="0" borderId="26" xfId="0" applyNumberFormat="1" applyFont="1" applyBorder="1" applyAlignment="1">
      <alignment horizontal="right" vertical="top" wrapText="1"/>
    </xf>
    <xf numFmtId="203" fontId="55" fillId="0" borderId="0" xfId="0" applyNumberFormat="1" applyFont="1" applyAlignment="1">
      <alignment horizontal="right" vertical="top" wrapText="1"/>
    </xf>
    <xf numFmtId="203" fontId="58" fillId="0" borderId="26" xfId="0" applyNumberFormat="1" applyFont="1" applyBorder="1" applyAlignment="1">
      <alignment horizontal="right" vertical="top" wrapText="1"/>
    </xf>
    <xf numFmtId="204" fontId="54" fillId="0" borderId="0" xfId="0" applyNumberFormat="1" applyFont="1" applyAlignment="1">
      <alignment horizontal="right" vertical="top" wrapText="1"/>
    </xf>
    <xf numFmtId="205" fontId="54" fillId="0" borderId="0" xfId="0" applyNumberFormat="1" applyFont="1" applyAlignment="1">
      <alignment horizontal="right" vertical="top" wrapText="1"/>
    </xf>
    <xf numFmtId="206" fontId="54" fillId="0" borderId="0" xfId="0" applyNumberFormat="1" applyFont="1" applyAlignment="1">
      <alignment horizontal="right" vertical="top" wrapText="1"/>
    </xf>
    <xf numFmtId="207" fontId="54" fillId="0" borderId="0" xfId="0" applyNumberFormat="1" applyFont="1" applyAlignment="1">
      <alignment horizontal="right" vertical="top" wrapText="1"/>
    </xf>
    <xf numFmtId="173" fontId="54" fillId="0" borderId="0" xfId="0" applyNumberFormat="1" applyFont="1" applyAlignment="1">
      <alignment horizontal="right" vertical="top" wrapText="1"/>
    </xf>
    <xf numFmtId="49" fontId="54" fillId="0" borderId="0" xfId="0" applyNumberFormat="1" applyFont="1" applyAlignment="1">
      <alignment horizontal="right" vertical="top" wrapText="1"/>
    </xf>
    <xf numFmtId="0" fontId="49" fillId="0" borderId="0" xfId="0" applyFont="1" applyAlignment="1">
      <alignment vertical="top"/>
    </xf>
    <xf numFmtId="0" fontId="54" fillId="0" borderId="0" xfId="0" applyFont="1" applyAlignment="1">
      <alignment horizontal="center" vertical="center"/>
    </xf>
    <xf numFmtId="0" fontId="56" fillId="0" borderId="0" xfId="0" applyFont="1"/>
    <xf numFmtId="173" fontId="55" fillId="31" borderId="0" xfId="0" applyNumberFormat="1" applyFont="1" applyFill="1" applyAlignment="1">
      <alignment horizontal="right" wrapText="1"/>
    </xf>
    <xf numFmtId="203" fontId="59" fillId="0" borderId="0" xfId="0" applyNumberFormat="1" applyFont="1" applyAlignment="1">
      <alignment horizontal="right" vertical="top" wrapText="1"/>
    </xf>
    <xf numFmtId="203" fontId="58" fillId="0" borderId="0" xfId="0" applyNumberFormat="1" applyFont="1" applyAlignment="1">
      <alignment horizontal="right" vertical="top" wrapText="1"/>
    </xf>
    <xf numFmtId="208" fontId="54" fillId="0" borderId="0" xfId="0" applyNumberFormat="1" applyFont="1" applyAlignment="1">
      <alignment horizontal="right" vertical="top" wrapText="1"/>
    </xf>
    <xf numFmtId="0" fontId="8" fillId="0" borderId="0" xfId="21"/>
    <xf numFmtId="10" fontId="8" fillId="0" borderId="0" xfId="21" applyNumberFormat="1"/>
    <xf numFmtId="9" fontId="0" fillId="0" borderId="0" xfId="3" applyFont="1"/>
    <xf numFmtId="0" fontId="0" fillId="0" borderId="24" xfId="0" applyBorder="1"/>
    <xf numFmtId="0" fontId="0" fillId="0" borderId="24" xfId="0" applyBorder="1" applyAlignment="1">
      <alignment horizontal="right"/>
    </xf>
    <xf numFmtId="2" fontId="8" fillId="0" borderId="0" xfId="21" applyNumberFormat="1" applyFill="1" applyAlignment="1">
      <alignment horizontal="right"/>
    </xf>
    <xf numFmtId="165" fontId="8" fillId="0" borderId="0" xfId="21" applyNumberFormat="1"/>
    <xf numFmtId="168" fontId="20" fillId="33" borderId="0" xfId="19" applyNumberFormat="1" applyFont="1" applyFill="1" applyAlignment="1">
      <alignment horizontal="right" vertical="center"/>
    </xf>
    <xf numFmtId="168" fontId="60" fillId="0" borderId="0" xfId="19" applyNumberFormat="1" applyFont="1" applyAlignment="1">
      <alignment horizontal="right" vertical="center"/>
    </xf>
    <xf numFmtId="168" fontId="1" fillId="0" borderId="0" xfId="19" applyNumberFormat="1" applyFont="1" applyAlignment="1">
      <alignment vertical="center"/>
    </xf>
    <xf numFmtId="186" fontId="0" fillId="0" borderId="0" xfId="2" applyFont="1"/>
    <xf numFmtId="0" fontId="61" fillId="0" borderId="0" xfId="0" applyFont="1"/>
    <xf numFmtId="2" fontId="0" fillId="0" borderId="18" xfId="0" applyNumberFormat="1" applyBorder="1"/>
    <xf numFmtId="168" fontId="20" fillId="0" borderId="18" xfId="19" applyNumberFormat="1" applyFont="1" applyBorder="1" applyAlignment="1">
      <alignment vertical="center"/>
    </xf>
    <xf numFmtId="176" fontId="0" fillId="0" borderId="0" xfId="3" applyNumberFormat="1" applyFont="1"/>
    <xf numFmtId="176" fontId="0" fillId="0" borderId="0" xfId="3" applyNumberFormat="1" applyFont="1" applyBorder="1"/>
    <xf numFmtId="0" fontId="46" fillId="0" borderId="12" xfId="0" applyFont="1" applyBorder="1" applyAlignment="1">
      <alignment horizontal="left" vertical="top" wrapText="1"/>
    </xf>
    <xf numFmtId="0" fontId="20" fillId="0" borderId="16" xfId="0" applyFont="1" applyBorder="1"/>
    <xf numFmtId="2" fontId="20" fillId="0" borderId="18" xfId="0" applyNumberFormat="1" applyFont="1" applyBorder="1"/>
    <xf numFmtId="14" fontId="44" fillId="9" borderId="5" xfId="0" applyNumberFormat="1" applyFont="1" applyFill="1" applyBorder="1" applyAlignment="1">
      <alignment horizontal="left" vertical="top" wrapText="1"/>
    </xf>
    <xf numFmtId="2" fontId="44" fillId="9" borderId="5" xfId="0" applyNumberFormat="1" applyFont="1" applyFill="1" applyBorder="1" applyAlignment="1">
      <alignment horizontal="left" vertical="top" wrapText="1"/>
    </xf>
    <xf numFmtId="0" fontId="38" fillId="0" borderId="0" xfId="0" applyFont="1" applyAlignment="1">
      <alignment horizontal="left"/>
    </xf>
    <xf numFmtId="1" fontId="0" fillId="0" borderId="0" xfId="0" applyNumberFormat="1"/>
    <xf numFmtId="0" fontId="0" fillId="34" borderId="0" xfId="0" applyFill="1" applyAlignment="1">
      <alignment wrapText="1"/>
    </xf>
    <xf numFmtId="186" fontId="1" fillId="0" borderId="18" xfId="2" applyBorder="1"/>
    <xf numFmtId="0" fontId="63" fillId="0" borderId="0" xfId="0" applyFont="1"/>
    <xf numFmtId="10" fontId="48" fillId="0" borderId="0" xfId="0" applyNumberFormat="1" applyFont="1" applyAlignment="1">
      <alignment horizontal="left" vertical="center"/>
    </xf>
    <xf numFmtId="9" fontId="48" fillId="0" borderId="0" xfId="0" applyNumberFormat="1" applyFont="1" applyAlignment="1">
      <alignment horizontal="left" vertical="center"/>
    </xf>
    <xf numFmtId="165" fontId="24" fillId="40" borderId="0" xfId="19" applyNumberFormat="1" applyFont="1" applyFill="1" applyAlignment="1">
      <alignment horizontal="right" vertical="center"/>
    </xf>
    <xf numFmtId="165" fontId="22" fillId="40" borderId="1" xfId="19" applyNumberFormat="1" applyFont="1" applyFill="1" applyBorder="1" applyAlignment="1">
      <alignment horizontal="right" vertical="center"/>
    </xf>
    <xf numFmtId="165" fontId="24" fillId="40" borderId="2" xfId="19" applyNumberFormat="1" applyFont="1" applyFill="1" applyBorder="1" applyAlignment="1">
      <alignment horizontal="right" vertical="center"/>
    </xf>
    <xf numFmtId="165" fontId="22" fillId="40" borderId="3" xfId="19" applyNumberFormat="1" applyFont="1" applyFill="1" applyBorder="1" applyAlignment="1">
      <alignment horizontal="right" vertical="center"/>
    </xf>
    <xf numFmtId="165" fontId="22" fillId="40" borderId="4" xfId="19" applyNumberFormat="1" applyFont="1" applyFill="1" applyBorder="1" applyAlignment="1">
      <alignment horizontal="right" vertical="center"/>
    </xf>
    <xf numFmtId="165" fontId="25" fillId="41" borderId="0" xfId="19" applyNumberFormat="1" applyFont="1" applyFill="1" applyAlignment="1">
      <alignment horizontal="right" vertical="center"/>
    </xf>
    <xf numFmtId="165" fontId="22" fillId="41" borderId="1" xfId="19" applyNumberFormat="1" applyFont="1" applyFill="1" applyBorder="1" applyAlignment="1">
      <alignment horizontal="right" vertical="center"/>
    </xf>
    <xf numFmtId="165" fontId="25" fillId="41" borderId="2" xfId="19" applyNumberFormat="1" applyFont="1" applyFill="1" applyBorder="1" applyAlignment="1">
      <alignment horizontal="right" vertical="center"/>
    </xf>
    <xf numFmtId="165" fontId="22" fillId="41" borderId="3" xfId="19" applyNumberFormat="1" applyFont="1" applyFill="1" applyBorder="1" applyAlignment="1">
      <alignment horizontal="right" vertical="center"/>
    </xf>
    <xf numFmtId="165" fontId="22" fillId="41" borderId="4" xfId="19" applyNumberFormat="1" applyFont="1" applyFill="1" applyBorder="1" applyAlignment="1">
      <alignment horizontal="right" vertical="center"/>
    </xf>
    <xf numFmtId="165" fontId="24" fillId="41" borderId="0" xfId="0" applyNumberFormat="1" applyFont="1" applyFill="1" applyAlignment="1">
      <alignment horizontal="right" vertical="center"/>
    </xf>
    <xf numFmtId="165" fontId="24" fillId="41" borderId="0" xfId="19" applyNumberFormat="1" applyFont="1" applyFill="1" applyAlignment="1">
      <alignment horizontal="right" vertical="center"/>
    </xf>
    <xf numFmtId="165" fontId="24" fillId="41" borderId="3" xfId="19" applyNumberFormat="1" applyFont="1" applyFill="1" applyBorder="1" applyAlignment="1">
      <alignment horizontal="right" vertical="center"/>
    </xf>
    <xf numFmtId="165" fontId="25" fillId="41" borderId="0" xfId="0" applyNumberFormat="1" applyFont="1" applyFill="1" applyAlignment="1">
      <alignment horizontal="right" vertical="center"/>
    </xf>
    <xf numFmtId="165" fontId="25" fillId="41" borderId="1" xfId="19" applyNumberFormat="1" applyFont="1" applyFill="1" applyBorder="1" applyAlignment="1">
      <alignment horizontal="right" vertical="center"/>
    </xf>
    <xf numFmtId="165" fontId="24" fillId="40" borderId="0" xfId="0" applyNumberFormat="1" applyFont="1" applyFill="1" applyAlignment="1">
      <alignment horizontal="right" vertical="center"/>
    </xf>
    <xf numFmtId="165" fontId="24" fillId="40" borderId="1" xfId="19" applyNumberFormat="1" applyFont="1" applyFill="1" applyBorder="1" applyAlignment="1">
      <alignment horizontal="right" vertical="center"/>
    </xf>
    <xf numFmtId="165" fontId="24" fillId="40" borderId="3" xfId="19" applyNumberFormat="1" applyFont="1" applyFill="1" applyBorder="1" applyAlignment="1">
      <alignment horizontal="right" vertical="center"/>
    </xf>
    <xf numFmtId="165" fontId="22" fillId="40" borderId="27" xfId="19" applyNumberFormat="1" applyFont="1" applyFill="1" applyBorder="1" applyAlignment="1">
      <alignment horizontal="right" vertical="center"/>
    </xf>
    <xf numFmtId="165" fontId="24" fillId="36" borderId="2" xfId="19" applyNumberFormat="1" applyFont="1" applyFill="1" applyBorder="1" applyAlignment="1">
      <alignment horizontal="right" vertical="center"/>
    </xf>
    <xf numFmtId="165" fontId="22" fillId="40" borderId="2" xfId="19" applyNumberFormat="1" applyFont="1" applyFill="1" applyBorder="1" applyAlignment="1">
      <alignment horizontal="right" vertical="center"/>
    </xf>
    <xf numFmtId="165" fontId="24" fillId="36" borderId="0" xfId="19" applyNumberFormat="1" applyFont="1" applyFill="1" applyAlignment="1">
      <alignment horizontal="right" vertical="center"/>
    </xf>
    <xf numFmtId="165" fontId="20" fillId="40" borderId="0" xfId="19" applyNumberFormat="1" applyFont="1" applyFill="1" applyAlignment="1">
      <alignment horizontal="right" vertical="center"/>
    </xf>
    <xf numFmtId="165" fontId="20" fillId="40" borderId="1" xfId="19" applyNumberFormat="1" applyFont="1" applyFill="1" applyBorder="1" applyAlignment="1">
      <alignment horizontal="right" vertical="center"/>
    </xf>
    <xf numFmtId="165" fontId="22" fillId="41" borderId="2" xfId="19" applyNumberFormat="1" applyFont="1" applyFill="1" applyBorder="1" applyAlignment="1">
      <alignment horizontal="right" vertical="center"/>
    </xf>
    <xf numFmtId="165" fontId="20" fillId="41" borderId="0" xfId="19" applyNumberFormat="1" applyFont="1" applyFill="1" applyAlignment="1">
      <alignment horizontal="right" vertical="center"/>
    </xf>
    <xf numFmtId="165" fontId="20" fillId="41" borderId="1" xfId="19" applyNumberFormat="1" applyFont="1" applyFill="1" applyBorder="1" applyAlignment="1">
      <alignment horizontal="right" vertical="center"/>
    </xf>
    <xf numFmtId="198" fontId="65" fillId="10" borderId="0" xfId="19" applyNumberFormat="1" applyFont="1" applyFill="1" applyAlignment="1">
      <alignment horizontal="center" vertical="center"/>
    </xf>
    <xf numFmtId="171" fontId="66" fillId="35" borderId="0" xfId="49" applyNumberFormat="1" applyFont="1" applyAlignment="1">
      <alignment horizontal="center" vertical="center"/>
    </xf>
    <xf numFmtId="0" fontId="21" fillId="43" borderId="0" xfId="0" applyFont="1" applyFill="1" applyAlignment="1">
      <alignment horizontal="left" vertical="center"/>
    </xf>
    <xf numFmtId="167" fontId="22" fillId="43" borderId="0" xfId="0" applyNumberFormat="1" applyFont="1" applyFill="1" applyAlignment="1">
      <alignment horizontal="right" vertical="center"/>
    </xf>
    <xf numFmtId="175" fontId="0" fillId="44" borderId="5" xfId="19" applyNumberFormat="1" applyFont="1" applyFill="1" applyBorder="1" applyAlignment="1" applyProtection="1">
      <alignment horizontal="right"/>
      <protection locked="0"/>
    </xf>
    <xf numFmtId="172" fontId="0" fillId="44" borderId="5" xfId="0" applyNumberFormat="1" applyFill="1" applyBorder="1" applyAlignment="1">
      <alignment horizontal="right"/>
    </xf>
    <xf numFmtId="3" fontId="0" fillId="44" borderId="5" xfId="0" applyNumberFormat="1" applyFill="1" applyBorder="1" applyAlignment="1">
      <alignment horizontal="right"/>
    </xf>
    <xf numFmtId="165" fontId="0" fillId="44" borderId="5" xfId="0" applyNumberFormat="1" applyFill="1" applyBorder="1" applyAlignment="1">
      <alignment horizontal="right"/>
    </xf>
    <xf numFmtId="10" fontId="1" fillId="44" borderId="5" xfId="3" applyNumberFormat="1" applyFill="1" applyBorder="1" applyAlignment="1">
      <alignment horizontal="right"/>
    </xf>
    <xf numFmtId="10" fontId="35" fillId="44" borderId="5" xfId="0" applyNumberFormat="1" applyFont="1" applyFill="1" applyBorder="1" applyAlignment="1">
      <alignment horizontal="right"/>
    </xf>
    <xf numFmtId="2" fontId="0" fillId="44" borderId="5" xfId="0" applyNumberFormat="1" applyFill="1" applyBorder="1" applyAlignment="1">
      <alignment horizontal="right"/>
    </xf>
    <xf numFmtId="10" fontId="35" fillId="44" borderId="5" xfId="3" applyNumberFormat="1" applyFont="1" applyFill="1" applyBorder="1" applyAlignment="1">
      <alignment horizontal="right"/>
    </xf>
    <xf numFmtId="195" fontId="0" fillId="44" borderId="5" xfId="0" applyNumberFormat="1" applyFill="1" applyBorder="1" applyAlignment="1">
      <alignment horizontal="right"/>
    </xf>
    <xf numFmtId="195" fontId="0" fillId="44" borderId="12" xfId="0" applyNumberFormat="1" applyFill="1" applyBorder="1" applyAlignment="1">
      <alignment horizontal="right"/>
    </xf>
    <xf numFmtId="10" fontId="0" fillId="44" borderId="5" xfId="0" applyNumberFormat="1" applyFill="1" applyBorder="1" applyAlignment="1">
      <alignment horizontal="right"/>
    </xf>
    <xf numFmtId="2" fontId="35" fillId="44" borderId="5" xfId="0" applyNumberFormat="1" applyFont="1" applyFill="1" applyBorder="1" applyAlignment="1">
      <alignment horizontal="right"/>
    </xf>
    <xf numFmtId="184" fontId="0" fillId="44" borderId="5" xfId="0" applyNumberFormat="1" applyFill="1" applyBorder="1" applyAlignment="1">
      <alignment horizontal="right"/>
    </xf>
    <xf numFmtId="181" fontId="0" fillId="44" borderId="5" xfId="0" applyNumberFormat="1" applyFill="1" applyBorder="1" applyAlignment="1">
      <alignment horizontal="right"/>
    </xf>
    <xf numFmtId="195" fontId="41" fillId="44" borderId="5" xfId="0" applyNumberFormat="1" applyFont="1" applyFill="1" applyBorder="1" applyAlignment="1">
      <alignment horizontal="right"/>
    </xf>
    <xf numFmtId="10" fontId="0" fillId="45" borderId="0" xfId="0" applyNumberFormat="1" applyFill="1"/>
    <xf numFmtId="10" fontId="0" fillId="0" borderId="0" xfId="0" applyNumberFormat="1" applyAlignment="1">
      <alignment horizontal="right"/>
    </xf>
    <xf numFmtId="2" fontId="20" fillId="46" borderId="5" xfId="0" applyNumberFormat="1" applyFont="1" applyFill="1" applyBorder="1" applyAlignment="1">
      <alignment horizontal="center" vertical="center" wrapText="1"/>
    </xf>
    <xf numFmtId="10" fontId="20" fillId="46" borderId="5" xfId="3" applyNumberFormat="1" applyFont="1" applyFill="1" applyBorder="1" applyAlignment="1">
      <alignment horizontal="center" vertical="center" wrapText="1"/>
    </xf>
    <xf numFmtId="2" fontId="20" fillId="47" borderId="5" xfId="0" applyNumberFormat="1" applyFont="1" applyFill="1" applyBorder="1" applyAlignment="1">
      <alignment horizontal="center" vertical="center" wrapText="1"/>
    </xf>
    <xf numFmtId="10" fontId="20" fillId="47" borderId="5" xfId="3" applyNumberFormat="1" applyFont="1" applyFill="1" applyBorder="1" applyAlignment="1">
      <alignment horizontal="center" vertical="center" wrapText="1"/>
    </xf>
    <xf numFmtId="179" fontId="20" fillId="0" borderId="18" xfId="19" applyNumberFormat="1" applyFont="1" applyBorder="1"/>
    <xf numFmtId="0" fontId="0" fillId="38" borderId="0" xfId="0" applyFill="1" applyAlignment="1">
      <alignment horizontal="right"/>
    </xf>
    <xf numFmtId="0" fontId="41" fillId="38" borderId="0" xfId="0" applyFont="1" applyFill="1"/>
    <xf numFmtId="0" fontId="0" fillId="38" borderId="0" xfId="0" applyFill="1"/>
    <xf numFmtId="175" fontId="0" fillId="39" borderId="0" xfId="19" applyNumberFormat="1" applyFont="1" applyFill="1" applyBorder="1" applyAlignment="1" applyProtection="1">
      <alignment horizontal="right"/>
      <protection locked="0"/>
    </xf>
    <xf numFmtId="172" fontId="0" fillId="39" borderId="0" xfId="0" applyNumberFormat="1" applyFill="1" applyAlignment="1">
      <alignment horizontal="right"/>
    </xf>
    <xf numFmtId="3" fontId="0" fillId="39" borderId="0" xfId="0" applyNumberFormat="1" applyFill="1" applyAlignment="1">
      <alignment horizontal="right"/>
    </xf>
    <xf numFmtId="195" fontId="0" fillId="39" borderId="0" xfId="0" applyNumberFormat="1" applyFill="1" applyAlignment="1">
      <alignment horizontal="right"/>
    </xf>
    <xf numFmtId="10" fontId="0" fillId="38" borderId="0" xfId="3" applyNumberFormat="1" applyFont="1" applyFill="1" applyBorder="1" applyAlignment="1">
      <alignment horizontal="right"/>
    </xf>
    <xf numFmtId="10" fontId="0" fillId="38" borderId="0" xfId="3" applyNumberFormat="1" applyFont="1" applyFill="1" applyAlignment="1">
      <alignment horizontal="right"/>
    </xf>
    <xf numFmtId="10" fontId="0" fillId="38" borderId="0" xfId="0" applyNumberFormat="1" applyFill="1" applyAlignment="1">
      <alignment horizontal="right"/>
    </xf>
    <xf numFmtId="10" fontId="41" fillId="38" borderId="0" xfId="3" applyNumberFormat="1" applyFont="1" applyFill="1" applyBorder="1" applyAlignment="1">
      <alignment horizontal="right"/>
    </xf>
    <xf numFmtId="10" fontId="20" fillId="46" borderId="28" xfId="3" applyNumberFormat="1" applyFont="1" applyFill="1" applyBorder="1" applyAlignment="1">
      <alignment horizontal="center" vertical="center" wrapText="1"/>
    </xf>
    <xf numFmtId="10" fontId="20" fillId="48" borderId="18" xfId="3" applyNumberFormat="1" applyFont="1" applyFill="1" applyBorder="1"/>
    <xf numFmtId="10" fontId="20" fillId="47" borderId="28" xfId="3" applyNumberFormat="1" applyFont="1" applyFill="1" applyBorder="1" applyAlignment="1">
      <alignment horizontal="center" vertical="center" wrapText="1"/>
    </xf>
    <xf numFmtId="0" fontId="20" fillId="38" borderId="0" xfId="0" applyFont="1" applyFill="1"/>
    <xf numFmtId="2" fontId="22" fillId="50" borderId="0" xfId="0" applyNumberFormat="1" applyFont="1" applyFill="1" applyAlignment="1">
      <alignment horizontal="center" vertical="center" wrapText="1"/>
    </xf>
    <xf numFmtId="0" fontId="22" fillId="50" borderId="0" xfId="0" applyFont="1" applyFill="1" applyAlignment="1">
      <alignment horizontal="center" vertical="center" wrapText="1"/>
    </xf>
    <xf numFmtId="0" fontId="20" fillId="38" borderId="0" xfId="0" applyFont="1" applyFill="1" applyAlignment="1">
      <alignment horizontal="center"/>
    </xf>
    <xf numFmtId="0" fontId="20" fillId="37" borderId="0" xfId="0" applyFont="1" applyFill="1" applyAlignment="1">
      <alignment horizontal="center"/>
    </xf>
    <xf numFmtId="0" fontId="20" fillId="37" borderId="0" xfId="0" applyFont="1" applyFill="1" applyAlignment="1">
      <alignment horizontal="center" vertical="center" wrapText="1"/>
    </xf>
    <xf numFmtId="1" fontId="21" fillId="51" borderId="0" xfId="19" applyNumberFormat="1" applyFont="1" applyFill="1" applyAlignment="1">
      <alignment horizontal="right" vertical="center"/>
    </xf>
    <xf numFmtId="1" fontId="69" fillId="48" borderId="0" xfId="50" applyNumberFormat="1" applyFont="1" applyFill="1" applyBorder="1" applyAlignment="1">
      <alignment horizontal="center" vertical="center"/>
    </xf>
    <xf numFmtId="10" fontId="69" fillId="48" borderId="0" xfId="50" applyNumberFormat="1" applyFont="1" applyFill="1" applyBorder="1" applyAlignment="1">
      <alignment horizontal="center" vertical="center" wrapText="1"/>
    </xf>
    <xf numFmtId="2" fontId="69" fillId="48" borderId="0" xfId="50" applyNumberFormat="1" applyFont="1" applyFill="1" applyAlignment="1">
      <alignment horizontal="center" vertical="center" wrapText="1"/>
    </xf>
    <xf numFmtId="0" fontId="20" fillId="37" borderId="0" xfId="0" applyFont="1" applyFill="1" applyAlignment="1">
      <alignment vertical="center" wrapText="1"/>
    </xf>
    <xf numFmtId="2" fontId="20" fillId="46" borderId="0" xfId="0" applyNumberFormat="1" applyFont="1" applyFill="1" applyAlignment="1">
      <alignment horizontal="center" vertical="center" wrapText="1"/>
    </xf>
    <xf numFmtId="1" fontId="69" fillId="35" borderId="0" xfId="49" applyNumberFormat="1" applyFont="1" applyBorder="1" applyAlignment="1">
      <alignment horizontal="center" vertical="center"/>
    </xf>
    <xf numFmtId="10" fontId="69" fillId="35" borderId="0" xfId="49" applyNumberFormat="1" applyFont="1" applyBorder="1" applyAlignment="1">
      <alignment horizontal="center" vertical="center" wrapText="1"/>
    </xf>
    <xf numFmtId="2" fontId="69" fillId="35" borderId="0" xfId="49" applyNumberFormat="1" applyFont="1" applyAlignment="1">
      <alignment horizontal="center" vertical="center" wrapText="1"/>
    </xf>
    <xf numFmtId="2" fontId="69" fillId="35" borderId="0" xfId="49" applyNumberFormat="1" applyFont="1" applyBorder="1" applyAlignment="1">
      <alignment horizontal="center" vertical="center" wrapText="1"/>
    </xf>
    <xf numFmtId="10" fontId="69" fillId="48" borderId="0" xfId="50" applyNumberFormat="1" applyFont="1" applyFill="1" applyBorder="1" applyAlignment="1">
      <alignment horizontal="center" vertical="center"/>
    </xf>
    <xf numFmtId="1" fontId="71" fillId="35" borderId="0" xfId="49" applyNumberFormat="1" applyFont="1" applyAlignment="1">
      <alignment horizontal="right" vertical="center"/>
    </xf>
    <xf numFmtId="165" fontId="20" fillId="42" borderId="0" xfId="19" applyNumberFormat="1" applyFont="1" applyFill="1" applyAlignment="1">
      <alignment horizontal="center" vertical="center"/>
    </xf>
    <xf numFmtId="172" fontId="20" fillId="42" borderId="0" xfId="19" applyNumberFormat="1" applyFont="1" applyFill="1" applyAlignment="1">
      <alignment horizontal="center" vertical="center"/>
    </xf>
    <xf numFmtId="14" fontId="20" fillId="42" borderId="0" xfId="19" applyNumberFormat="1" applyFont="1" applyFill="1" applyAlignment="1">
      <alignment horizontal="center" vertical="center"/>
    </xf>
    <xf numFmtId="2" fontId="22" fillId="26" borderId="6" xfId="0" applyNumberFormat="1" applyFont="1" applyFill="1" applyBorder="1" applyAlignment="1">
      <alignment horizontal="center" vertical="center" wrapText="1"/>
    </xf>
    <xf numFmtId="2" fontId="22" fillId="26" borderId="1" xfId="0" applyNumberFormat="1" applyFont="1" applyFill="1" applyBorder="1" applyAlignment="1">
      <alignment horizontal="center" vertical="center" wrapText="1"/>
    </xf>
    <xf numFmtId="2" fontId="22" fillId="26" borderId="7" xfId="0" applyNumberFormat="1" applyFont="1" applyFill="1" applyBorder="1" applyAlignment="1">
      <alignment horizontal="center" vertical="center" wrapText="1"/>
    </xf>
    <xf numFmtId="198" fontId="21" fillId="51" borderId="6" xfId="19" applyNumberFormat="1" applyFont="1" applyFill="1" applyBorder="1" applyAlignment="1">
      <alignment horizontal="center" vertical="center"/>
    </xf>
    <xf numFmtId="198" fontId="21" fillId="51" borderId="1" xfId="19" applyNumberFormat="1" applyFont="1" applyFill="1" applyBorder="1" applyAlignment="1">
      <alignment horizontal="center" vertical="center"/>
    </xf>
    <xf numFmtId="0" fontId="22" fillId="50" borderId="0" xfId="0" applyFont="1" applyFill="1" applyAlignment="1">
      <alignment horizontal="center" vertical="center" wrapText="1"/>
    </xf>
    <xf numFmtId="2" fontId="22" fillId="50" borderId="0" xfId="0" applyNumberFormat="1" applyFont="1" applyFill="1" applyAlignment="1">
      <alignment horizontal="center" vertical="center" wrapText="1"/>
    </xf>
    <xf numFmtId="2" fontId="22" fillId="26" borderId="5" xfId="0" applyNumberFormat="1" applyFont="1" applyFill="1" applyBorder="1" applyAlignment="1">
      <alignment horizontal="center" vertical="center" wrapText="1"/>
    </xf>
    <xf numFmtId="198" fontId="69" fillId="48" borderId="0" xfId="50" applyNumberFormat="1" applyFont="1" applyFill="1" applyBorder="1" applyAlignment="1">
      <alignment horizontal="center" vertical="center"/>
    </xf>
    <xf numFmtId="171" fontId="70" fillId="35" borderId="0" xfId="49" applyNumberFormat="1" applyFont="1" applyBorder="1" applyAlignment="1">
      <alignment horizontal="center" vertical="center"/>
    </xf>
    <xf numFmtId="0" fontId="30" fillId="0" borderId="5" xfId="0" applyFont="1" applyBorder="1" applyAlignment="1">
      <alignment horizontal="center" vertical="center" wrapText="1"/>
    </xf>
    <xf numFmtId="171" fontId="67" fillId="35" borderId="1" xfId="49" applyNumberFormat="1" applyFont="1" applyBorder="1" applyAlignment="1">
      <alignment horizontal="center" vertical="center"/>
    </xf>
    <xf numFmtId="0" fontId="22" fillId="26" borderId="5" xfId="0" applyFont="1" applyFill="1" applyBorder="1" applyAlignment="1">
      <alignment horizontal="center" vertical="center" wrapText="1"/>
    </xf>
    <xf numFmtId="0" fontId="0" fillId="0" borderId="0" xfId="0" applyAlignment="1">
      <alignment horizontal="center" wrapText="1"/>
    </xf>
    <xf numFmtId="0" fontId="0" fillId="0" borderId="24" xfId="0" applyBorder="1" applyAlignment="1">
      <alignment horizontal="center" wrapText="1"/>
    </xf>
    <xf numFmtId="0" fontId="18" fillId="0" borderId="0" xfId="0" applyFont="1" applyAlignment="1">
      <alignment horizontal="right" wrapText="1"/>
    </xf>
  </cellXfs>
  <cellStyles count="51">
    <cellStyle name="Accent3" xfId="50" builtinId="37"/>
    <cellStyle name="Accent4" xfId="49" builtinId="41"/>
    <cellStyle name="cf1" xfId="4" xr:uid="{0C0737AF-B678-4A1F-96A9-1419BCDE121C}"/>
    <cellStyle name="cf2" xfId="5" xr:uid="{07903355-37DB-4893-A6EE-8107A5C499A3}"/>
    <cellStyle name="cf3" xfId="6" xr:uid="{7E94FADC-6952-4C54-948F-15CE56C81FF5}"/>
    <cellStyle name="ChartingText" xfId="7" xr:uid="{21878A0E-6540-4B14-A5D4-15907AECABD2}"/>
    <cellStyle name="ChartingText 2" xfId="8" xr:uid="{DEB24F15-DAE7-4CE3-94B8-BF2EDFAD0E9E}"/>
    <cellStyle name="CHPAboveAverage" xfId="9" xr:uid="{51AF9B7B-EDE8-4EE8-9328-FDC042B4C5FD}"/>
    <cellStyle name="CHPAboveAverage 2" xfId="10" xr:uid="{880DF229-7120-4328-B8A2-1E2499DCBBF9}"/>
    <cellStyle name="CHPBelowAverage" xfId="11" xr:uid="{5C6084A8-2EF0-4130-BEB5-11D59C327218}"/>
    <cellStyle name="CHPBelowAverage 2" xfId="12" xr:uid="{774FF4F0-EB68-4012-B9DF-C39D05CE3A52}"/>
    <cellStyle name="CHPBottom" xfId="13" xr:uid="{1A52AA10-BE31-4149-9EB2-C225B2F76B7D}"/>
    <cellStyle name="CHPBottom 2" xfId="14" xr:uid="{CEED584B-8F9F-44F9-ADEB-64C116CCC6D4}"/>
    <cellStyle name="CHPTop" xfId="15" xr:uid="{84B434BD-D41A-4949-AA0F-F270DD40AB10}"/>
    <cellStyle name="CHPTop 2" xfId="16" xr:uid="{4023D275-9945-45AF-9DC3-2EB45912C5C1}"/>
    <cellStyle name="ColumnHeaderNormal" xfId="17" xr:uid="{ECD9A549-A7A9-4503-8914-3C8572BFD23C}"/>
    <cellStyle name="ColumnHeaderNormal 2" xfId="18" xr:uid="{0131B8C9-2681-4553-A0EA-869FE92BCBE5}"/>
    <cellStyle name="Comma" xfId="1" builtinId="3" customBuiltin="1"/>
    <cellStyle name="Comma 2" xfId="19" xr:uid="{5A9CE9AC-BB53-4A34-BB21-613B81F8BF0B}"/>
    <cellStyle name="Comma 3" xfId="20" xr:uid="{C41AE365-BDD8-4318-A962-0362E26AEE68}"/>
    <cellStyle name="Currency" xfId="2" builtinId="4" customBuiltin="1"/>
    <cellStyle name="Hyperlink" xfId="21" xr:uid="{7CBED1E6-B528-40AE-B127-59157B4C8D69}"/>
    <cellStyle name="Invisible" xfId="22" xr:uid="{5CF4C73B-A4C3-469A-855A-285AE541B7DC}"/>
    <cellStyle name="Invisible 2" xfId="23" xr:uid="{85581E02-45B3-4D6C-8D1B-4AA78E512B57}"/>
    <cellStyle name="NewColumnHeaderNormal" xfId="24" xr:uid="{93C9191B-9870-429A-A15C-098C34599EA4}"/>
    <cellStyle name="NewColumnHeaderNormal 2" xfId="25" xr:uid="{E557A736-0077-4FC9-AE4C-F0A1F8DF30FC}"/>
    <cellStyle name="NewSectionHeaderNormal" xfId="26" xr:uid="{8B35465E-2F2A-44F6-8096-B3BA0D3393E3}"/>
    <cellStyle name="NewSectionHeaderNormal 2" xfId="27" xr:uid="{E4847F40-A55A-4A0F-ACA7-4B98E5150148}"/>
    <cellStyle name="NewTitleNormal" xfId="28" xr:uid="{7405955A-2A78-497F-89A5-575F26FF6444}"/>
    <cellStyle name="NewTitleNormal 2" xfId="29" xr:uid="{E940EA91-6953-4494-977D-9591436FBFB6}"/>
    <cellStyle name="Normal" xfId="0" builtinId="0" customBuiltin="1"/>
    <cellStyle name="Normal 2" xfId="30" xr:uid="{77894012-A8EC-4074-85B2-F0AB72EA16DC}"/>
    <cellStyle name="Normal 3" xfId="31" xr:uid="{69D36DF5-0520-42A5-8F2C-489CABC6437E}"/>
    <cellStyle name="Normal 4" xfId="32" xr:uid="{8A58BB68-918B-47EC-9004-FD557E1C98BA}"/>
    <cellStyle name="Percent" xfId="3" builtinId="5" customBuiltin="1"/>
    <cellStyle name="SectionHeaderNormal" xfId="33" xr:uid="{AF810F38-F4E2-4DAA-B0D0-6B0685B6B3A8}"/>
    <cellStyle name="SectionHeaderNormal 2" xfId="34" xr:uid="{E52BEBF8-BBB3-4B34-8C58-39E828FF75AA}"/>
    <cellStyle name="SubScript" xfId="35" xr:uid="{BDE9B47A-3B65-4A83-A9A5-D4A56F8BE908}"/>
    <cellStyle name="SubScript 2" xfId="36" xr:uid="{E83E3312-11FF-46CF-826F-F3BCAC1CC301}"/>
    <cellStyle name="SuperScript" xfId="37" xr:uid="{CB5E3D50-5F03-47AD-BCB5-C5C89758FE26}"/>
    <cellStyle name="SuperScript 2" xfId="38" xr:uid="{2620A4BA-B22A-4D7E-B92D-69B7C5DF12D6}"/>
    <cellStyle name="TextBold" xfId="39" xr:uid="{2B4E913D-69AE-48B6-9D63-A798BF2ED5D7}"/>
    <cellStyle name="TextBold 2" xfId="40" xr:uid="{9B5ADC68-D851-4391-8FB2-8CFD84B7C844}"/>
    <cellStyle name="TextItalic" xfId="41" xr:uid="{1F48ECAA-60EE-4F38-ACB4-1AC68799E7C9}"/>
    <cellStyle name="TextItalic 2" xfId="42" xr:uid="{D7116185-794A-4D27-9528-A4F0B431DDF1}"/>
    <cellStyle name="TextNormal" xfId="43" xr:uid="{DDBEF7EC-15F4-43F5-9507-B5F668FB4A94}"/>
    <cellStyle name="TextNormal 2" xfId="44" xr:uid="{241D98C0-1760-46BA-B5C5-7CE2551B7C19}"/>
    <cellStyle name="TitleNormal" xfId="45" xr:uid="{59B5DAFD-9D4F-4B03-9C93-6D9A2F8CC3CD}"/>
    <cellStyle name="TitleNormal 2" xfId="46" xr:uid="{71B36161-102D-418D-846B-A39B42B627E5}"/>
    <cellStyle name="Total 2" xfId="47" xr:uid="{864EB650-9A63-4F8D-8302-D14B27F1A345}"/>
    <cellStyle name="Total 3" xfId="48" xr:uid="{445C8D92-2C01-44CF-A512-61B097AB9874}"/>
  </cellStyles>
  <dxfs count="36">
    <dxf>
      <font>
        <color rgb="FF9C0006"/>
        <family val="2"/>
      </font>
      <fill>
        <patternFill patternType="solid">
          <fgColor rgb="FFFFC7CE"/>
          <bgColor rgb="FFFFC7CE"/>
        </patternFill>
      </fill>
    </dxf>
    <dxf>
      <font>
        <color rgb="FF9C5700"/>
        <family val="2"/>
      </font>
      <fill>
        <patternFill patternType="solid">
          <fgColor rgb="FFFFEB9C"/>
          <bgColor rgb="FFFFEB9C"/>
        </patternFill>
      </fill>
    </dxf>
    <dxf>
      <font>
        <color rgb="FF006100"/>
        <family val="2"/>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
      <font>
        <color rgb="FF006100"/>
        <family val="2"/>
      </font>
      <fill>
        <patternFill patternType="solid">
          <fgColor rgb="FFC6EFCE"/>
          <bgColor rgb="FFC6EFCE"/>
        </patternFill>
      </fill>
    </dxf>
  </dxfs>
  <tableStyles count="0" defaultTableStyle="TableStyleMedium2" defaultPivotStyle="PivotStyleLight16"/>
  <colors>
    <mruColors>
      <color rgb="FFFFC107"/>
      <color rgb="FF2196F3"/>
      <color rgb="FFE53935"/>
      <color rgb="FF4CAF50"/>
      <color rgb="FFB0BE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sz="1400" b="0" i="0" u="none" strike="noStrike" kern="1200" spc="0" baseline="0">
                <a:solidFill>
                  <a:srgbClr val="595959"/>
                </a:solidFill>
                <a:latin typeface="Calibri"/>
              </a:defRPr>
            </a:pPr>
            <a:r>
              <a:rPr lang="en-US" sz="1400" b="0" i="0" u="none" strike="noStrike" kern="1200" cap="none" spc="0" baseline="0">
                <a:solidFill>
                  <a:srgbClr val="595959"/>
                </a:solidFill>
                <a:uFillTx/>
                <a:latin typeface="Calibri"/>
              </a:rPr>
              <a:t>Franklin Resources Football Field Chart</a:t>
            </a:r>
          </a:p>
        </c:rich>
      </c:tx>
      <c:overlay val="0"/>
      <c:spPr>
        <a:noFill/>
        <a:ln>
          <a:noFill/>
        </a:ln>
      </c:spPr>
    </c:title>
    <c:autoTitleDeleted val="0"/>
    <c:plotArea>
      <c:layout>
        <c:manualLayout>
          <c:layoutTarget val="inner"/>
          <c:xMode val="edge"/>
          <c:yMode val="edge"/>
          <c:x val="8.4961461357136503E-2"/>
          <c:y val="0.13118130384932672"/>
          <c:w val="0.87610906842084291"/>
          <c:h val="0.7456193771028502"/>
        </c:manualLayout>
      </c:layout>
      <c:stockChart>
        <c:ser>
          <c:idx val="0"/>
          <c:order val="0"/>
          <c:spPr>
            <a:ln>
              <a:noFill/>
            </a:ln>
          </c:spPr>
          <c:marker>
            <c:symbol val="none"/>
          </c:marker>
          <c:dPt>
            <c:idx val="1"/>
            <c:bubble3D val="0"/>
            <c:extLst>
              <c:ext xmlns:c16="http://schemas.microsoft.com/office/drawing/2014/chart" uri="{C3380CC4-5D6E-409C-BE32-E72D297353CC}">
                <c16:uniqueId val="{00000001-7352-49E1-BAD3-A7D8511D1794}"/>
              </c:ext>
            </c:extLst>
          </c:dPt>
          <c:dPt>
            <c:idx val="3"/>
            <c:bubble3D val="0"/>
            <c:extLst>
              <c:ext xmlns:c16="http://schemas.microsoft.com/office/drawing/2014/chart" uri="{C3380CC4-5D6E-409C-BE32-E72D297353CC}">
                <c16:uniqueId val="{00000002-7352-49E1-BAD3-A7D8511D1794}"/>
              </c:ext>
            </c:extLst>
          </c:dPt>
          <c:dPt>
            <c:idx val="4"/>
            <c:bubble3D val="0"/>
            <c:extLst>
              <c:ext xmlns:c16="http://schemas.microsoft.com/office/drawing/2014/chart" uri="{C3380CC4-5D6E-409C-BE32-E72D297353CC}">
                <c16:uniqueId val="{00000003-7352-49E1-BAD3-A7D8511D1794}"/>
              </c:ext>
            </c:extLst>
          </c:dPt>
          <c:dPt>
            <c:idx val="6"/>
            <c:bubble3D val="0"/>
            <c:extLst>
              <c:ext xmlns:c16="http://schemas.microsoft.com/office/drawing/2014/chart" uri="{C3380CC4-5D6E-409C-BE32-E72D297353CC}">
                <c16:uniqueId val="{00000004-7352-49E1-BAD3-A7D8511D1794}"/>
              </c:ext>
            </c:extLst>
          </c:dPt>
          <c:dLbls>
            <c:dLbl>
              <c:idx val="0"/>
              <c:layout>
                <c:manualLayout>
                  <c:x val="-3.1630194555391754E-2"/>
                  <c:y val="2.953583554021508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494F-4814-8A2F-DC79E4B6392D}"/>
                </c:ext>
              </c:extLst>
            </c:dLbl>
            <c:dLbl>
              <c:idx val="1"/>
              <c:layout>
                <c:manualLayout>
                  <c:x val="-5.8506662807475851E-2"/>
                  <c:y val="2.726563403235460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352-49E1-BAD3-A7D8511D1794}"/>
                </c:ext>
              </c:extLst>
            </c:dLbl>
            <c:dLbl>
              <c:idx val="2"/>
              <c:layout>
                <c:manualLayout>
                  <c:x val="-3.4063286444268016E-2"/>
                  <c:y val="4.219405077173583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494F-4814-8A2F-DC79E4B6392D}"/>
                </c:ext>
              </c:extLst>
            </c:dLbl>
            <c:dLbl>
              <c:idx val="3"/>
              <c:layout>
                <c:manualLayout>
                  <c:x val="-5.21653000065182E-2"/>
                  <c:y val="3.623247975453536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352-49E1-BAD3-A7D8511D1794}"/>
                </c:ext>
              </c:extLst>
            </c:dLbl>
            <c:dLbl>
              <c:idx val="4"/>
              <c:layout>
                <c:manualLayout>
                  <c:x val="-1.7415190463199389E-2"/>
                  <c:y val="2.2507037602208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352-49E1-BAD3-A7D8511D1794}"/>
                </c:ext>
              </c:extLst>
            </c:dLbl>
            <c:dLbl>
              <c:idx val="5"/>
              <c:layout>
                <c:manualLayout>
                  <c:x val="-4.3795653999773254E-2"/>
                  <c:y val="4.219405077173583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494F-4814-8A2F-DC79E4B6392D}"/>
                </c:ext>
              </c:extLst>
            </c:dLbl>
            <c:dLbl>
              <c:idx val="6"/>
              <c:layout>
                <c:manualLayout>
                  <c:x val="-3.7827681918640652E-2"/>
                  <c:y val="3.121064034289461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7352-49E1-BAD3-A7D8511D1794}"/>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mkt_comps_summary!$B$65:$B$71</c:f>
              <c:strCache>
                <c:ptCount val="7"/>
                <c:pt idx="0">
                  <c:v>EV/EBITDA</c:v>
                </c:pt>
                <c:pt idx="1">
                  <c:v>EV/EBIT</c:v>
                </c:pt>
                <c:pt idx="2">
                  <c:v>EV/sales</c:v>
                </c:pt>
                <c:pt idx="3">
                  <c:v>P/E</c:v>
                </c:pt>
                <c:pt idx="4">
                  <c:v>P/B</c:v>
                </c:pt>
                <c:pt idx="5">
                  <c:v>EV/FCFF</c:v>
                </c:pt>
                <c:pt idx="6">
                  <c:v>P/FCFE</c:v>
                </c:pt>
              </c:strCache>
            </c:strRef>
          </c:cat>
          <c:val>
            <c:numRef>
              <c:f>mkt_comps_summary!$C$65:$C$71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7352-49E1-BAD3-A7D8511D1794}"/>
            </c:ext>
          </c:extLst>
        </c:ser>
        <c:ser>
          <c:idx val="1"/>
          <c:order val="1"/>
          <c:spPr>
            <a:ln>
              <a:noFill/>
            </a:ln>
          </c:spPr>
          <c:marker>
            <c:symbol val="none"/>
          </c:marker>
          <c:cat>
            <c:strRef>
              <c:f>mkt_comps_summary!$B$65:$B$71</c:f>
              <c:strCache>
                <c:ptCount val="7"/>
                <c:pt idx="0">
                  <c:v>EV/EBITDA</c:v>
                </c:pt>
                <c:pt idx="1">
                  <c:v>EV/EBIT</c:v>
                </c:pt>
                <c:pt idx="2">
                  <c:v>EV/sales</c:v>
                </c:pt>
                <c:pt idx="3">
                  <c:v>P/E</c:v>
                </c:pt>
                <c:pt idx="4">
                  <c:v>P/B</c:v>
                </c:pt>
                <c:pt idx="5">
                  <c:v>EV/FCFF</c:v>
                </c:pt>
                <c:pt idx="6">
                  <c:v>P/FCFE</c:v>
                </c:pt>
              </c:strCache>
            </c:strRef>
          </c:cat>
          <c:val>
            <c:numRef>
              <c:f>mkt_comps_summary!$D$65:$D$71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5-7352-49E1-BAD3-A7D8511D1794}"/>
            </c:ext>
          </c:extLst>
        </c:ser>
        <c:ser>
          <c:idx val="2"/>
          <c:order val="2"/>
          <c:spPr>
            <a:ln>
              <a:noFill/>
            </a:ln>
          </c:spPr>
          <c:marker>
            <c:symbol val="none"/>
          </c:marker>
          <c:cat>
            <c:strRef>
              <c:f>mkt_comps_summary!$B$65:$B$71</c:f>
              <c:strCache>
                <c:ptCount val="7"/>
                <c:pt idx="0">
                  <c:v>EV/EBITDA</c:v>
                </c:pt>
                <c:pt idx="1">
                  <c:v>EV/EBIT</c:v>
                </c:pt>
                <c:pt idx="2">
                  <c:v>EV/sales</c:v>
                </c:pt>
                <c:pt idx="3">
                  <c:v>P/E</c:v>
                </c:pt>
                <c:pt idx="4">
                  <c:v>P/B</c:v>
                </c:pt>
                <c:pt idx="5">
                  <c:v>EV/FCFF</c:v>
                </c:pt>
                <c:pt idx="6">
                  <c:v>P/FCFE</c:v>
                </c:pt>
              </c:strCache>
            </c:strRef>
          </c:cat>
          <c:val>
            <c:numRef>
              <c:f>mkt_comps_summary!$E$65:$E$71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6-7352-49E1-BAD3-A7D8511D1794}"/>
            </c:ext>
          </c:extLst>
        </c:ser>
        <c:ser>
          <c:idx val="3"/>
          <c:order val="3"/>
          <c:spPr>
            <a:ln>
              <a:noFill/>
            </a:ln>
          </c:spPr>
          <c:marker>
            <c:symbol val="none"/>
          </c:marker>
          <c:dPt>
            <c:idx val="1"/>
            <c:bubble3D val="0"/>
            <c:extLst>
              <c:ext xmlns:c16="http://schemas.microsoft.com/office/drawing/2014/chart" uri="{C3380CC4-5D6E-409C-BE32-E72D297353CC}">
                <c16:uniqueId val="{00000008-7352-49E1-BAD3-A7D8511D1794}"/>
              </c:ext>
            </c:extLst>
          </c:dPt>
          <c:dPt>
            <c:idx val="4"/>
            <c:bubble3D val="0"/>
            <c:extLst>
              <c:ext xmlns:c16="http://schemas.microsoft.com/office/drawing/2014/chart" uri="{C3380CC4-5D6E-409C-BE32-E72D297353CC}">
                <c16:uniqueId val="{00000009-7352-49E1-BAD3-A7D8511D1794}"/>
              </c:ext>
            </c:extLst>
          </c:dPt>
          <c:dPt>
            <c:idx val="6"/>
            <c:bubble3D val="0"/>
            <c:extLst>
              <c:ext xmlns:c16="http://schemas.microsoft.com/office/drawing/2014/chart" uri="{C3380CC4-5D6E-409C-BE32-E72D297353CC}">
                <c16:uniqueId val="{0000000A-7352-49E1-BAD3-A7D8511D1794}"/>
              </c:ext>
            </c:extLst>
          </c:dPt>
          <c:dLbls>
            <c:dLbl>
              <c:idx val="0"/>
              <c:layout>
                <c:manualLayout>
                  <c:x val="-5.3528021555278339E-2"/>
                  <c:y val="-2.953583554021508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494F-4814-8A2F-DC79E4B6392D}"/>
                </c:ext>
              </c:extLst>
            </c:dLbl>
            <c:dLbl>
              <c:idx val="1"/>
              <c:layout>
                <c:manualLayout>
                  <c:x val="-5.8506662807475851E-2"/>
                  <c:y val="-4.2033020615281705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6.0997613654128514E-2"/>
                      <c:h val="4.2130925813888352E-2"/>
                    </c:manualLayout>
                  </c15:layout>
                </c:ext>
                <c:ext xmlns:c16="http://schemas.microsoft.com/office/drawing/2014/chart" uri="{C3380CC4-5D6E-409C-BE32-E72D297353CC}">
                  <c16:uniqueId val="{00000008-7352-49E1-BAD3-A7D8511D1794}"/>
                </c:ext>
              </c:extLst>
            </c:dLbl>
            <c:dLbl>
              <c:idx val="2"/>
              <c:layout>
                <c:manualLayout>
                  <c:x val="-2.4330918888762869E-2"/>
                  <c:y val="-4.219405077173583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494F-4814-8A2F-DC79E4B6392D}"/>
                </c:ext>
              </c:extLst>
            </c:dLbl>
            <c:dLbl>
              <c:idx val="3"/>
              <c:layout>
                <c:manualLayout>
                  <c:x val="-4.1362562110896971E-2"/>
                  <c:y val="-2.953583554021508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494F-4814-8A2F-DC79E4B6392D}"/>
                </c:ext>
              </c:extLst>
            </c:dLbl>
            <c:dLbl>
              <c:idx val="4"/>
              <c:layout>
                <c:manualLayout>
                  <c:x val="-3.8964529735064944E-2"/>
                  <c:y val="-3.1734411374718878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4.8540183183081925E-2"/>
                      <c:h val="5.9008546122582675E-2"/>
                    </c:manualLayout>
                  </c15:layout>
                </c:ext>
                <c:ext xmlns:c16="http://schemas.microsoft.com/office/drawing/2014/chart" uri="{C3380CC4-5D6E-409C-BE32-E72D297353CC}">
                  <c16:uniqueId val="{00000009-7352-49E1-BAD3-A7D8511D1794}"/>
                </c:ext>
              </c:extLst>
            </c:dLbl>
            <c:dLbl>
              <c:idx val="5"/>
              <c:layout>
                <c:manualLayout>
                  <c:x val="-4.1362562110896971E-2"/>
                  <c:y val="-2.53164304630414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494F-4814-8A2F-DC79E4B6392D}"/>
                </c:ext>
              </c:extLst>
            </c:dLbl>
            <c:dLbl>
              <c:idx val="6"/>
              <c:layout>
                <c:manualLayout>
                  <c:x val="-4.3042262835990219E-2"/>
                  <c:y val="9.907235857445961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7352-49E1-BAD3-A7D8511D1794}"/>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mkt_comps_summary!$B$65:$B$71</c:f>
              <c:strCache>
                <c:ptCount val="7"/>
                <c:pt idx="0">
                  <c:v>EV/EBITDA</c:v>
                </c:pt>
                <c:pt idx="1">
                  <c:v>EV/EBIT</c:v>
                </c:pt>
                <c:pt idx="2">
                  <c:v>EV/sales</c:v>
                </c:pt>
                <c:pt idx="3">
                  <c:v>P/E</c:v>
                </c:pt>
                <c:pt idx="4">
                  <c:v>P/B</c:v>
                </c:pt>
                <c:pt idx="5">
                  <c:v>EV/FCFF</c:v>
                </c:pt>
                <c:pt idx="6">
                  <c:v>P/FCFE</c:v>
                </c:pt>
              </c:strCache>
            </c:strRef>
          </c:cat>
          <c:val>
            <c:numRef>
              <c:f>mkt_comps_summary!$F$65:$F$71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7-7352-49E1-BAD3-A7D8511D1794}"/>
            </c:ext>
          </c:extLst>
        </c:ser>
        <c:dLbls>
          <c:showLegendKey val="0"/>
          <c:showVal val="0"/>
          <c:showCatName val="0"/>
          <c:showSerName val="0"/>
          <c:showPercent val="0"/>
          <c:showBubbleSize val="0"/>
        </c:dLbls>
        <c:hiLowLines>
          <c:spPr>
            <a:ln w="9528" cap="flat">
              <a:solidFill>
                <a:srgbClr val="404040"/>
              </a:solidFill>
              <a:prstDash val="solid"/>
              <a:round/>
            </a:ln>
          </c:spPr>
        </c:hiLowLines>
        <c:upDownBars>
          <c:gapWidth val="150"/>
          <c:upBars>
            <c:spPr>
              <a:solidFill>
                <a:srgbClr val="FFC000"/>
              </a:solidFill>
              <a:ln w="9528" cap="flat">
                <a:solidFill>
                  <a:srgbClr val="595959"/>
                </a:solidFill>
                <a:prstDash val="solid"/>
                <a:round/>
              </a:ln>
            </c:spPr>
          </c:upBars>
          <c:downBars>
            <c:spPr>
              <a:solidFill>
                <a:srgbClr val="FFC000"/>
              </a:solidFill>
              <a:ln w="9528" cap="flat">
                <a:solidFill>
                  <a:srgbClr val="595959"/>
                </a:solidFill>
                <a:prstDash val="solid"/>
                <a:round/>
              </a:ln>
            </c:spPr>
          </c:downBars>
        </c:upDownBars>
        <c:axId val="988758640"/>
        <c:axId val="988758160"/>
      </c:stockChart>
      <c:valAx>
        <c:axId val="988758160"/>
        <c:scaling>
          <c:orientation val="minMax"/>
        </c:scaling>
        <c:delete val="0"/>
        <c:axPos val="l"/>
        <c:numFmt formatCode="0.00"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758640"/>
        <c:crosses val="autoZero"/>
        <c:crossBetween val="between"/>
      </c:valAx>
      <c:catAx>
        <c:axId val="988758640"/>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758160"/>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sz="1400" b="0" i="0" u="none" strike="noStrike" kern="1200" spc="0" baseline="0">
                <a:solidFill>
                  <a:srgbClr val="595959"/>
                </a:solidFill>
                <a:latin typeface="Calibri"/>
              </a:defRPr>
            </a:pPr>
            <a:r>
              <a:rPr lang="en-US" sz="1400" b="0" i="0" u="none" strike="noStrike" kern="1200" cap="none" spc="0" baseline="0">
                <a:solidFill>
                  <a:srgbClr val="595959"/>
                </a:solidFill>
                <a:uFillTx/>
                <a:latin typeface="Calibri"/>
              </a:rPr>
              <a:t>Football Field Chart of BEN Valuations</a:t>
            </a:r>
          </a:p>
        </c:rich>
      </c:tx>
      <c:layout>
        <c:manualLayout>
          <c:xMode val="edge"/>
          <c:yMode val="edge"/>
          <c:x val="0.18184699487804931"/>
          <c:y val="2.5257505572727199E-2"/>
        </c:manualLayout>
      </c:layout>
      <c:overlay val="0"/>
      <c:spPr>
        <a:noFill/>
        <a:ln>
          <a:noFill/>
        </a:ln>
      </c:spPr>
    </c:title>
    <c:autoTitleDeleted val="0"/>
    <c:plotArea>
      <c:layout>
        <c:manualLayout>
          <c:layoutTarget val="inner"/>
          <c:xMode val="edge"/>
          <c:yMode val="edge"/>
          <c:x val="0.13062520509492639"/>
          <c:y val="0.1645526488063177"/>
          <c:w val="0.843014713284298"/>
          <c:h val="0.58103897180075736"/>
        </c:manualLayout>
      </c:layout>
      <c:stockChart>
        <c:ser>
          <c:idx val="0"/>
          <c:order val="0"/>
          <c:tx>
            <c:strRef>
              <c:f>final_table!$E$3:$E$3</c:f>
              <c:strCache>
                <c:ptCount val="1"/>
                <c:pt idx="0">
                  <c:v>Low Val</c:v>
                </c:pt>
              </c:strCache>
            </c:strRef>
          </c:tx>
          <c:spPr>
            <a:ln>
              <a:noFill/>
            </a:ln>
          </c:spPr>
          <c:marker>
            <c:symbol val="none"/>
          </c:marker>
          <c:cat>
            <c:strRef>
              <c:f>final_table!$D$4:$D$15</c:f>
              <c:strCache>
                <c:ptCount val="12"/>
                <c:pt idx="0">
                  <c:v>DCF-FCFF perp</c:v>
                </c:pt>
                <c:pt idx="1">
                  <c:v>DCF-FCFF mult</c:v>
                </c:pt>
                <c:pt idx="2">
                  <c:v>DCF-FCFE perp</c:v>
                </c:pt>
                <c:pt idx="3">
                  <c:v>DCF-FCFE mult</c:v>
                </c:pt>
                <c:pt idx="4">
                  <c:v>EV/EBITDA</c:v>
                </c:pt>
                <c:pt idx="5">
                  <c:v>EV/EBIT</c:v>
                </c:pt>
                <c:pt idx="6">
                  <c:v>EV/Sales</c:v>
                </c:pt>
                <c:pt idx="7">
                  <c:v>P/E</c:v>
                </c:pt>
                <c:pt idx="8">
                  <c:v>P/B</c:v>
                </c:pt>
                <c:pt idx="9">
                  <c:v>EV/FCFF</c:v>
                </c:pt>
                <c:pt idx="10">
                  <c:v>P/FCFE</c:v>
                </c:pt>
                <c:pt idx="11">
                  <c:v>Residual Income</c:v>
                </c:pt>
              </c:strCache>
            </c:strRef>
          </c:cat>
          <c:val>
            <c:numRef>
              <c:f>final_table!$E$4:$E$15</c:f>
              <c:numCache>
                <c:formatCode>" ""$"* #,##0.00" ";" ""$"* "("#,##0.00")";" ""$"* "-"#" ";" "@"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707-4362-B4C9-303E703C71A3}"/>
            </c:ext>
          </c:extLst>
        </c:ser>
        <c:ser>
          <c:idx val="1"/>
          <c:order val="1"/>
          <c:tx>
            <c:strRef>
              <c:f>final_table!$F$3:$F$3</c:f>
              <c:strCache>
                <c:ptCount val="1"/>
                <c:pt idx="0">
                  <c:v>Low Label</c:v>
                </c:pt>
              </c:strCache>
            </c:strRef>
          </c:tx>
          <c:spPr>
            <a:ln>
              <a:noFill/>
            </a:ln>
          </c:spPr>
          <c:marker>
            <c:symbol val="none"/>
          </c:marker>
          <c:dPt>
            <c:idx val="7"/>
            <c:bubble3D val="0"/>
            <c:extLst>
              <c:ext xmlns:c16="http://schemas.microsoft.com/office/drawing/2014/chart" uri="{C3380CC4-5D6E-409C-BE32-E72D297353CC}">
                <c16:uniqueId val="{00000002-9707-4362-B4C9-303E703C71A3}"/>
              </c:ext>
            </c:extLst>
          </c:dPt>
          <c:dPt>
            <c:idx val="8"/>
            <c:bubble3D val="0"/>
            <c:extLst>
              <c:ext xmlns:c16="http://schemas.microsoft.com/office/drawing/2014/chart" uri="{C3380CC4-5D6E-409C-BE32-E72D297353CC}">
                <c16:uniqueId val="{00000003-9707-4362-B4C9-303E703C71A3}"/>
              </c:ext>
            </c:extLst>
          </c:dPt>
          <c:dPt>
            <c:idx val="10"/>
            <c:bubble3D val="0"/>
            <c:extLst>
              <c:ext xmlns:c16="http://schemas.microsoft.com/office/drawing/2014/chart" uri="{C3380CC4-5D6E-409C-BE32-E72D297353CC}">
                <c16:uniqueId val="{00000004-9707-4362-B4C9-303E703C71A3}"/>
              </c:ext>
            </c:extLst>
          </c:dPt>
          <c:dLbls>
            <c:dLbl>
              <c:idx val="0"/>
              <c:layout>
                <c:manualLayout>
                  <c:x val="-4.4812138755318483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320A-4507-879B-052070F19085}"/>
                </c:ext>
              </c:extLst>
            </c:dLbl>
            <c:dLbl>
              <c:idx val="1"/>
              <c:layout>
                <c:manualLayout>
                  <c:x val="-4.4812138755318434E-2"/>
                  <c:y val="3.367667409696956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320A-4507-879B-052070F19085}"/>
                </c:ext>
              </c:extLst>
            </c:dLbl>
            <c:dLbl>
              <c:idx val="2"/>
              <c:layout>
                <c:manualLayout>
                  <c:x val="-5.008415507947362E-2"/>
                  <c:y val="2.52575055727271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320A-4507-879B-052070F19085}"/>
                </c:ext>
              </c:extLst>
            </c:dLbl>
            <c:dLbl>
              <c:idx val="3"/>
              <c:layout>
                <c:manualLayout>
                  <c:x val="-4.4812138755318504E-2"/>
                  <c:y val="2.525750557272723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320A-4507-879B-052070F19085}"/>
                </c:ext>
              </c:extLst>
            </c:dLbl>
            <c:dLbl>
              <c:idx val="4"/>
              <c:layout>
                <c:manualLayout>
                  <c:x val="-5.0084155079473572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320A-4507-879B-052070F19085}"/>
                </c:ext>
              </c:extLst>
            </c:dLbl>
            <c:dLbl>
              <c:idx val="5"/>
              <c:layout>
                <c:manualLayout>
                  <c:x val="-4.4812138755318455E-2"/>
                  <c:y val="2.10479213106059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320A-4507-879B-052070F19085}"/>
                </c:ext>
              </c:extLst>
            </c:dLbl>
            <c:dLbl>
              <c:idx val="6"/>
              <c:layout>
                <c:manualLayout>
                  <c:x val="-4.7448146917396017E-2"/>
                  <c:y val="3.7886258359090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320A-4507-879B-052070F19085}"/>
                </c:ext>
              </c:extLst>
            </c:dLbl>
            <c:dLbl>
              <c:idx val="7"/>
              <c:layout>
                <c:manualLayout>
                  <c:x val="-4.9909597373622605E-2"/>
                  <c:y val="2.933583035706887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707-4362-B4C9-303E703C71A3}"/>
                </c:ext>
              </c:extLst>
            </c:dLbl>
            <c:dLbl>
              <c:idx val="8"/>
              <c:layout>
                <c:manualLayout>
                  <c:x val="-4.6352439272702516E-2"/>
                  <c:y val="2.474009131814671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707-4362-B4C9-303E703C71A3}"/>
                </c:ext>
              </c:extLst>
            </c:dLbl>
            <c:dLbl>
              <c:idx val="10"/>
              <c:layout>
                <c:manualLayout>
                  <c:x val="-5.1052350114517697E-2"/>
                  <c:y val="2.415599050493688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707-4362-B4C9-303E703C71A3}"/>
                </c:ext>
              </c:extLst>
            </c:dLbl>
            <c:dLbl>
              <c:idx val="11"/>
              <c:layout>
                <c:manualLayout>
                  <c:x val="-2.8996089782853118E-2"/>
                  <c:y val="1.683833704848472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320A-4507-879B-052070F19085}"/>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final_table!$D$4:$D$15</c:f>
              <c:strCache>
                <c:ptCount val="12"/>
                <c:pt idx="0">
                  <c:v>DCF-FCFF perp</c:v>
                </c:pt>
                <c:pt idx="1">
                  <c:v>DCF-FCFF mult</c:v>
                </c:pt>
                <c:pt idx="2">
                  <c:v>DCF-FCFE perp</c:v>
                </c:pt>
                <c:pt idx="3">
                  <c:v>DCF-FCFE mult</c:v>
                </c:pt>
                <c:pt idx="4">
                  <c:v>EV/EBITDA</c:v>
                </c:pt>
                <c:pt idx="5">
                  <c:v>EV/EBIT</c:v>
                </c:pt>
                <c:pt idx="6">
                  <c:v>EV/Sales</c:v>
                </c:pt>
                <c:pt idx="7">
                  <c:v>P/E</c:v>
                </c:pt>
                <c:pt idx="8">
                  <c:v>P/B</c:v>
                </c:pt>
                <c:pt idx="9">
                  <c:v>EV/FCFF</c:v>
                </c:pt>
                <c:pt idx="10">
                  <c:v>P/FCFE</c:v>
                </c:pt>
                <c:pt idx="11">
                  <c:v>Residual Income</c:v>
                </c:pt>
              </c:strCache>
            </c:strRef>
          </c:cat>
          <c:val>
            <c:numRef>
              <c:f>final_table!$F$4:$F$15</c:f>
              <c:numCache>
                <c:formatCode>" ""$"* #,##0.00" ";" ""$"* "("#,##0.00")";" ""$"* "-"#" ";" "@"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9707-4362-B4C9-303E703C71A3}"/>
            </c:ext>
          </c:extLst>
        </c:ser>
        <c:ser>
          <c:idx val="2"/>
          <c:order val="2"/>
          <c:tx>
            <c:strRef>
              <c:f>final_table!$G$3:$G$3</c:f>
              <c:strCache>
                <c:ptCount val="1"/>
                <c:pt idx="0">
                  <c:v>High Val</c:v>
                </c:pt>
              </c:strCache>
            </c:strRef>
          </c:tx>
          <c:spPr>
            <a:ln>
              <a:noFill/>
            </a:ln>
          </c:spPr>
          <c:marker>
            <c:symbol val="none"/>
          </c:marker>
          <c:cat>
            <c:strRef>
              <c:f>final_table!$D$4:$D$15</c:f>
              <c:strCache>
                <c:ptCount val="12"/>
                <c:pt idx="0">
                  <c:v>DCF-FCFF perp</c:v>
                </c:pt>
                <c:pt idx="1">
                  <c:v>DCF-FCFF mult</c:v>
                </c:pt>
                <c:pt idx="2">
                  <c:v>DCF-FCFE perp</c:v>
                </c:pt>
                <c:pt idx="3">
                  <c:v>DCF-FCFE mult</c:v>
                </c:pt>
                <c:pt idx="4">
                  <c:v>EV/EBITDA</c:v>
                </c:pt>
                <c:pt idx="5">
                  <c:v>EV/EBIT</c:v>
                </c:pt>
                <c:pt idx="6">
                  <c:v>EV/Sales</c:v>
                </c:pt>
                <c:pt idx="7">
                  <c:v>P/E</c:v>
                </c:pt>
                <c:pt idx="8">
                  <c:v>P/B</c:v>
                </c:pt>
                <c:pt idx="9">
                  <c:v>EV/FCFF</c:v>
                </c:pt>
                <c:pt idx="10">
                  <c:v>P/FCFE</c:v>
                </c:pt>
                <c:pt idx="11">
                  <c:v>Residual Income</c:v>
                </c:pt>
              </c:strCache>
            </c:strRef>
          </c:cat>
          <c:val>
            <c:numRef>
              <c:f>final_table!$G$4:$G$15</c:f>
              <c:numCache>
                <c:formatCode>" ""$"* #,##0.00" ";" ""$"* "("#,##0.00")";" ""$"* "-"#" ";" "@"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9707-4362-B4C9-303E703C71A3}"/>
            </c:ext>
          </c:extLst>
        </c:ser>
        <c:ser>
          <c:idx val="3"/>
          <c:order val="3"/>
          <c:tx>
            <c:strRef>
              <c:f>final_table!$H$3:$H$3</c:f>
              <c:strCache>
                <c:ptCount val="1"/>
                <c:pt idx="0">
                  <c:v>High Label</c:v>
                </c:pt>
              </c:strCache>
            </c:strRef>
          </c:tx>
          <c:spPr>
            <a:ln>
              <a:noFill/>
            </a:ln>
          </c:spPr>
          <c:marker>
            <c:symbol val="none"/>
          </c:marker>
          <c:dPt>
            <c:idx val="7"/>
            <c:bubble3D val="0"/>
            <c:extLst>
              <c:ext xmlns:c16="http://schemas.microsoft.com/office/drawing/2014/chart" uri="{C3380CC4-5D6E-409C-BE32-E72D297353CC}">
                <c16:uniqueId val="{00000007-9707-4362-B4C9-303E703C71A3}"/>
              </c:ext>
            </c:extLst>
          </c:dPt>
          <c:dLbls>
            <c:dLbl>
              <c:idx val="0"/>
              <c:layout>
                <c:manualLayout>
                  <c:x val="-4.4812138755318483E-2"/>
                  <c:y val="-3.36766740969695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320A-4507-879B-052070F19085}"/>
                </c:ext>
              </c:extLst>
            </c:dLbl>
            <c:dLbl>
              <c:idx val="1"/>
              <c:layout>
                <c:manualLayout>
                  <c:x val="-4.21761305932409E-2"/>
                  <c:y val="-1.26287527863635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320A-4507-879B-052070F19085}"/>
                </c:ext>
              </c:extLst>
            </c:dLbl>
            <c:dLbl>
              <c:idx val="2"/>
              <c:layout>
                <c:manualLayout>
                  <c:x val="-5.2720163241551127E-2"/>
                  <c:y val="-1.6838337048484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320A-4507-879B-052070F19085}"/>
                </c:ext>
              </c:extLst>
            </c:dLbl>
            <c:dLbl>
              <c:idx val="3"/>
              <c:layout>
                <c:manualLayout>
                  <c:x val="-4.7448146917396065E-2"/>
                  <c:y val="-2.52575055727271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320A-4507-879B-052070F19085}"/>
                </c:ext>
              </c:extLst>
            </c:dLbl>
            <c:dLbl>
              <c:idx val="4"/>
              <c:layout>
                <c:manualLayout>
                  <c:x val="-4.4812138755318455E-2"/>
                  <c:y val="-1.6838337048484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20A-4507-879B-052070F19085}"/>
                </c:ext>
              </c:extLst>
            </c:dLbl>
            <c:dLbl>
              <c:idx val="5"/>
              <c:layout>
                <c:manualLayout>
                  <c:x val="-4.4812138755318455E-2"/>
                  <c:y val="-3.367667409696956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320A-4507-879B-052070F19085}"/>
                </c:ext>
              </c:extLst>
            </c:dLbl>
            <c:dLbl>
              <c:idx val="6"/>
              <c:layout>
                <c:manualLayout>
                  <c:x val="-4.4812138755318552E-2"/>
                  <c:y val="-2.946708983484847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20A-4507-879B-052070F19085}"/>
                </c:ext>
              </c:extLst>
            </c:dLbl>
            <c:dLbl>
              <c:idx val="7"/>
              <c:layout>
                <c:manualLayout>
                  <c:x val="-4.9909597373622605E-2"/>
                  <c:y val="-2.856385226679485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707-4362-B4C9-303E703C71A3}"/>
                </c:ext>
              </c:extLst>
            </c:dLbl>
            <c:dLbl>
              <c:idx val="8"/>
              <c:layout>
                <c:manualLayout>
                  <c:x val="-4.4812138755318455E-2"/>
                  <c:y val="-3.36766740969695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A6B7-4536-9F3D-1B674D8E3634}"/>
                </c:ext>
              </c:extLst>
            </c:dLbl>
            <c:dLbl>
              <c:idx val="10"/>
              <c:layout>
                <c:manualLayout>
                  <c:x val="-4.7448146917396017E-2"/>
                  <c:y val="-2.946708983484847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CDC5-4F03-A44C-7A08FDFE1FAB}"/>
                </c:ext>
              </c:extLst>
            </c:dLbl>
            <c:dLbl>
              <c:idx val="11"/>
              <c:layout>
                <c:manualLayout>
                  <c:x val="-2.6360081620775563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320A-4507-879B-052070F19085}"/>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final_table!$D$4:$D$15</c:f>
              <c:strCache>
                <c:ptCount val="12"/>
                <c:pt idx="0">
                  <c:v>DCF-FCFF perp</c:v>
                </c:pt>
                <c:pt idx="1">
                  <c:v>DCF-FCFF mult</c:v>
                </c:pt>
                <c:pt idx="2">
                  <c:v>DCF-FCFE perp</c:v>
                </c:pt>
                <c:pt idx="3">
                  <c:v>DCF-FCFE mult</c:v>
                </c:pt>
                <c:pt idx="4">
                  <c:v>EV/EBITDA</c:v>
                </c:pt>
                <c:pt idx="5">
                  <c:v>EV/EBIT</c:v>
                </c:pt>
                <c:pt idx="6">
                  <c:v>EV/Sales</c:v>
                </c:pt>
                <c:pt idx="7">
                  <c:v>P/E</c:v>
                </c:pt>
                <c:pt idx="8">
                  <c:v>P/B</c:v>
                </c:pt>
                <c:pt idx="9">
                  <c:v>EV/FCFF</c:v>
                </c:pt>
                <c:pt idx="10">
                  <c:v>P/FCFE</c:v>
                </c:pt>
                <c:pt idx="11">
                  <c:v>Residual Income</c:v>
                </c:pt>
              </c:strCache>
            </c:strRef>
          </c:cat>
          <c:val>
            <c:numRef>
              <c:f>final_table!$H$4:$H$15</c:f>
              <c:numCache>
                <c:formatCode>" ""$"* #,##0.00" ";" ""$"* "("#,##0.00")";" ""$"* "-"#" ";" "@"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9707-4362-B4C9-303E703C71A3}"/>
            </c:ext>
          </c:extLst>
        </c:ser>
        <c:dLbls>
          <c:showLegendKey val="0"/>
          <c:showVal val="0"/>
          <c:showCatName val="0"/>
          <c:showSerName val="0"/>
          <c:showPercent val="0"/>
          <c:showBubbleSize val="0"/>
        </c:dLbls>
        <c:hiLowLines>
          <c:spPr>
            <a:ln w="9528" cap="flat">
              <a:solidFill>
                <a:srgbClr val="404040"/>
              </a:solidFill>
              <a:prstDash val="solid"/>
              <a:round/>
            </a:ln>
          </c:spPr>
        </c:hiLowLines>
        <c:upDownBars>
          <c:gapWidth val="150"/>
          <c:upBars>
            <c:spPr>
              <a:solidFill>
                <a:schemeClr val="accent1">
                  <a:lumMod val="60000"/>
                  <a:lumOff val="40000"/>
                </a:schemeClr>
              </a:solidFill>
              <a:ln w="9528" cap="flat">
                <a:solidFill>
                  <a:srgbClr val="595959"/>
                </a:solidFill>
                <a:prstDash val="solid"/>
                <a:round/>
              </a:ln>
            </c:spPr>
          </c:upBars>
          <c:downBars>
            <c:spPr>
              <a:solidFill>
                <a:srgbClr val="FFC000"/>
              </a:solidFill>
              <a:ln w="9528" cap="flat">
                <a:solidFill>
                  <a:srgbClr val="595959"/>
                </a:solidFill>
                <a:prstDash val="solid"/>
                <a:round/>
              </a:ln>
            </c:spPr>
          </c:downBars>
        </c:upDownBars>
        <c:axId val="988328576"/>
        <c:axId val="988327136"/>
      </c:stockChart>
      <c:valAx>
        <c:axId val="988327136"/>
        <c:scaling>
          <c:orientation val="minMax"/>
          <c:max val="50"/>
        </c:scaling>
        <c:delete val="0"/>
        <c:axPos val="l"/>
        <c:numFmt formatCode="&quot; &quot;&quot;$&quot;* #,##0.00&quot; &quot;;&quot; &quot;&quot;$&quot;* &quot;(&quot;#,##0.00&quot;)&quot;;&quot; &quot;&quot;$&quot;* &quot;-&quot;#&quot; &quot;;&quot; &quot;@&quot; &quot;"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8576"/>
        <c:crosses val="autoZero"/>
        <c:crossBetween val="between"/>
        <c:majorUnit val="10"/>
      </c:valAx>
      <c:catAx>
        <c:axId val="988328576"/>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7136"/>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ctr" defTabSz="914400" fontAlgn="auto" hangingPunct="1">
              <a:lnSpc>
                <a:spcPct val="100000"/>
              </a:lnSpc>
              <a:spcBef>
                <a:spcPts val="0"/>
              </a:spcBef>
              <a:spcAft>
                <a:spcPts val="0"/>
              </a:spcAft>
              <a:tabLst/>
              <a:defRPr sz="1400" b="0" i="0" u="none" strike="noStrike" kern="1200" spc="0" baseline="0">
                <a:solidFill>
                  <a:srgbClr val="595959"/>
                </a:solidFill>
                <a:latin typeface="Calibri"/>
              </a:defRPr>
            </a:pPr>
            <a:r>
              <a:rPr lang="en-US" sz="1400" b="0" i="0" u="none" strike="noStrike" kern="1200" cap="none" spc="0" baseline="0">
                <a:solidFill>
                  <a:srgbClr val="595959"/>
                </a:solidFill>
                <a:uFillTx/>
                <a:latin typeface="Calibri"/>
              </a:rPr>
              <a:t>Stock Price vs. Bull/Base/Bear Valuations</a:t>
            </a:r>
          </a:p>
        </c:rich>
      </c:tx>
      <c:layout>
        <c:manualLayout>
          <c:xMode val="edge"/>
          <c:yMode val="edge"/>
          <c:x val="0.16704878807309473"/>
          <c:y val="0"/>
        </c:manualLayout>
      </c:layout>
      <c:overlay val="0"/>
      <c:spPr>
        <a:noFill/>
        <a:ln>
          <a:noFill/>
        </a:ln>
      </c:spPr>
    </c:title>
    <c:autoTitleDeleted val="0"/>
    <c:plotArea>
      <c:layout>
        <c:manualLayout>
          <c:xMode val="edge"/>
          <c:yMode val="edge"/>
          <c:x val="7.2599427276523404E-3"/>
          <c:y val="2.1937533152839871E-2"/>
          <c:w val="0.84639090735961897"/>
          <c:h val="0.97451941259191566"/>
        </c:manualLayout>
      </c:layout>
      <c:barChart>
        <c:barDir val="col"/>
        <c:grouping val="clustered"/>
        <c:varyColors val="0"/>
        <c:ser>
          <c:idx val="1"/>
          <c:order val="0"/>
          <c:tx>
            <c:strRef>
              <c:f>final_table!$R$15:$R$15</c:f>
              <c:strCache>
                <c:ptCount val="1"/>
                <c:pt idx="0">
                  <c:v>Bear Val.</c:v>
                </c:pt>
              </c:strCache>
            </c:strRef>
          </c:tx>
          <c:spPr>
            <a:solidFill>
              <a:srgbClr val="7030A0"/>
            </a:solidFill>
            <a:ln>
              <a:noFill/>
            </a:ln>
          </c:spPr>
          <c:invertIfNegative val="0"/>
          <c:dPt>
            <c:idx val="0"/>
            <c:invertIfNegative val="0"/>
            <c:bubble3D val="0"/>
            <c:extLst>
              <c:ext xmlns:c16="http://schemas.microsoft.com/office/drawing/2014/chart" uri="{C3380CC4-5D6E-409C-BE32-E72D297353CC}">
                <c16:uniqueId val="{00000003-B7D6-4430-99E4-BA945FC90173}"/>
              </c:ext>
            </c:extLst>
          </c:dPt>
          <c:dLbls>
            <c:dLbl>
              <c:idx val="0"/>
              <c:layout>
                <c:manualLayout>
                  <c:x val="2.4078250711263372E-3"/>
                  <c:y val="2.391373733860416E-3"/>
                </c:manualLayout>
              </c:layout>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B7D6-4430-99E4-BA945FC90173}"/>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final_table!$S$14:$S$14</c:f>
              <c:strCache>
                <c:ptCount val="1"/>
                <c:pt idx="0">
                  <c:v>Price</c:v>
                </c:pt>
              </c:strCache>
            </c:strRef>
          </c:cat>
          <c:val>
            <c:numRef>
              <c:f>final_table!$S$15:$S$15</c:f>
              <c:numCache>
                <c:formatCode>" ""$"* #,##0.00" ";" ""$"* "("#,##0.00")";" ""$"* "-"#" ";" "@" "</c:formatCode>
                <c:ptCount val="1"/>
                <c:pt idx="0">
                  <c:v>0</c:v>
                </c:pt>
              </c:numCache>
            </c:numRef>
          </c:val>
          <c:extLst>
            <c:ext xmlns:c16="http://schemas.microsoft.com/office/drawing/2014/chart" uri="{C3380CC4-5D6E-409C-BE32-E72D297353CC}">
              <c16:uniqueId val="{00000002-B7D6-4430-99E4-BA945FC90173}"/>
            </c:ext>
          </c:extLst>
        </c:ser>
        <c:ser>
          <c:idx val="2"/>
          <c:order val="1"/>
          <c:tx>
            <c:strRef>
              <c:f>final_table!$R$17:$R$17</c:f>
              <c:strCache>
                <c:ptCount val="1"/>
                <c:pt idx="0">
                  <c:v>Base Val.</c:v>
                </c:pt>
              </c:strCache>
            </c:strRef>
          </c:tx>
          <c:spPr>
            <a:solidFill>
              <a:srgbClr val="2196F3"/>
            </a:solidFill>
            <a:ln>
              <a:noFill/>
            </a:ln>
          </c:spPr>
          <c:invertIfNegative val="0"/>
          <c:dPt>
            <c:idx val="0"/>
            <c:invertIfNegative val="0"/>
            <c:bubble3D val="0"/>
            <c:extLst>
              <c:ext xmlns:c16="http://schemas.microsoft.com/office/drawing/2014/chart" uri="{C3380CC4-5D6E-409C-BE32-E72D297353CC}">
                <c16:uniqueId val="{00000005-B7D6-4430-99E4-BA945FC90173}"/>
              </c:ext>
            </c:extLst>
          </c:dPt>
          <c:dLbls>
            <c:dLbl>
              <c:idx val="0"/>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B7D6-4430-99E4-BA945FC90173}"/>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final_table!$S$14:$S$14</c:f>
              <c:strCache>
                <c:ptCount val="1"/>
                <c:pt idx="0">
                  <c:v>Price</c:v>
                </c:pt>
              </c:strCache>
            </c:strRef>
          </c:cat>
          <c:val>
            <c:numRef>
              <c:f>final_table!$S$17:$S$17</c:f>
              <c:numCache>
                <c:formatCode>" ""$"* #,##0.00" ";" ""$"* "("#,##0.00")";" ""$"* "-"#" ";" "@" "</c:formatCode>
                <c:ptCount val="1"/>
                <c:pt idx="0">
                  <c:v>0</c:v>
                </c:pt>
              </c:numCache>
            </c:numRef>
          </c:val>
          <c:extLst>
            <c:ext xmlns:c16="http://schemas.microsoft.com/office/drawing/2014/chart" uri="{C3380CC4-5D6E-409C-BE32-E72D297353CC}">
              <c16:uniqueId val="{00000004-B7D6-4430-99E4-BA945FC90173}"/>
            </c:ext>
          </c:extLst>
        </c:ser>
        <c:ser>
          <c:idx val="3"/>
          <c:order val="2"/>
          <c:tx>
            <c:strRef>
              <c:f>final_table!$R$18:$R$18</c:f>
              <c:strCache>
                <c:ptCount val="1"/>
                <c:pt idx="0">
                  <c:v>Bull Val.</c:v>
                </c:pt>
              </c:strCache>
            </c:strRef>
          </c:tx>
          <c:spPr>
            <a:solidFill>
              <a:schemeClr val="accent6">
                <a:lumMod val="75000"/>
              </a:schemeClr>
            </a:solidFill>
            <a:ln>
              <a:noFill/>
            </a:ln>
          </c:spPr>
          <c:invertIfNegative val="0"/>
          <c:dPt>
            <c:idx val="0"/>
            <c:invertIfNegative val="0"/>
            <c:bubble3D val="0"/>
            <c:extLst>
              <c:ext xmlns:c16="http://schemas.microsoft.com/office/drawing/2014/chart" uri="{C3380CC4-5D6E-409C-BE32-E72D297353CC}">
                <c16:uniqueId val="{00000007-B7D6-4430-99E4-BA945FC90173}"/>
              </c:ext>
            </c:extLst>
          </c:dPt>
          <c:dLbls>
            <c:dLbl>
              <c:idx val="0"/>
              <c:layout>
                <c:manualLayout>
                  <c:x val="2.7732029708084243E-3"/>
                  <c:y val="-2.4165166819968809E-3"/>
                </c:manualLayout>
              </c:layout>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B7D6-4430-99E4-BA945FC90173}"/>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final_table!$S$14:$S$14</c:f>
              <c:strCache>
                <c:ptCount val="1"/>
                <c:pt idx="0">
                  <c:v>Price</c:v>
                </c:pt>
              </c:strCache>
            </c:strRef>
          </c:cat>
          <c:val>
            <c:numRef>
              <c:f>final_table!$S$18:$S$18</c:f>
              <c:numCache>
                <c:formatCode>" ""$"* #,##0.00" ";" ""$"* "("#,##0.00")";" ""$"* "-"#" ";" "@" "</c:formatCode>
                <c:ptCount val="1"/>
                <c:pt idx="0">
                  <c:v>0</c:v>
                </c:pt>
              </c:numCache>
            </c:numRef>
          </c:val>
          <c:extLst>
            <c:ext xmlns:c16="http://schemas.microsoft.com/office/drawing/2014/chart" uri="{C3380CC4-5D6E-409C-BE32-E72D297353CC}">
              <c16:uniqueId val="{00000006-B7D6-4430-99E4-BA945FC90173}"/>
            </c:ext>
          </c:extLst>
        </c:ser>
        <c:ser>
          <c:idx val="0"/>
          <c:order val="3"/>
          <c:tx>
            <c:strRef>
              <c:f>final_table!$R$16:$R$16</c:f>
              <c:strCache>
                <c:ptCount val="1"/>
                <c:pt idx="0">
                  <c:v>Price of BEN 1/14/25</c:v>
                </c:pt>
              </c:strCache>
            </c:strRef>
          </c:tx>
          <c:spPr>
            <a:solidFill>
              <a:schemeClr val="accent4">
                <a:lumMod val="20000"/>
                <a:lumOff val="80000"/>
              </a:schemeClr>
            </a:solidFill>
            <a:ln>
              <a:noFill/>
            </a:ln>
          </c:spPr>
          <c:invertIfNegative val="0"/>
          <c:dPt>
            <c:idx val="0"/>
            <c:invertIfNegative val="0"/>
            <c:bubble3D val="0"/>
            <c:extLst>
              <c:ext xmlns:c16="http://schemas.microsoft.com/office/drawing/2014/chart" uri="{C3380CC4-5D6E-409C-BE32-E72D297353CC}">
                <c16:uniqueId val="{00000001-B7D6-4430-99E4-BA945FC90173}"/>
              </c:ext>
            </c:extLst>
          </c:dPt>
          <c:dLbls>
            <c:dLbl>
              <c:idx val="0"/>
              <c:layout>
                <c:manualLayout>
                  <c:x val="8.7926564502074532E-4"/>
                  <c:y val="5.8387512894491115E-4"/>
                </c:manualLayout>
              </c:layout>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B7D6-4430-99E4-BA945FC90173}"/>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final_table!$S$14:$S$14</c:f>
              <c:strCache>
                <c:ptCount val="1"/>
                <c:pt idx="0">
                  <c:v>Price</c:v>
                </c:pt>
              </c:strCache>
            </c:strRef>
          </c:cat>
          <c:val>
            <c:numRef>
              <c:f>final_table!$S$16:$S$16</c:f>
              <c:numCache>
                <c:formatCode>" ""$"* #,##0.00" ";" ""$"* "("#,##0.00")";" ""$"* "-"#" ";" "@" "</c:formatCode>
                <c:ptCount val="1"/>
                <c:pt idx="0">
                  <c:v>19.41</c:v>
                </c:pt>
              </c:numCache>
            </c:numRef>
          </c:val>
          <c:extLst>
            <c:ext xmlns:c16="http://schemas.microsoft.com/office/drawing/2014/chart" uri="{C3380CC4-5D6E-409C-BE32-E72D297353CC}">
              <c16:uniqueId val="{00000000-B7D6-4430-99E4-BA945FC90173}"/>
            </c:ext>
          </c:extLst>
        </c:ser>
        <c:dLbls>
          <c:showLegendKey val="0"/>
          <c:showVal val="0"/>
          <c:showCatName val="0"/>
          <c:showSerName val="0"/>
          <c:showPercent val="0"/>
          <c:showBubbleSize val="0"/>
        </c:dLbls>
        <c:gapWidth val="500"/>
        <c:axId val="987579456"/>
        <c:axId val="987579936"/>
      </c:barChart>
      <c:valAx>
        <c:axId val="987579936"/>
        <c:scaling>
          <c:orientation val="minMax"/>
          <c:max val="30"/>
          <c:min val="0"/>
        </c:scaling>
        <c:delete val="0"/>
        <c:axPos val="l"/>
        <c:numFmt formatCode="&quot; &quot;&quot;$&quot;* #,##0.00&quot; &quot;;&quot; &quot;&quot;$&quot;* &quot;(&quot;#,##0.00&quot;)&quot;;&quot; &quot;&quot;$&quot;* &quot;-&quot;#&quot; &quot;;&quot; &quot;@&quot; &quot;"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7579456"/>
        <c:crosses val="autoZero"/>
        <c:crossBetween val="between"/>
      </c:valAx>
      <c:catAx>
        <c:axId val="987579456"/>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7579936"/>
        <c:crosses val="autoZero"/>
        <c:auto val="1"/>
        <c:lblAlgn val="ctr"/>
        <c:lblOffset val="100"/>
        <c:noMultiLvlLbl val="0"/>
      </c:catAx>
      <c:spPr>
        <a:noFill/>
        <a:ln>
          <a:noFill/>
        </a:ln>
      </c:spPr>
    </c:plotArea>
    <c:legend>
      <c:legendPos val="r"/>
      <c:layout>
        <c:manualLayout>
          <c:xMode val="edge"/>
          <c:yMode val="edge"/>
          <c:x val="0.66021122454149794"/>
          <c:y val="0.12355258062229386"/>
          <c:w val="0.31701720791190052"/>
          <c:h val="0.7607069486257132"/>
        </c:manualLayout>
      </c:layout>
      <c:overlay val="0"/>
      <c:spPr>
        <a:noFill/>
        <a:ln>
          <a:noFill/>
        </a:ln>
      </c:spPr>
      <c:txPr>
        <a:bodyPr lIns="0" tIns="0" rIns="0" bIns="0"/>
        <a:lstStyle/>
        <a:p>
          <a:pPr marL="0" marR="0" indent="0" defTabSz="914400" fontAlgn="auto" hangingPunct="1">
            <a:lnSpc>
              <a:spcPct val="100000"/>
            </a:lnSpc>
            <a:spcBef>
              <a:spcPts val="0"/>
            </a:spcBef>
            <a:spcAft>
              <a:spcPts val="0"/>
            </a:spcAft>
            <a:tabLst/>
            <a:defRPr sz="1300" b="0" i="0" u="none" strike="noStrike" kern="1200" baseline="0">
              <a:solidFill>
                <a:srgbClr val="595959"/>
              </a:solidFill>
              <a:latin typeface="Calibri"/>
            </a:defRPr>
          </a:pPr>
          <a:endParaRPr lang="en-US"/>
        </a:p>
      </c:txPr>
    </c:legend>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0" i="0" u="none" strike="noStrike" kern="1200" spc="0" baseline="0">
                <a:solidFill>
                  <a:srgbClr val="595959"/>
                </a:solidFill>
                <a:latin typeface="Calibri"/>
              </a:defRPr>
            </a:pPr>
            <a:r>
              <a:rPr lang="en-US" sz="1400" b="0" i="0" u="none" strike="noStrike" kern="1200" cap="none" spc="0" baseline="0">
                <a:solidFill>
                  <a:srgbClr val="595959"/>
                </a:solidFill>
                <a:uFillTx/>
                <a:latin typeface="Calibri"/>
              </a:rPr>
              <a:t>Football Field Chart of BEN Valuations</a:t>
            </a:r>
          </a:p>
        </c:rich>
      </c:tx>
      <c:layout>
        <c:manualLayout>
          <c:xMode val="edge"/>
          <c:yMode val="edge"/>
          <c:x val="0.18184699487804931"/>
          <c:y val="2.5257505572727199E-2"/>
        </c:manualLayout>
      </c:layout>
      <c:overlay val="0"/>
      <c:spPr>
        <a:noFill/>
        <a:ln>
          <a:noFill/>
        </a:ln>
      </c:spPr>
    </c:title>
    <c:autoTitleDeleted val="0"/>
    <c:plotArea>
      <c:layout>
        <c:manualLayout>
          <c:layoutTarget val="inner"/>
          <c:xMode val="edge"/>
          <c:yMode val="edge"/>
          <c:x val="0.13062520509492639"/>
          <c:y val="0.1645526488063177"/>
          <c:w val="0.843014713284298"/>
          <c:h val="0.58103897180075736"/>
        </c:manualLayout>
      </c:layout>
      <c:stockChart>
        <c:ser>
          <c:idx val="0"/>
          <c:order val="0"/>
          <c:tx>
            <c:strRef>
              <c:f>final_table!$E$3</c:f>
              <c:strCache>
                <c:ptCount val="1"/>
                <c:pt idx="0">
                  <c:v>Low Val</c:v>
                </c:pt>
              </c:strCache>
            </c:strRef>
          </c:tx>
          <c:spPr>
            <a:ln>
              <a:noFill/>
            </a:ln>
          </c:spPr>
          <c:marker>
            <c:symbol val="none"/>
          </c:marker>
          <c:cat>
            <c:strRef>
              <c:f>(final_table!$D$4:$D$7,final_table!$D$15)</c:f>
              <c:strCache>
                <c:ptCount val="5"/>
                <c:pt idx="0">
                  <c:v>DCF-FCFF perp</c:v>
                </c:pt>
                <c:pt idx="1">
                  <c:v>DCF-FCFF mult</c:v>
                </c:pt>
                <c:pt idx="2">
                  <c:v>DCF-FCFE perp</c:v>
                </c:pt>
                <c:pt idx="3">
                  <c:v>DCF-FCFE mult</c:v>
                </c:pt>
                <c:pt idx="4">
                  <c:v>Residual Income</c:v>
                </c:pt>
              </c:strCache>
            </c:strRef>
          </c:cat>
          <c:val>
            <c:numRef>
              <c:f>(final_table!$E$4:$E$7,final_table!$E$15)</c:f>
              <c:numCache>
                <c:formatCode>" ""$"* #,##0.00" ";" ""$"* "("#,##0.00")";" ""$"* "-"#" ";" "@"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91ED-4EAF-9508-FE49DEDF1035}"/>
            </c:ext>
          </c:extLst>
        </c:ser>
        <c:ser>
          <c:idx val="1"/>
          <c:order val="1"/>
          <c:tx>
            <c:strRef>
              <c:f>final_table!$F$3</c:f>
              <c:strCache>
                <c:ptCount val="1"/>
                <c:pt idx="0">
                  <c:v>Low Label</c:v>
                </c:pt>
              </c:strCache>
            </c:strRef>
          </c:tx>
          <c:spPr>
            <a:ln>
              <a:noFill/>
            </a:ln>
          </c:spPr>
          <c:marker>
            <c:symbol val="none"/>
          </c:marker>
          <c:dPt>
            <c:idx val="7"/>
            <c:bubble3D val="0"/>
            <c:extLst>
              <c:ext xmlns:c16="http://schemas.microsoft.com/office/drawing/2014/chart" uri="{C3380CC4-5D6E-409C-BE32-E72D297353CC}">
                <c16:uniqueId val="{00000001-91ED-4EAF-9508-FE49DEDF1035}"/>
              </c:ext>
            </c:extLst>
          </c:dPt>
          <c:dPt>
            <c:idx val="8"/>
            <c:bubble3D val="0"/>
            <c:extLst>
              <c:ext xmlns:c16="http://schemas.microsoft.com/office/drawing/2014/chart" uri="{C3380CC4-5D6E-409C-BE32-E72D297353CC}">
                <c16:uniqueId val="{00000002-91ED-4EAF-9508-FE49DEDF1035}"/>
              </c:ext>
            </c:extLst>
          </c:dPt>
          <c:dPt>
            <c:idx val="10"/>
            <c:bubble3D val="0"/>
            <c:extLst>
              <c:ext xmlns:c16="http://schemas.microsoft.com/office/drawing/2014/chart" uri="{C3380CC4-5D6E-409C-BE32-E72D297353CC}">
                <c16:uniqueId val="{00000003-91ED-4EAF-9508-FE49DEDF1035}"/>
              </c:ext>
            </c:extLst>
          </c:dPt>
          <c:dLbls>
            <c:dLbl>
              <c:idx val="0"/>
              <c:layout>
                <c:manualLayout>
                  <c:x val="-4.4812138755318483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1ED-4EAF-9508-FE49DEDF1035}"/>
                </c:ext>
              </c:extLst>
            </c:dLbl>
            <c:dLbl>
              <c:idx val="1"/>
              <c:layout>
                <c:manualLayout>
                  <c:x val="-4.4812138755318434E-2"/>
                  <c:y val="3.367667409696956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ED-4EAF-9508-FE49DEDF1035}"/>
                </c:ext>
              </c:extLst>
            </c:dLbl>
            <c:dLbl>
              <c:idx val="2"/>
              <c:layout>
                <c:manualLayout>
                  <c:x val="-5.008415507947362E-2"/>
                  <c:y val="2.52575055727271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1ED-4EAF-9508-FE49DEDF1035}"/>
                </c:ext>
              </c:extLst>
            </c:dLbl>
            <c:dLbl>
              <c:idx val="3"/>
              <c:layout>
                <c:manualLayout>
                  <c:x val="-4.4812138755318504E-2"/>
                  <c:y val="2.525750557272723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1ED-4EAF-9508-FE49DEDF1035}"/>
                </c:ext>
              </c:extLst>
            </c:dLbl>
            <c:dLbl>
              <c:idx val="4"/>
              <c:layout>
                <c:manualLayout>
                  <c:x val="-5.0084155079473572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1ED-4EAF-9508-FE49DEDF1035}"/>
                </c:ext>
              </c:extLst>
            </c:dLbl>
            <c:dLbl>
              <c:idx val="5"/>
              <c:layout>
                <c:manualLayout>
                  <c:x val="-4.4812138755318455E-2"/>
                  <c:y val="2.10479213106059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1ED-4EAF-9508-FE49DEDF1035}"/>
                </c:ext>
              </c:extLst>
            </c:dLbl>
            <c:dLbl>
              <c:idx val="6"/>
              <c:layout>
                <c:manualLayout>
                  <c:x val="-4.7448146917396017E-2"/>
                  <c:y val="3.7886258359090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1ED-4EAF-9508-FE49DEDF1035}"/>
                </c:ext>
              </c:extLst>
            </c:dLbl>
            <c:dLbl>
              <c:idx val="7"/>
              <c:layout>
                <c:manualLayout>
                  <c:x val="-4.9909597373622605E-2"/>
                  <c:y val="2.933583035706887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1ED-4EAF-9508-FE49DEDF1035}"/>
                </c:ext>
              </c:extLst>
            </c:dLbl>
            <c:dLbl>
              <c:idx val="8"/>
              <c:layout>
                <c:manualLayout>
                  <c:x val="-4.6352439272702516E-2"/>
                  <c:y val="2.474009131814671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1ED-4EAF-9508-FE49DEDF1035}"/>
                </c:ext>
              </c:extLst>
            </c:dLbl>
            <c:dLbl>
              <c:idx val="10"/>
              <c:layout>
                <c:manualLayout>
                  <c:x val="-5.1052350114517697E-2"/>
                  <c:y val="2.415599050493688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1ED-4EAF-9508-FE49DEDF1035}"/>
                </c:ext>
              </c:extLst>
            </c:dLbl>
            <c:dLbl>
              <c:idx val="11"/>
              <c:layout>
                <c:manualLayout>
                  <c:x val="-2.8996089782853118E-2"/>
                  <c:y val="1.683833704848472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91ED-4EAF-9508-FE49DEDF1035}"/>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(final_table!$D$4:$D$7,final_table!$D$15)</c:f>
              <c:strCache>
                <c:ptCount val="5"/>
                <c:pt idx="0">
                  <c:v>DCF-FCFF perp</c:v>
                </c:pt>
                <c:pt idx="1">
                  <c:v>DCF-FCFF mult</c:v>
                </c:pt>
                <c:pt idx="2">
                  <c:v>DCF-FCFE perp</c:v>
                </c:pt>
                <c:pt idx="3">
                  <c:v>DCF-FCFE mult</c:v>
                </c:pt>
                <c:pt idx="4">
                  <c:v>Residual Income</c:v>
                </c:pt>
              </c:strCache>
            </c:strRef>
          </c:cat>
          <c:val>
            <c:numRef>
              <c:f>(final_table!$F$4:$F$7,final_table!$F$15)</c:f>
              <c:numCache>
                <c:formatCode>" ""$"* #,##0.00" ";" ""$"* "("#,##0.00")";" ""$"* "-"#" ";" "@"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C-91ED-4EAF-9508-FE49DEDF1035}"/>
            </c:ext>
          </c:extLst>
        </c:ser>
        <c:ser>
          <c:idx val="2"/>
          <c:order val="2"/>
          <c:tx>
            <c:strRef>
              <c:f>final_table!$G$3</c:f>
              <c:strCache>
                <c:ptCount val="1"/>
                <c:pt idx="0">
                  <c:v>High Val</c:v>
                </c:pt>
              </c:strCache>
            </c:strRef>
          </c:tx>
          <c:spPr>
            <a:ln>
              <a:noFill/>
            </a:ln>
          </c:spPr>
          <c:marker>
            <c:symbol val="none"/>
          </c:marker>
          <c:cat>
            <c:strRef>
              <c:f>(final_table!$D$4:$D$7,final_table!$D$15)</c:f>
              <c:strCache>
                <c:ptCount val="5"/>
                <c:pt idx="0">
                  <c:v>DCF-FCFF perp</c:v>
                </c:pt>
                <c:pt idx="1">
                  <c:v>DCF-FCFF mult</c:v>
                </c:pt>
                <c:pt idx="2">
                  <c:v>DCF-FCFE perp</c:v>
                </c:pt>
                <c:pt idx="3">
                  <c:v>DCF-FCFE mult</c:v>
                </c:pt>
                <c:pt idx="4">
                  <c:v>Residual Income</c:v>
                </c:pt>
              </c:strCache>
            </c:strRef>
          </c:cat>
          <c:val>
            <c:numRef>
              <c:f>(final_table!$G$4:$G$7,final_table!$G$15)</c:f>
              <c:numCache>
                <c:formatCode>" ""$"* #,##0.00" ";" ""$"* "("#,##0.00")";" ""$"* "-"#" ";" "@"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D-91ED-4EAF-9508-FE49DEDF1035}"/>
            </c:ext>
          </c:extLst>
        </c:ser>
        <c:ser>
          <c:idx val="3"/>
          <c:order val="3"/>
          <c:tx>
            <c:strRef>
              <c:f>final_table!$H$3</c:f>
              <c:strCache>
                <c:ptCount val="1"/>
                <c:pt idx="0">
                  <c:v>High Label</c:v>
                </c:pt>
              </c:strCache>
            </c:strRef>
          </c:tx>
          <c:spPr>
            <a:ln>
              <a:noFill/>
            </a:ln>
          </c:spPr>
          <c:marker>
            <c:symbol val="none"/>
          </c:marker>
          <c:dPt>
            <c:idx val="7"/>
            <c:bubble3D val="0"/>
            <c:extLst>
              <c:ext xmlns:c16="http://schemas.microsoft.com/office/drawing/2014/chart" uri="{C3380CC4-5D6E-409C-BE32-E72D297353CC}">
                <c16:uniqueId val="{0000000E-91ED-4EAF-9508-FE49DEDF1035}"/>
              </c:ext>
            </c:extLst>
          </c:dPt>
          <c:dLbls>
            <c:dLbl>
              <c:idx val="0"/>
              <c:layout>
                <c:manualLayout>
                  <c:x val="-4.4812138755318483E-2"/>
                  <c:y val="-3.36766740969695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91ED-4EAF-9508-FE49DEDF1035}"/>
                </c:ext>
              </c:extLst>
            </c:dLbl>
            <c:dLbl>
              <c:idx val="1"/>
              <c:layout>
                <c:manualLayout>
                  <c:x val="-5.2720163241551175E-2"/>
                  <c:y val="-2.52575055727271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91ED-4EAF-9508-FE49DEDF1035}"/>
                </c:ext>
              </c:extLst>
            </c:dLbl>
            <c:dLbl>
              <c:idx val="2"/>
              <c:layout>
                <c:manualLayout>
                  <c:x val="-5.2720163241551127E-2"/>
                  <c:y val="-1.6838337048484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91ED-4EAF-9508-FE49DEDF1035}"/>
                </c:ext>
              </c:extLst>
            </c:dLbl>
            <c:dLbl>
              <c:idx val="3"/>
              <c:layout>
                <c:manualLayout>
                  <c:x val="-4.7448146917396065E-2"/>
                  <c:y val="-2.525750557272719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91ED-4EAF-9508-FE49DEDF1035}"/>
                </c:ext>
              </c:extLst>
            </c:dLbl>
            <c:dLbl>
              <c:idx val="4"/>
              <c:layout>
                <c:manualLayout>
                  <c:x val="-4.4812138755318455E-2"/>
                  <c:y val="-1.6838337048484798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91ED-4EAF-9508-FE49DEDF1035}"/>
                </c:ext>
              </c:extLst>
            </c:dLbl>
            <c:dLbl>
              <c:idx val="5"/>
              <c:layout>
                <c:manualLayout>
                  <c:x val="-4.4812138755318455E-2"/>
                  <c:y val="-3.367667409696956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91ED-4EAF-9508-FE49DEDF1035}"/>
                </c:ext>
              </c:extLst>
            </c:dLbl>
            <c:dLbl>
              <c:idx val="6"/>
              <c:layout>
                <c:manualLayout>
                  <c:x val="-4.4812138755318552E-2"/>
                  <c:y val="-2.946708983484847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5-91ED-4EAF-9508-FE49DEDF1035}"/>
                </c:ext>
              </c:extLst>
            </c:dLbl>
            <c:dLbl>
              <c:idx val="7"/>
              <c:layout>
                <c:manualLayout>
                  <c:x val="-4.9909597373622605E-2"/>
                  <c:y val="-2.856385226679485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91ED-4EAF-9508-FE49DEDF1035}"/>
                </c:ext>
              </c:extLst>
            </c:dLbl>
            <c:dLbl>
              <c:idx val="8"/>
              <c:layout>
                <c:manualLayout>
                  <c:x val="-4.4812138755318455E-2"/>
                  <c:y val="-3.367667409696959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6-91ED-4EAF-9508-FE49DEDF1035}"/>
                </c:ext>
              </c:extLst>
            </c:dLbl>
            <c:dLbl>
              <c:idx val="10"/>
              <c:layout>
                <c:manualLayout>
                  <c:x val="-4.7448146917396017E-2"/>
                  <c:y val="-2.9467089834848473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7-91ED-4EAF-9508-FE49DEDF1035}"/>
                </c:ext>
              </c:extLst>
            </c:dLbl>
            <c:dLbl>
              <c:idx val="11"/>
              <c:layout>
                <c:manualLayout>
                  <c:x val="-2.6360081620775563E-2"/>
                  <c:y val="-2.946708983484839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8-91ED-4EAF-9508-FE49DEDF1035}"/>
                </c:ext>
              </c:extLst>
            </c:dLbl>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404040"/>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(final_table!$D$4:$D$7,final_table!$D$15)</c:f>
              <c:strCache>
                <c:ptCount val="5"/>
                <c:pt idx="0">
                  <c:v>DCF-FCFF perp</c:v>
                </c:pt>
                <c:pt idx="1">
                  <c:v>DCF-FCFF mult</c:v>
                </c:pt>
                <c:pt idx="2">
                  <c:v>DCF-FCFE perp</c:v>
                </c:pt>
                <c:pt idx="3">
                  <c:v>DCF-FCFE mult</c:v>
                </c:pt>
                <c:pt idx="4">
                  <c:v>Residual Income</c:v>
                </c:pt>
              </c:strCache>
            </c:strRef>
          </c:cat>
          <c:val>
            <c:numRef>
              <c:f>(final_table!$H$4:$H$7,final_table!$H$15)</c:f>
              <c:numCache>
                <c:formatCode>" ""$"* #,##0.00" ";" ""$"* "("#,##0.00")";" ""$"* "-"#" ";" "@"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19-91ED-4EAF-9508-FE49DEDF1035}"/>
            </c:ext>
          </c:extLst>
        </c:ser>
        <c:dLbls>
          <c:showLegendKey val="0"/>
          <c:showVal val="0"/>
          <c:showCatName val="0"/>
          <c:showSerName val="0"/>
          <c:showPercent val="0"/>
          <c:showBubbleSize val="0"/>
        </c:dLbls>
        <c:hiLowLines>
          <c:spPr>
            <a:ln w="9528" cap="flat">
              <a:solidFill>
                <a:srgbClr val="404040"/>
              </a:solidFill>
              <a:prstDash val="solid"/>
              <a:round/>
            </a:ln>
          </c:spPr>
        </c:hiLowLines>
        <c:upDownBars>
          <c:gapWidth val="150"/>
          <c:upBars>
            <c:spPr>
              <a:solidFill>
                <a:schemeClr val="accent1">
                  <a:lumMod val="60000"/>
                  <a:lumOff val="40000"/>
                </a:schemeClr>
              </a:solidFill>
              <a:ln w="9528" cap="flat">
                <a:solidFill>
                  <a:srgbClr val="595959"/>
                </a:solidFill>
                <a:prstDash val="solid"/>
                <a:round/>
              </a:ln>
            </c:spPr>
          </c:upBars>
          <c:downBars>
            <c:spPr>
              <a:solidFill>
                <a:srgbClr val="FFC000"/>
              </a:solidFill>
              <a:ln w="9528" cap="flat">
                <a:solidFill>
                  <a:srgbClr val="595959"/>
                </a:solidFill>
                <a:prstDash val="solid"/>
                <a:round/>
              </a:ln>
            </c:spPr>
          </c:downBars>
        </c:upDownBars>
        <c:axId val="988328576"/>
        <c:axId val="988327136"/>
      </c:stockChart>
      <c:valAx>
        <c:axId val="988327136"/>
        <c:scaling>
          <c:orientation val="minMax"/>
          <c:max val="50"/>
        </c:scaling>
        <c:delete val="0"/>
        <c:axPos val="l"/>
        <c:numFmt formatCode="&quot; &quot;&quot;$&quot;* #,##0.00&quot; &quot;;&quot; &quot;&quot;$&quot;* &quot;(&quot;#,##0.00&quot;)&quot;;&quot; &quot;&quot;$&quot;* &quot;-&quot;#&quot; &quot;;&quot; &quot;@&quot; &quot;"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8576"/>
        <c:crosses val="autoZero"/>
        <c:crossBetween val="between"/>
        <c:majorUnit val="10"/>
      </c:valAx>
      <c:catAx>
        <c:axId val="988328576"/>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7136"/>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0" i="0" u="none" strike="noStrike" kern="1200" spc="0" baseline="0">
                <a:solidFill>
                  <a:srgbClr val="595959"/>
                </a:solidFill>
                <a:latin typeface="Calibri"/>
              </a:defRPr>
            </a:pPr>
            <a:r>
              <a:rPr lang="en-US" sz="1400" b="0" i="0" u="none" strike="noStrike" kern="1200" cap="none" spc="0" baseline="0">
                <a:solidFill>
                  <a:srgbClr val="595959"/>
                </a:solidFill>
                <a:uFillTx/>
                <a:latin typeface="Calibri"/>
              </a:rPr>
              <a:t>Football Field Chart of BEN Valuations</a:t>
            </a:r>
          </a:p>
        </c:rich>
      </c:tx>
      <c:layout>
        <c:manualLayout>
          <c:xMode val="edge"/>
          <c:yMode val="edge"/>
          <c:x val="0.18184699487804931"/>
          <c:y val="2.5257505572727199E-2"/>
        </c:manualLayout>
      </c:layout>
      <c:overlay val="0"/>
      <c:spPr>
        <a:noFill/>
        <a:ln>
          <a:noFill/>
        </a:ln>
      </c:spPr>
    </c:title>
    <c:autoTitleDeleted val="0"/>
    <c:plotArea>
      <c:layout>
        <c:manualLayout>
          <c:layoutTarget val="inner"/>
          <c:xMode val="edge"/>
          <c:yMode val="edge"/>
          <c:x val="0.13062520509492639"/>
          <c:y val="0.1645526488063177"/>
          <c:w val="0.843014713284298"/>
          <c:h val="0.58103897180075736"/>
        </c:manualLayout>
      </c:layout>
      <c:stockChart>
        <c:ser>
          <c:idx val="0"/>
          <c:order val="0"/>
          <c:tx>
            <c:strRef>
              <c:f>final_table!$E$3</c:f>
              <c:strCache>
                <c:ptCount val="1"/>
                <c:pt idx="0">
                  <c:v>Low Val</c:v>
                </c:pt>
              </c:strCache>
            </c:strRef>
          </c:tx>
          <c:spPr>
            <a:ln>
              <a:noFill/>
            </a:ln>
          </c:spPr>
          <c:marker>
            <c:symbol val="none"/>
          </c:marker>
          <c:cat>
            <c:strRef>
              <c:f>(final_table!$D$4,final_table!$D$6,final_table!$D$15)</c:f>
              <c:strCache>
                <c:ptCount val="3"/>
                <c:pt idx="0">
                  <c:v>DCF-FCFF perp</c:v>
                </c:pt>
                <c:pt idx="1">
                  <c:v>DCF-FCFE perp</c:v>
                </c:pt>
                <c:pt idx="2">
                  <c:v>Residual Income</c:v>
                </c:pt>
              </c:strCache>
            </c:strRef>
          </c:cat>
          <c:val>
            <c:numRef>
              <c:f>(final_table!$E$4,final_table!$E$6,final_table!$E$15)</c:f>
              <c:numCache>
                <c:formatCode>" ""$"* #,##0.00" ";" ""$"* "("#,##0.00")";" ""$"* "-"#" ";" "@" "</c:formatCode>
                <c:ptCount val="3"/>
                <c:pt idx="0">
                  <c:v>0</c:v>
                </c:pt>
                <c:pt idx="1">
                  <c:v>0</c:v>
                </c:pt>
                <c:pt idx="2">
                  <c:v>0</c:v>
                </c:pt>
              </c:numCache>
            </c:numRef>
          </c:val>
          <c:smooth val="0"/>
          <c:extLst>
            <c:ext xmlns:c16="http://schemas.microsoft.com/office/drawing/2014/chart" uri="{C3380CC4-5D6E-409C-BE32-E72D297353CC}">
              <c16:uniqueId val="{00000000-ACE6-402D-AB79-9B562BEF477B}"/>
            </c:ext>
          </c:extLst>
        </c:ser>
        <c:ser>
          <c:idx val="2"/>
          <c:order val="1"/>
          <c:tx>
            <c:strRef>
              <c:f>final_table!$F$3</c:f>
              <c:strCache>
                <c:ptCount val="1"/>
                <c:pt idx="0">
                  <c:v>Low Label</c:v>
                </c:pt>
              </c:strCache>
            </c:strRef>
          </c:tx>
          <c:spPr>
            <a:ln>
              <a:noFill/>
            </a:ln>
          </c:spPr>
          <c:marker>
            <c:symbol val="none"/>
          </c:marker>
          <c:cat>
            <c:strRef>
              <c:f>(final_table!$D$4,final_table!$D$6,final_table!$D$15)</c:f>
              <c:strCache>
                <c:ptCount val="3"/>
                <c:pt idx="0">
                  <c:v>DCF-FCFF perp</c:v>
                </c:pt>
                <c:pt idx="1">
                  <c:v>DCF-FCFE perp</c:v>
                </c:pt>
                <c:pt idx="2">
                  <c:v>Residual Income</c:v>
                </c:pt>
              </c:strCache>
            </c:strRef>
          </c:cat>
          <c:val>
            <c:numRef>
              <c:f>(final_table!$F$4,final_table!$F$6,final_table!$F$15)</c:f>
              <c:numCache>
                <c:formatCode>" ""$"* #,##0.00" ";" ""$"* "("#,##0.00")";" ""$"* "-"#" ";" "@" "</c:formatCode>
                <c:ptCount val="3"/>
                <c:pt idx="0">
                  <c:v>0</c:v>
                </c:pt>
                <c:pt idx="1">
                  <c:v>0</c:v>
                </c:pt>
                <c:pt idx="2">
                  <c:v>0</c:v>
                </c:pt>
              </c:numCache>
            </c:numRef>
          </c:val>
          <c:smooth val="0"/>
          <c:extLst>
            <c:ext xmlns:c16="http://schemas.microsoft.com/office/drawing/2014/chart" uri="{C3380CC4-5D6E-409C-BE32-E72D297353CC}">
              <c16:uniqueId val="{0000000D-ACE6-402D-AB79-9B562BEF477B}"/>
            </c:ext>
          </c:extLst>
        </c:ser>
        <c:ser>
          <c:idx val="4"/>
          <c:order val="2"/>
          <c:tx>
            <c:strRef>
              <c:f>final_table!$G$3</c:f>
              <c:strCache>
                <c:ptCount val="1"/>
                <c:pt idx="0">
                  <c:v>High Val</c:v>
                </c:pt>
              </c:strCache>
            </c:strRef>
          </c:tx>
          <c:spPr>
            <a:ln w="38100">
              <a:noFill/>
            </a:ln>
          </c:spPr>
          <c:marker>
            <c:symbol val="none"/>
          </c:marker>
          <c:cat>
            <c:strRef>
              <c:f>(final_table!$D$4,final_table!$D$6,final_table!$D$15)</c:f>
              <c:strCache>
                <c:ptCount val="3"/>
                <c:pt idx="0">
                  <c:v>DCF-FCFF perp</c:v>
                </c:pt>
                <c:pt idx="1">
                  <c:v>DCF-FCFE perp</c:v>
                </c:pt>
                <c:pt idx="2">
                  <c:v>Residual Income</c:v>
                </c:pt>
              </c:strCache>
            </c:strRef>
          </c:cat>
          <c:val>
            <c:numRef>
              <c:f>(final_table!$G$4,final_table!$G$6,final_table!$G$15)</c:f>
              <c:numCache>
                <c:formatCode>" ""$"* #,##0.00" ";" ""$"* "("#,##0.00")";" ""$"* "-"#" ";" "@" "</c:formatCode>
                <c:ptCount val="3"/>
                <c:pt idx="0">
                  <c:v>0</c:v>
                </c:pt>
                <c:pt idx="1">
                  <c:v>0</c:v>
                </c:pt>
                <c:pt idx="2">
                  <c:v>0</c:v>
                </c:pt>
              </c:numCache>
            </c:numRef>
          </c:val>
          <c:smooth val="0"/>
          <c:extLst>
            <c:ext xmlns:c16="http://schemas.microsoft.com/office/drawing/2014/chart" uri="{C3380CC4-5D6E-409C-BE32-E72D297353CC}">
              <c16:uniqueId val="{0000001A-ACE6-402D-AB79-9B562BEF477B}"/>
            </c:ext>
          </c:extLst>
        </c:ser>
        <c:ser>
          <c:idx val="1"/>
          <c:order val="3"/>
          <c:tx>
            <c:strRef>
              <c:f>final_table!$H$3</c:f>
              <c:strCache>
                <c:ptCount val="1"/>
                <c:pt idx="0">
                  <c:v>High Label</c:v>
                </c:pt>
              </c:strCache>
            </c:strRef>
          </c:tx>
          <c:spPr>
            <a:ln w="38100">
              <a:noFill/>
            </a:ln>
          </c:spPr>
          <c:marker>
            <c:symbol val="none"/>
          </c:marker>
          <c:cat>
            <c:strRef>
              <c:f>(final_table!$D$4,final_table!$D$6,final_table!$D$15)</c:f>
              <c:strCache>
                <c:ptCount val="3"/>
                <c:pt idx="0">
                  <c:v>DCF-FCFF perp</c:v>
                </c:pt>
                <c:pt idx="1">
                  <c:v>DCF-FCFE perp</c:v>
                </c:pt>
                <c:pt idx="2">
                  <c:v>Residual Income</c:v>
                </c:pt>
              </c:strCache>
            </c:strRef>
          </c:cat>
          <c:val>
            <c:numRef>
              <c:f>(final_table!$H$4,final_table!$H$6,final_table!$H$15)</c:f>
              <c:numCache>
                <c:formatCode>" ""$"* #,##0.00" ";" ""$"* "("#,##0.00")";" ""$"* "-"#" ";" "@" "</c:formatCode>
                <c:ptCount val="3"/>
                <c:pt idx="0">
                  <c:v>0</c:v>
                </c:pt>
                <c:pt idx="1">
                  <c:v>0</c:v>
                </c:pt>
                <c:pt idx="2">
                  <c:v>0</c:v>
                </c:pt>
              </c:numCache>
            </c:numRef>
          </c:val>
          <c:smooth val="0"/>
          <c:extLst>
            <c:ext xmlns:c16="http://schemas.microsoft.com/office/drawing/2014/chart" uri="{C3380CC4-5D6E-409C-BE32-E72D297353CC}">
              <c16:uniqueId val="{0000001B-ACE6-402D-AB79-9B562BEF477B}"/>
            </c:ext>
          </c:extLst>
        </c:ser>
        <c:dLbls>
          <c:showLegendKey val="0"/>
          <c:showVal val="0"/>
          <c:showCatName val="0"/>
          <c:showSerName val="0"/>
          <c:showPercent val="0"/>
          <c:showBubbleSize val="0"/>
        </c:dLbls>
        <c:hiLowLines>
          <c:spPr>
            <a:ln w="9528" cap="flat">
              <a:solidFill>
                <a:srgbClr val="404040"/>
              </a:solidFill>
              <a:prstDash val="solid"/>
              <a:round/>
            </a:ln>
          </c:spPr>
        </c:hiLowLines>
        <c:upDownBars>
          <c:gapWidth val="150"/>
          <c:upBars>
            <c:spPr>
              <a:solidFill>
                <a:schemeClr val="accent1">
                  <a:lumMod val="60000"/>
                  <a:lumOff val="40000"/>
                </a:schemeClr>
              </a:solidFill>
              <a:ln w="9528" cap="flat">
                <a:solidFill>
                  <a:srgbClr val="595959"/>
                </a:solidFill>
                <a:prstDash val="solid"/>
                <a:round/>
              </a:ln>
            </c:spPr>
          </c:upBars>
          <c:downBars>
            <c:spPr>
              <a:solidFill>
                <a:srgbClr val="FFC000"/>
              </a:solidFill>
              <a:ln w="9528" cap="flat">
                <a:solidFill>
                  <a:srgbClr val="595959"/>
                </a:solidFill>
                <a:prstDash val="solid"/>
                <a:round/>
              </a:ln>
            </c:spPr>
          </c:downBars>
        </c:upDownBars>
        <c:axId val="988328576"/>
        <c:axId val="988327136"/>
      </c:stockChart>
      <c:valAx>
        <c:axId val="988327136"/>
        <c:scaling>
          <c:orientation val="minMax"/>
          <c:max val="30"/>
        </c:scaling>
        <c:delete val="0"/>
        <c:axPos val="l"/>
        <c:numFmt formatCode="&quot; &quot;&quot;$&quot;* #,##0.00&quot; &quot;;&quot; &quot;&quot;$&quot;* &quot;(&quot;#,##0.00&quot;)&quot;;&quot; &quot;&quot;$&quot;* &quot;-&quot;#&quot; &quot;;&quot; &quot;@&quot; &quot;" sourceLinked="1"/>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8576"/>
        <c:crosses val="autoZero"/>
        <c:crossBetween val="between"/>
        <c:majorUnit val="5"/>
      </c:valAx>
      <c:catAx>
        <c:axId val="988328576"/>
        <c:scaling>
          <c:orientation val="minMax"/>
        </c:scaling>
        <c:delete val="0"/>
        <c:axPos val="b"/>
        <c:numFmt formatCode="General" sourceLinked="1"/>
        <c:majorTickMark val="none"/>
        <c:minorTickMark val="none"/>
        <c:tickLblPos val="nextTo"/>
        <c:spPr>
          <a:no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595959"/>
                </a:solidFill>
                <a:latin typeface="Calibri"/>
              </a:defRPr>
            </a:pPr>
            <a:endParaRPr lang="en-US"/>
          </a:p>
        </c:txPr>
        <c:crossAx val="988327136"/>
        <c:crosses val="autoZero"/>
        <c:auto val="1"/>
        <c:lblAlgn val="ctr"/>
        <c:lblOffset val="100"/>
        <c:noMultiLvlLbl val="0"/>
      </c:catAx>
      <c:spPr>
        <a:noFill/>
        <a:ln>
          <a:noFill/>
        </a:ln>
      </c:spPr>
    </c:plotArea>
    <c:plotVisOnly val="1"/>
    <c:dispBlanksAs val="gap"/>
    <c:showDLblsOverMax val="0"/>
  </c:chart>
  <c:spPr>
    <a:solidFill>
      <a:srgbClr val="FFFFFF"/>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46" cy="476246"/>
    <xdr:pic>
      <xdr:nvPicPr>
        <xdr:cNvPr id="2" name="Logo" descr="Logo">
          <a:extLst>
            <a:ext uri="{FF2B5EF4-FFF2-40B4-BE49-F238E27FC236}">
              <a16:creationId xmlns:a16="http://schemas.microsoft.com/office/drawing/2014/main" id="{667A987B-B8AF-2E49-2AEA-493D9FD51CFB}"/>
            </a:ext>
          </a:extLst>
        </xdr:cNvPr>
        <xdr:cNvPicPr>
          <a:picLocks noChangeAspect="1"/>
        </xdr:cNvPicPr>
      </xdr:nvPicPr>
      <xdr:blipFill>
        <a:blip xmlns:r="http://schemas.openxmlformats.org/officeDocument/2006/relationships"/>
        <a:stretch>
          <a:fillRect/>
        </a:stretch>
      </xdr:blipFill>
      <xdr:spPr>
        <a:xfrm>
          <a:off x="0" y="0"/>
          <a:ext cx="476246" cy="476246"/>
        </a:xfrm>
        <a:prstGeom prst="rect">
          <a:avLst/>
        </a:prstGeom>
      </xdr:spPr>
    </xdr:pic>
    <xdr:clientData/>
  </xdr:oneCellAnchor>
  <xdr:oneCellAnchor>
    <xdr:from>
      <xdr:col>0</xdr:col>
      <xdr:colOff>0</xdr:colOff>
      <xdr:row>0</xdr:row>
      <xdr:rowOff>0</xdr:rowOff>
    </xdr:from>
    <xdr:ext cx="476250" cy="476250"/>
    <xdr:pic>
      <xdr:nvPicPr>
        <xdr:cNvPr id="3" name="Logo" descr="Logo">
          <a:extLst>
            <a:ext uri="{FF2B5EF4-FFF2-40B4-BE49-F238E27FC236}">
              <a16:creationId xmlns:a16="http://schemas.microsoft.com/office/drawing/2014/main" id="{A761FEF8-A60F-4E91-B9F6-67E93AA85489}"/>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xdr:spPr>
    </xdr:pic>
    <xdr:clientData/>
  </xdr:oneCellAnchor>
  <xdr:oneCellAnchor>
    <xdr:from>
      <xdr:col>0</xdr:col>
      <xdr:colOff>0</xdr:colOff>
      <xdr:row>0</xdr:row>
      <xdr:rowOff>0</xdr:rowOff>
    </xdr:from>
    <xdr:ext cx="476250" cy="476250"/>
    <xdr:pic>
      <xdr:nvPicPr>
        <xdr:cNvPr id="4" name="Logo" descr="Logo">
          <a:extLst>
            <a:ext uri="{FF2B5EF4-FFF2-40B4-BE49-F238E27FC236}">
              <a16:creationId xmlns:a16="http://schemas.microsoft.com/office/drawing/2014/main" id="{5CE9F76B-0206-4C49-BCCF-7A688870B28F}"/>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1441450</xdr:colOff>
      <xdr:row>1</xdr:row>
      <xdr:rowOff>88900</xdr:rowOff>
    </xdr:to>
    <xdr:pic>
      <xdr:nvPicPr>
        <xdr:cNvPr id="2" name="Picture 2">
          <a:extLst>
            <a:ext uri="{FF2B5EF4-FFF2-40B4-BE49-F238E27FC236}">
              <a16:creationId xmlns:a16="http://schemas.microsoft.com/office/drawing/2014/main" id="{31ECAF6E-C6DA-4A8C-ABEB-02743BB94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41450" cy="21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1055964</xdr:colOff>
      <xdr:row>45</xdr:row>
      <xdr:rowOff>39410</xdr:rowOff>
    </xdr:from>
    <xdr:ext cx="5219696" cy="3009903"/>
    <xdr:graphicFrame macro="">
      <xdr:nvGraphicFramePr>
        <xdr:cNvPr id="2" name="Chart 1">
          <a:extLst>
            <a:ext uri="{FF2B5EF4-FFF2-40B4-BE49-F238E27FC236}">
              <a16:creationId xmlns:a16="http://schemas.microsoft.com/office/drawing/2014/main" id="{42265655-150B-0994-8654-888410DE8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2</xdr:col>
      <xdr:colOff>6903</xdr:colOff>
      <xdr:row>23</xdr:row>
      <xdr:rowOff>11833</xdr:rowOff>
    </xdr:from>
    <xdr:ext cx="4817891" cy="3016925"/>
    <xdr:graphicFrame macro="">
      <xdr:nvGraphicFramePr>
        <xdr:cNvPr id="3" name="Chart 1" title="Football Field Chart of Hasbro Valuation">
          <a:extLst>
            <a:ext uri="{FF2B5EF4-FFF2-40B4-BE49-F238E27FC236}">
              <a16:creationId xmlns:a16="http://schemas.microsoft.com/office/drawing/2014/main" id="{4DFDA1D4-D52F-2D1B-D1A6-E8617E0A5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9708</xdr:colOff>
      <xdr:row>23</xdr:row>
      <xdr:rowOff>733</xdr:rowOff>
    </xdr:from>
    <xdr:ext cx="4578821" cy="2863626"/>
    <xdr:graphicFrame macro="">
      <xdr:nvGraphicFramePr>
        <xdr:cNvPr id="2" name="Chart 2">
          <a:extLst>
            <a:ext uri="{FF2B5EF4-FFF2-40B4-BE49-F238E27FC236}">
              <a16:creationId xmlns:a16="http://schemas.microsoft.com/office/drawing/2014/main" id="{64883536-BEE9-CBA0-E492-A75E0E223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1</xdr:col>
      <xdr:colOff>590550</xdr:colOff>
      <xdr:row>31</xdr:row>
      <xdr:rowOff>63500</xdr:rowOff>
    </xdr:from>
    <xdr:to>
      <xdr:col>8</xdr:col>
      <xdr:colOff>723900</xdr:colOff>
      <xdr:row>31</xdr:row>
      <xdr:rowOff>69850</xdr:rowOff>
    </xdr:to>
    <xdr:cxnSp macro="">
      <xdr:nvCxnSpPr>
        <xdr:cNvPr id="5" name="Straight Connector 4">
          <a:extLst>
            <a:ext uri="{FF2B5EF4-FFF2-40B4-BE49-F238E27FC236}">
              <a16:creationId xmlns:a16="http://schemas.microsoft.com/office/drawing/2014/main" id="{3727DFF9-C245-AE3D-DFAA-8B812C0FBE78}"/>
            </a:ext>
          </a:extLst>
        </xdr:cNvPr>
        <xdr:cNvCxnSpPr/>
      </xdr:nvCxnSpPr>
      <xdr:spPr>
        <a:xfrm>
          <a:off x="1231900" y="6521450"/>
          <a:ext cx="4997450" cy="6350"/>
        </a:xfrm>
        <a:prstGeom prst="line">
          <a:avLst/>
        </a:prstGeom>
        <a:ln>
          <a:solidFill>
            <a:schemeClr val="accent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0</xdr:colOff>
      <xdr:row>40</xdr:row>
      <xdr:rowOff>0</xdr:rowOff>
    </xdr:from>
    <xdr:ext cx="4817891" cy="3016925"/>
    <xdr:graphicFrame macro="">
      <xdr:nvGraphicFramePr>
        <xdr:cNvPr id="4" name="Chart 1" title="Football Field Chart of Hasbro Valuation">
          <a:extLst>
            <a:ext uri="{FF2B5EF4-FFF2-40B4-BE49-F238E27FC236}">
              <a16:creationId xmlns:a16="http://schemas.microsoft.com/office/drawing/2014/main" id="{542A6096-A592-4DF0-9BE5-C715309BC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6349</xdr:colOff>
      <xdr:row>57</xdr:row>
      <xdr:rowOff>8467</xdr:rowOff>
    </xdr:from>
    <xdr:ext cx="4817891" cy="3016925"/>
    <xdr:graphicFrame macro="">
      <xdr:nvGraphicFramePr>
        <xdr:cNvPr id="6" name="Chart 1" title="Football Field Chart of Hasbro Valuation">
          <a:extLst>
            <a:ext uri="{FF2B5EF4-FFF2-40B4-BE49-F238E27FC236}">
              <a16:creationId xmlns:a16="http://schemas.microsoft.com/office/drawing/2014/main" id="{913935B8-8BB2-4F5B-BBF6-893FE7778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xdr:from>
      <xdr:col>2</xdr:col>
      <xdr:colOff>515056</xdr:colOff>
      <xdr:row>63</xdr:row>
      <xdr:rowOff>21167</xdr:rowOff>
    </xdr:from>
    <xdr:to>
      <xdr:col>9</xdr:col>
      <xdr:colOff>345017</xdr:colOff>
      <xdr:row>63</xdr:row>
      <xdr:rowOff>27517</xdr:rowOff>
    </xdr:to>
    <xdr:cxnSp macro="">
      <xdr:nvCxnSpPr>
        <xdr:cNvPr id="7" name="Straight Connector 6">
          <a:extLst>
            <a:ext uri="{FF2B5EF4-FFF2-40B4-BE49-F238E27FC236}">
              <a16:creationId xmlns:a16="http://schemas.microsoft.com/office/drawing/2014/main" id="{AAB5C97C-4C4C-4D40-AECC-6F0660570DEE}"/>
            </a:ext>
          </a:extLst>
        </xdr:cNvPr>
        <xdr:cNvCxnSpPr/>
      </xdr:nvCxnSpPr>
      <xdr:spPr>
        <a:xfrm>
          <a:off x="1799167" y="12326056"/>
          <a:ext cx="5001683" cy="6350"/>
        </a:xfrm>
        <a:prstGeom prst="line">
          <a:avLst/>
        </a:prstGeom>
        <a:ln>
          <a:solidFill>
            <a:schemeClr val="accent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hyperlink" Target="https://pages.stern.nyu.edu/~adamodar/New_Home_Page/datafile/ratings.html" TargetMode="External"/><Relationship Id="rId2" Type="http://schemas.openxmlformats.org/officeDocument/2006/relationships/hyperlink" Target="https://www.kroll.com/en/insights/publications/cost-of-capital/recommended-us-equity-risk-premium-and-corresponding-risk-free-rates" TargetMode="External"/><Relationship Id="rId1" Type="http://schemas.openxmlformats.org/officeDocument/2006/relationships/hyperlink" Target="https://www.cnbc.com/bond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equidam.com/ebitda-multiples-trbc-industries/" TargetMode="External"/><Relationship Id="rId1" Type="http://schemas.openxmlformats.org/officeDocument/2006/relationships/hyperlink" Target="https://pages.stern.nyu.edu/~adamodar/New_Home_Page/datafile/vebitda.htm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7B8F-22B1-4530-A5CE-BC2B2714290F}">
  <sheetPr>
    <tabColor rgb="FF00B0F0"/>
  </sheetPr>
  <dimension ref="A1:IU98"/>
  <sheetViews>
    <sheetView workbookViewId="0">
      <selection activeCell="C51" sqref="C51"/>
    </sheetView>
  </sheetViews>
  <sheetFormatPr defaultRowHeight="15" x14ac:dyDescent="0.25"/>
  <cols>
    <col min="1" max="1" width="32.42578125" customWidth="1"/>
    <col min="2" max="2" width="10.5703125" customWidth="1"/>
    <col min="3" max="3" width="11" customWidth="1"/>
    <col min="4" max="4" width="10.7109375" customWidth="1"/>
    <col min="5" max="5" width="9.85546875" bestFit="1" customWidth="1"/>
    <col min="6" max="6" width="10" bestFit="1" customWidth="1"/>
  </cols>
  <sheetData>
    <row r="1" spans="1:255" s="359" customFormat="1" ht="11.25" x14ac:dyDescent="0.2">
      <c r="A1" s="361" t="s">
        <v>0</v>
      </c>
      <c r="B1" s="361"/>
      <c r="C1" s="361"/>
      <c r="D1" s="361"/>
      <c r="E1" s="361"/>
      <c r="F1" s="361"/>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379"/>
      <c r="BJ1" s="379"/>
      <c r="BK1" s="379"/>
      <c r="BL1" s="379"/>
      <c r="BM1" s="379"/>
      <c r="BN1" s="379"/>
      <c r="BO1" s="379"/>
      <c r="BP1" s="379"/>
      <c r="BQ1" s="379"/>
      <c r="BR1" s="379"/>
      <c r="BS1" s="379"/>
      <c r="BT1" s="379"/>
      <c r="BU1" s="379"/>
      <c r="BV1" s="379"/>
      <c r="BW1" s="379"/>
      <c r="BX1" s="379"/>
      <c r="BY1" s="379"/>
      <c r="BZ1" s="379"/>
      <c r="CA1" s="379"/>
      <c r="CB1" s="379"/>
      <c r="CC1" s="379"/>
      <c r="CD1" s="379"/>
      <c r="CE1" s="379"/>
      <c r="CF1" s="379"/>
      <c r="CG1" s="379"/>
      <c r="CH1" s="379"/>
      <c r="CI1" s="379"/>
      <c r="CJ1" s="379"/>
      <c r="CK1" s="379"/>
      <c r="CL1" s="379"/>
      <c r="CM1" s="379"/>
      <c r="CN1" s="379"/>
      <c r="CO1" s="379"/>
      <c r="CP1" s="379"/>
      <c r="CQ1" s="379"/>
      <c r="CR1" s="379"/>
      <c r="CS1" s="379"/>
      <c r="CT1" s="379"/>
      <c r="CU1" s="379"/>
      <c r="CV1" s="379"/>
      <c r="CW1" s="379"/>
      <c r="CX1" s="379"/>
      <c r="CY1" s="379"/>
      <c r="CZ1" s="379"/>
      <c r="DA1" s="379"/>
      <c r="DB1" s="379"/>
      <c r="DC1" s="379"/>
      <c r="DD1" s="379"/>
      <c r="DE1" s="379"/>
      <c r="DF1" s="379"/>
      <c r="DG1" s="379"/>
      <c r="DH1" s="379"/>
      <c r="DI1" s="379"/>
      <c r="DJ1" s="379"/>
      <c r="DK1" s="379"/>
      <c r="DL1" s="379"/>
      <c r="DM1" s="379"/>
      <c r="DN1" s="379"/>
      <c r="DO1" s="379"/>
      <c r="DP1" s="379"/>
      <c r="DQ1" s="379"/>
      <c r="DR1" s="379"/>
      <c r="DS1" s="379"/>
      <c r="DT1" s="379"/>
      <c r="DU1" s="379"/>
      <c r="DV1" s="379"/>
      <c r="DW1" s="379"/>
      <c r="DX1" s="379"/>
      <c r="DY1" s="379"/>
      <c r="DZ1" s="379"/>
      <c r="EA1" s="379"/>
      <c r="EB1" s="379"/>
      <c r="EC1" s="379"/>
      <c r="ED1" s="379"/>
      <c r="EE1" s="379"/>
      <c r="EF1" s="379"/>
      <c r="EG1" s="379"/>
      <c r="EH1" s="379"/>
      <c r="EI1" s="379"/>
      <c r="EJ1" s="379"/>
      <c r="EK1" s="379"/>
      <c r="EL1" s="379"/>
      <c r="EM1" s="379"/>
      <c r="EN1" s="379"/>
      <c r="EO1" s="379"/>
      <c r="EP1" s="379"/>
      <c r="EQ1" s="379"/>
      <c r="ER1" s="379"/>
      <c r="ES1" s="379"/>
      <c r="ET1" s="379"/>
      <c r="EU1" s="379"/>
      <c r="EV1" s="379"/>
      <c r="EW1" s="379"/>
      <c r="EX1" s="379"/>
      <c r="EY1" s="379"/>
      <c r="EZ1" s="379"/>
      <c r="FA1" s="379"/>
      <c r="FB1" s="379"/>
      <c r="FC1" s="379"/>
      <c r="FD1" s="379"/>
      <c r="FE1" s="379"/>
      <c r="FF1" s="379"/>
      <c r="FG1" s="379"/>
      <c r="FH1" s="379"/>
      <c r="FI1" s="379"/>
      <c r="FJ1" s="379"/>
      <c r="FK1" s="379"/>
      <c r="FL1" s="379"/>
      <c r="FM1" s="379"/>
      <c r="FN1" s="379"/>
      <c r="FO1" s="379"/>
      <c r="FP1" s="379"/>
      <c r="FQ1" s="379"/>
      <c r="FR1" s="379"/>
      <c r="FS1" s="379"/>
      <c r="FT1" s="379"/>
      <c r="FU1" s="379"/>
      <c r="FV1" s="379"/>
      <c r="FW1" s="379"/>
      <c r="FX1" s="379"/>
      <c r="FY1" s="379"/>
      <c r="FZ1" s="379"/>
      <c r="GA1" s="379"/>
      <c r="GB1" s="379"/>
      <c r="GC1" s="379"/>
      <c r="GD1" s="379"/>
      <c r="GE1" s="379"/>
      <c r="GF1" s="379"/>
      <c r="GG1" s="379"/>
      <c r="GH1" s="379"/>
      <c r="GI1" s="379"/>
      <c r="GJ1" s="379"/>
      <c r="GK1" s="379"/>
      <c r="GL1" s="379"/>
      <c r="GM1" s="379"/>
      <c r="GN1" s="379"/>
      <c r="GO1" s="379"/>
      <c r="GP1" s="379"/>
      <c r="GQ1" s="379"/>
      <c r="GR1" s="379"/>
      <c r="GS1" s="379"/>
      <c r="GT1" s="379"/>
      <c r="GU1" s="379"/>
      <c r="GV1" s="379"/>
      <c r="GW1" s="379"/>
      <c r="GX1" s="379"/>
      <c r="GY1" s="379"/>
      <c r="GZ1" s="379"/>
      <c r="HA1" s="379"/>
      <c r="HB1" s="379"/>
      <c r="HC1" s="379"/>
      <c r="HD1" s="379"/>
      <c r="HE1" s="379"/>
      <c r="HF1" s="379"/>
      <c r="HG1" s="379"/>
      <c r="HH1" s="379"/>
      <c r="HI1" s="379"/>
      <c r="HJ1" s="379"/>
      <c r="HK1" s="379"/>
      <c r="HL1" s="379"/>
      <c r="HM1" s="379"/>
      <c r="HN1" s="379"/>
      <c r="HO1" s="379"/>
      <c r="HP1" s="379"/>
      <c r="HQ1" s="379"/>
      <c r="HR1" s="379"/>
      <c r="HS1" s="379"/>
      <c r="HT1" s="379"/>
      <c r="HU1" s="379"/>
      <c r="HV1" s="379"/>
      <c r="HW1" s="379"/>
      <c r="HX1" s="379"/>
      <c r="HY1" s="379"/>
      <c r="HZ1" s="379"/>
      <c r="IA1" s="379"/>
      <c r="IB1" s="379"/>
      <c r="IC1" s="379"/>
      <c r="ID1" s="379"/>
      <c r="IE1" s="379"/>
      <c r="IF1" s="379"/>
      <c r="IG1" s="379"/>
      <c r="IH1" s="379"/>
      <c r="II1" s="379"/>
      <c r="IJ1" s="379"/>
      <c r="IK1" s="379"/>
      <c r="IL1" s="379"/>
      <c r="IM1" s="379"/>
      <c r="IN1" s="379"/>
      <c r="IO1" s="379"/>
      <c r="IP1" s="379"/>
      <c r="IQ1" s="379"/>
      <c r="IR1" s="379"/>
      <c r="IS1" s="379"/>
      <c r="IT1" s="379"/>
      <c r="IU1" s="379"/>
    </row>
    <row r="2" spans="1:255" s="359" customFormat="1" ht="33.75" x14ac:dyDescent="0.2">
      <c r="A2" s="380" t="s">
        <v>1</v>
      </c>
      <c r="B2" s="381" t="s">
        <v>732</v>
      </c>
      <c r="C2" s="381" t="s">
        <v>733</v>
      </c>
      <c r="D2" s="381" t="s">
        <v>734</v>
      </c>
      <c r="E2" s="381" t="s">
        <v>735</v>
      </c>
      <c r="F2" s="381" t="s">
        <v>736</v>
      </c>
    </row>
    <row r="3" spans="1:255" s="359" customFormat="1" ht="11.25" x14ac:dyDescent="0.2">
      <c r="A3" s="382" t="s">
        <v>2</v>
      </c>
      <c r="B3" s="383" t="s">
        <v>3</v>
      </c>
      <c r="C3" s="383" t="s">
        <v>3</v>
      </c>
      <c r="D3" s="383" t="s">
        <v>3</v>
      </c>
      <c r="E3" s="383" t="s">
        <v>3</v>
      </c>
      <c r="F3" s="383" t="s">
        <v>3</v>
      </c>
    </row>
    <row r="4" spans="1:255" s="359" customFormat="1" ht="11.25" x14ac:dyDescent="0.2">
      <c r="A4" s="384" t="s">
        <v>4</v>
      </c>
      <c r="B4" s="366"/>
      <c r="C4" s="366"/>
      <c r="D4" s="366"/>
      <c r="E4" s="366"/>
      <c r="F4" s="366"/>
    </row>
    <row r="5" spans="1:255" s="359" customFormat="1" ht="11.25" x14ac:dyDescent="0.2">
      <c r="A5" s="366" t="s">
        <v>5</v>
      </c>
      <c r="B5" s="385"/>
      <c r="C5" s="385"/>
      <c r="D5" s="385"/>
      <c r="E5" s="385"/>
      <c r="F5" s="385"/>
    </row>
    <row r="6" spans="1:255" s="359" customFormat="1" ht="11.25" x14ac:dyDescent="0.2">
      <c r="A6" s="366" t="s">
        <v>6</v>
      </c>
      <c r="B6" s="385"/>
      <c r="C6" s="385"/>
      <c r="D6" s="385"/>
      <c r="E6" s="385"/>
      <c r="F6" s="385"/>
    </row>
    <row r="7" spans="1:255" s="359" customFormat="1" ht="11.25" x14ac:dyDescent="0.2">
      <c r="A7" s="384" t="s">
        <v>8</v>
      </c>
      <c r="B7" s="386"/>
      <c r="C7" s="386"/>
      <c r="D7" s="386"/>
      <c r="E7" s="386"/>
      <c r="F7" s="386"/>
    </row>
    <row r="8" spans="1:255" s="359" customFormat="1" ht="11.25" x14ac:dyDescent="0.2">
      <c r="A8" s="366"/>
      <c r="B8" s="366"/>
      <c r="C8" s="366"/>
      <c r="D8" s="366"/>
      <c r="E8" s="366"/>
      <c r="F8" s="366"/>
    </row>
    <row r="9" spans="1:255" s="359" customFormat="1" ht="11.25" x14ac:dyDescent="0.2">
      <c r="A9" s="366" t="s">
        <v>9</v>
      </c>
      <c r="B9" s="385"/>
      <c r="C9" s="385"/>
      <c r="D9" s="385"/>
      <c r="E9" s="385"/>
      <c r="F9" s="385"/>
    </row>
    <row r="10" spans="1:255" s="359" customFormat="1" ht="11.25" x14ac:dyDescent="0.2">
      <c r="A10" s="384" t="s">
        <v>10</v>
      </c>
      <c r="B10" s="386"/>
      <c r="C10" s="386"/>
      <c r="D10" s="386"/>
      <c r="E10" s="386"/>
      <c r="F10" s="386"/>
    </row>
    <row r="11" spans="1:255" s="359" customFormat="1" ht="11.25" x14ac:dyDescent="0.2">
      <c r="A11" s="366"/>
      <c r="B11" s="366"/>
      <c r="C11" s="366"/>
      <c r="D11" s="366"/>
      <c r="E11" s="366"/>
      <c r="F11" s="366"/>
    </row>
    <row r="12" spans="1:255" s="359" customFormat="1" ht="11.25" x14ac:dyDescent="0.2">
      <c r="A12" s="366" t="s">
        <v>11</v>
      </c>
      <c r="B12" s="385"/>
      <c r="C12" s="385"/>
      <c r="D12" s="385"/>
      <c r="E12" s="385"/>
      <c r="F12" s="385"/>
    </row>
    <row r="13" spans="1:255" s="359" customFormat="1" ht="11.25" x14ac:dyDescent="0.2">
      <c r="A13" s="366" t="s">
        <v>12</v>
      </c>
      <c r="B13" s="385"/>
      <c r="C13" s="385"/>
      <c r="D13" s="385"/>
      <c r="E13" s="385"/>
      <c r="F13" s="385"/>
    </row>
    <row r="14" spans="1:255" s="359" customFormat="1" ht="11.25" x14ac:dyDescent="0.2">
      <c r="A14" s="366" t="s">
        <v>13</v>
      </c>
      <c r="B14" s="385"/>
      <c r="C14" s="385"/>
      <c r="D14" s="385"/>
      <c r="E14" s="385"/>
      <c r="F14" s="385"/>
    </row>
    <row r="15" spans="1:255" s="359" customFormat="1" ht="11.25" x14ac:dyDescent="0.2">
      <c r="A15" s="366" t="s">
        <v>14</v>
      </c>
      <c r="B15" s="385"/>
      <c r="C15" s="385"/>
      <c r="D15" s="385"/>
      <c r="E15" s="385"/>
      <c r="F15" s="385"/>
    </row>
    <row r="16" spans="1:255" s="359" customFormat="1" ht="11.25" x14ac:dyDescent="0.2">
      <c r="A16" s="366" t="s">
        <v>15</v>
      </c>
      <c r="B16" s="385"/>
      <c r="C16" s="385"/>
      <c r="D16" s="385"/>
      <c r="E16" s="385"/>
      <c r="F16" s="385"/>
    </row>
    <row r="17" spans="1:6" s="359" customFormat="1" ht="11.25" x14ac:dyDescent="0.2">
      <c r="A17" s="366"/>
      <c r="B17" s="366"/>
      <c r="C17" s="366"/>
      <c r="D17" s="366"/>
      <c r="E17" s="366"/>
      <c r="F17" s="366"/>
    </row>
    <row r="18" spans="1:6" s="359" customFormat="1" ht="11.25" x14ac:dyDescent="0.2">
      <c r="A18" s="384" t="s">
        <v>16</v>
      </c>
      <c r="B18" s="386"/>
      <c r="C18" s="386"/>
      <c r="D18" s="386"/>
      <c r="E18" s="386"/>
      <c r="F18" s="386"/>
    </row>
    <row r="19" spans="1:6" s="359" customFormat="1" ht="11.25" x14ac:dyDescent="0.2">
      <c r="A19" s="366"/>
      <c r="B19" s="366"/>
      <c r="C19" s="366"/>
      <c r="D19" s="366"/>
      <c r="E19" s="366"/>
      <c r="F19" s="366"/>
    </row>
    <row r="20" spans="1:6" s="359" customFormat="1" ht="11.25" x14ac:dyDescent="0.2">
      <c r="A20" s="384" t="s">
        <v>17</v>
      </c>
      <c r="B20" s="387"/>
      <c r="C20" s="387"/>
      <c r="D20" s="387"/>
      <c r="E20" s="387"/>
      <c r="F20" s="387"/>
    </row>
    <row r="21" spans="1:6" s="359" customFormat="1" ht="11.25" x14ac:dyDescent="0.2">
      <c r="A21" s="366"/>
      <c r="B21" s="366"/>
      <c r="C21" s="366"/>
      <c r="D21" s="366"/>
      <c r="E21" s="366"/>
      <c r="F21" s="366"/>
    </row>
    <row r="22" spans="1:6" s="359" customFormat="1" ht="11.25" x14ac:dyDescent="0.2">
      <c r="A22" s="366" t="s">
        <v>18</v>
      </c>
      <c r="B22" s="385"/>
      <c r="C22" s="385"/>
      <c r="D22" s="385"/>
      <c r="E22" s="385"/>
      <c r="F22" s="385"/>
    </row>
    <row r="23" spans="1:6" s="359" customFormat="1" ht="11.25" x14ac:dyDescent="0.2">
      <c r="A23" s="366" t="s">
        <v>19</v>
      </c>
      <c r="B23" s="385"/>
      <c r="C23" s="385"/>
      <c r="D23" s="385"/>
      <c r="E23" s="385"/>
      <c r="F23" s="385"/>
    </row>
    <row r="24" spans="1:6" s="359" customFormat="1" ht="11.25" x14ac:dyDescent="0.2">
      <c r="A24" s="384" t="s">
        <v>20</v>
      </c>
      <c r="B24" s="386"/>
      <c r="C24" s="386"/>
      <c r="D24" s="386"/>
      <c r="E24" s="386"/>
      <c r="F24" s="386"/>
    </row>
    <row r="25" spans="1:6" s="359" customFormat="1" ht="11.25" x14ac:dyDescent="0.2">
      <c r="A25" s="366"/>
      <c r="B25" s="366"/>
      <c r="C25" s="366"/>
      <c r="D25" s="366"/>
      <c r="E25" s="366"/>
      <c r="F25" s="366"/>
    </row>
    <row r="26" spans="1:6" s="359" customFormat="1" ht="11.25" x14ac:dyDescent="0.2">
      <c r="A26" s="366" t="s">
        <v>21</v>
      </c>
      <c r="B26" s="385"/>
      <c r="C26" s="385"/>
      <c r="D26" s="385"/>
      <c r="E26" s="385"/>
      <c r="F26" s="385"/>
    </row>
    <row r="27" spans="1:6" s="359" customFormat="1" ht="11.25" x14ac:dyDescent="0.2">
      <c r="A27" s="366" t="s">
        <v>22</v>
      </c>
      <c r="B27" s="385"/>
      <c r="C27" s="385"/>
      <c r="D27" s="385"/>
      <c r="E27" s="385"/>
      <c r="F27" s="385"/>
    </row>
    <row r="28" spans="1:6" s="359" customFormat="1" ht="11.25" x14ac:dyDescent="0.2">
      <c r="A28" s="366" t="s">
        <v>23</v>
      </c>
      <c r="B28" s="385"/>
      <c r="C28" s="385"/>
      <c r="D28" s="385"/>
      <c r="E28" s="385"/>
      <c r="F28" s="385"/>
    </row>
    <row r="29" spans="1:6" s="359" customFormat="1" ht="11.25" x14ac:dyDescent="0.2">
      <c r="A29" s="384" t="s">
        <v>24</v>
      </c>
      <c r="B29" s="386"/>
      <c r="C29" s="386"/>
      <c r="D29" s="386"/>
      <c r="E29" s="386"/>
      <c r="F29" s="386"/>
    </row>
    <row r="30" spans="1:6" s="359" customFormat="1" ht="11.25" x14ac:dyDescent="0.2">
      <c r="A30" s="366"/>
      <c r="B30" s="366"/>
      <c r="C30" s="366"/>
      <c r="D30" s="366"/>
      <c r="E30" s="366"/>
      <c r="F30" s="366"/>
    </row>
    <row r="31" spans="1:6" s="359" customFormat="1" ht="11.25" x14ac:dyDescent="0.2">
      <c r="A31" s="366" t="s">
        <v>25</v>
      </c>
      <c r="B31" s="385"/>
      <c r="C31" s="385"/>
      <c r="D31" s="385"/>
      <c r="E31" s="385"/>
      <c r="F31" s="385"/>
    </row>
    <row r="32" spans="1:6" s="359" customFormat="1" ht="11.25" x14ac:dyDescent="0.2">
      <c r="A32" s="366" t="s">
        <v>26</v>
      </c>
      <c r="B32" s="385"/>
      <c r="C32" s="385"/>
      <c r="D32" s="385"/>
      <c r="E32" s="385"/>
      <c r="F32" s="385"/>
    </row>
    <row r="33" spans="1:6" s="359" customFormat="1" ht="11.25" x14ac:dyDescent="0.2">
      <c r="A33" s="366" t="s">
        <v>27</v>
      </c>
      <c r="B33" s="385"/>
      <c r="C33" s="385"/>
      <c r="D33" s="385"/>
      <c r="E33" s="385"/>
      <c r="F33" s="385"/>
    </row>
    <row r="34" spans="1:6" s="359" customFormat="1" ht="11.25" x14ac:dyDescent="0.2">
      <c r="A34" s="366" t="s">
        <v>28</v>
      </c>
      <c r="B34" s="385"/>
      <c r="C34" s="385"/>
      <c r="D34" s="385"/>
      <c r="E34" s="385"/>
      <c r="F34" s="385"/>
    </row>
    <row r="35" spans="1:6" s="359" customFormat="1" ht="11.25" x14ac:dyDescent="0.2">
      <c r="A35" s="366" t="s">
        <v>29</v>
      </c>
      <c r="B35" s="385"/>
      <c r="C35" s="385"/>
      <c r="D35" s="385"/>
      <c r="E35" s="385"/>
      <c r="F35" s="385"/>
    </row>
    <row r="36" spans="1:6" s="359" customFormat="1" ht="11.25" x14ac:dyDescent="0.2">
      <c r="A36" s="384" t="s">
        <v>30</v>
      </c>
      <c r="B36" s="386"/>
      <c r="C36" s="386"/>
      <c r="D36" s="386"/>
      <c r="E36" s="386"/>
      <c r="F36" s="386"/>
    </row>
    <row r="37" spans="1:6" s="359" customFormat="1" ht="11.25" x14ac:dyDescent="0.2">
      <c r="A37" s="366"/>
      <c r="B37" s="366"/>
      <c r="C37" s="366"/>
      <c r="D37" s="366"/>
      <c r="E37" s="366"/>
      <c r="F37" s="366"/>
    </row>
    <row r="38" spans="1:6" s="359" customFormat="1" ht="11.25" x14ac:dyDescent="0.2">
      <c r="A38" s="366" t="s">
        <v>31</v>
      </c>
      <c r="B38" s="385"/>
      <c r="C38" s="385"/>
      <c r="D38" s="385"/>
      <c r="E38" s="385"/>
      <c r="F38" s="385"/>
    </row>
    <row r="39" spans="1:6" s="359" customFormat="1" ht="11.25" x14ac:dyDescent="0.2">
      <c r="A39" s="384" t="s">
        <v>32</v>
      </c>
      <c r="B39" s="386"/>
      <c r="C39" s="386"/>
      <c r="D39" s="386"/>
      <c r="E39" s="386"/>
      <c r="F39" s="386"/>
    </row>
    <row r="40" spans="1:6" s="359" customFormat="1" ht="11.25" x14ac:dyDescent="0.2">
      <c r="A40" s="366"/>
      <c r="B40" s="366"/>
      <c r="C40" s="366"/>
      <c r="D40" s="366"/>
      <c r="E40" s="366"/>
      <c r="F40" s="366"/>
    </row>
    <row r="41" spans="1:6" s="359" customFormat="1" ht="11.25" x14ac:dyDescent="0.2">
      <c r="A41" s="366" t="s">
        <v>33</v>
      </c>
      <c r="B41" s="385"/>
      <c r="C41" s="385"/>
      <c r="D41" s="385"/>
      <c r="E41" s="385"/>
      <c r="F41" s="385"/>
    </row>
    <row r="42" spans="1:6" s="359" customFormat="1" ht="11.25" x14ac:dyDescent="0.2">
      <c r="A42" s="366" t="s">
        <v>34</v>
      </c>
      <c r="B42" s="385"/>
      <c r="C42" s="385"/>
      <c r="D42" s="385"/>
      <c r="E42" s="385"/>
      <c r="F42" s="385"/>
    </row>
    <row r="43" spans="1:6" s="359" customFormat="1" ht="11.25" x14ac:dyDescent="0.2">
      <c r="A43" s="384" t="s">
        <v>35</v>
      </c>
      <c r="B43" s="386"/>
      <c r="C43" s="386"/>
      <c r="D43" s="386"/>
      <c r="E43" s="386"/>
      <c r="F43" s="386"/>
    </row>
    <row r="44" spans="1:6" s="359" customFormat="1" ht="11.25" x14ac:dyDescent="0.2">
      <c r="A44" s="366"/>
      <c r="B44" s="366"/>
      <c r="C44" s="366"/>
      <c r="D44" s="366"/>
      <c r="E44" s="366"/>
      <c r="F44" s="366"/>
    </row>
    <row r="45" spans="1:6" s="359" customFormat="1" ht="11.25" x14ac:dyDescent="0.2">
      <c r="A45" s="366" t="s">
        <v>36</v>
      </c>
      <c r="B45" s="385"/>
      <c r="C45" s="385"/>
      <c r="D45" s="385"/>
      <c r="E45" s="385"/>
      <c r="F45" s="385"/>
    </row>
    <row r="46" spans="1:6" s="359" customFormat="1" ht="11.25" x14ac:dyDescent="0.2">
      <c r="A46" s="384" t="s">
        <v>37</v>
      </c>
      <c r="B46" s="388"/>
      <c r="C46" s="388"/>
      <c r="D46" s="388"/>
      <c r="E46" s="388"/>
      <c r="F46" s="388"/>
    </row>
    <row r="47" spans="1:6" s="359" customFormat="1" ht="11.25" x14ac:dyDescent="0.2">
      <c r="A47" s="366"/>
      <c r="B47" s="366"/>
      <c r="C47" s="366"/>
      <c r="D47" s="366"/>
      <c r="E47" s="366"/>
      <c r="F47" s="366"/>
    </row>
    <row r="48" spans="1:6" s="359" customFormat="1" ht="11.25" x14ac:dyDescent="0.2">
      <c r="A48" s="366" t="s">
        <v>38</v>
      </c>
      <c r="B48" s="385"/>
      <c r="C48" s="385"/>
      <c r="D48" s="385"/>
      <c r="E48" s="385"/>
      <c r="F48" s="385"/>
    </row>
    <row r="49" spans="1:6" s="359" customFormat="1" ht="11.25" x14ac:dyDescent="0.2">
      <c r="A49" s="366"/>
      <c r="B49" s="366"/>
      <c r="C49" s="366"/>
      <c r="D49" s="366"/>
      <c r="E49" s="366"/>
      <c r="F49" s="366"/>
    </row>
    <row r="50" spans="1:6" s="359" customFormat="1" ht="11.25" x14ac:dyDescent="0.2">
      <c r="A50" s="384" t="s">
        <v>39</v>
      </c>
      <c r="B50" s="387"/>
      <c r="C50" s="387"/>
      <c r="D50" s="387"/>
      <c r="E50" s="387"/>
      <c r="F50" s="387"/>
    </row>
    <row r="51" spans="1:6" s="359" customFormat="1" ht="11.25" x14ac:dyDescent="0.2">
      <c r="A51" s="384" t="s">
        <v>40</v>
      </c>
      <c r="B51" s="387"/>
      <c r="C51" s="387"/>
      <c r="D51" s="387"/>
      <c r="E51" s="387"/>
      <c r="F51" s="387"/>
    </row>
    <row r="52" spans="1:6" s="359" customFormat="1" ht="11.25" x14ac:dyDescent="0.2">
      <c r="A52" s="366"/>
      <c r="B52" s="366"/>
      <c r="C52" s="366"/>
      <c r="D52" s="366"/>
      <c r="E52" s="366"/>
      <c r="F52" s="366"/>
    </row>
    <row r="53" spans="1:6" s="359" customFormat="1" ht="11.25" x14ac:dyDescent="0.2">
      <c r="A53" s="384" t="s">
        <v>41</v>
      </c>
      <c r="B53" s="366"/>
      <c r="C53" s="366"/>
      <c r="D53" s="366"/>
      <c r="E53" s="366"/>
      <c r="F53" s="366"/>
    </row>
    <row r="54" spans="1:6" s="359" customFormat="1" ht="11.25" x14ac:dyDescent="0.2">
      <c r="A54" s="366" t="s">
        <v>42</v>
      </c>
      <c r="B54" s="389"/>
      <c r="C54" s="389"/>
      <c r="D54" s="389"/>
      <c r="E54" s="389"/>
      <c r="F54" s="389"/>
    </row>
    <row r="55" spans="1:6" s="359" customFormat="1" ht="11.25" x14ac:dyDescent="0.2">
      <c r="A55" s="366" t="s">
        <v>43</v>
      </c>
      <c r="B55" s="390"/>
      <c r="C55" s="390"/>
      <c r="D55" s="390"/>
      <c r="E55" s="390"/>
      <c r="F55" s="390"/>
    </row>
    <row r="56" spans="1:6" s="359" customFormat="1" ht="11.25" x14ac:dyDescent="0.2">
      <c r="A56" s="366" t="s">
        <v>44</v>
      </c>
      <c r="B56" s="385"/>
      <c r="C56" s="385"/>
      <c r="D56" s="385"/>
      <c r="E56" s="385"/>
      <c r="F56" s="385"/>
    </row>
    <row r="57" spans="1:6" s="359" customFormat="1" ht="11.25" x14ac:dyDescent="0.2">
      <c r="A57" s="366"/>
      <c r="B57" s="366"/>
      <c r="C57" s="366"/>
      <c r="D57" s="366"/>
      <c r="E57" s="366"/>
      <c r="F57" s="366"/>
    </row>
    <row r="58" spans="1:6" s="359" customFormat="1" ht="11.25" x14ac:dyDescent="0.2">
      <c r="A58" s="366" t="s">
        <v>45</v>
      </c>
      <c r="B58" s="389"/>
      <c r="C58" s="389"/>
      <c r="D58" s="389"/>
      <c r="E58" s="389"/>
      <c r="F58" s="389"/>
    </row>
    <row r="59" spans="1:6" s="359" customFormat="1" ht="11.25" x14ac:dyDescent="0.2">
      <c r="A59" s="366" t="s">
        <v>46</v>
      </c>
      <c r="B59" s="390"/>
      <c r="C59" s="390"/>
      <c r="D59" s="390"/>
      <c r="E59" s="390"/>
      <c r="F59" s="390"/>
    </row>
    <row r="60" spans="1:6" s="359" customFormat="1" ht="11.25" x14ac:dyDescent="0.2">
      <c r="A60" s="366" t="s">
        <v>47</v>
      </c>
      <c r="B60" s="385"/>
      <c r="C60" s="385"/>
      <c r="D60" s="385"/>
      <c r="E60" s="385"/>
      <c r="F60" s="385"/>
    </row>
    <row r="61" spans="1:6" s="359" customFormat="1" ht="11.25" x14ac:dyDescent="0.2">
      <c r="A61" s="366"/>
      <c r="B61" s="366"/>
      <c r="C61" s="366"/>
      <c r="D61" s="366"/>
      <c r="E61" s="366"/>
      <c r="F61" s="366"/>
    </row>
    <row r="62" spans="1:6" s="359" customFormat="1" ht="11.25" x14ac:dyDescent="0.2">
      <c r="A62" s="366" t="s">
        <v>48</v>
      </c>
      <c r="B62" s="389"/>
      <c r="C62" s="389"/>
      <c r="D62" s="389"/>
      <c r="E62" s="389"/>
      <c r="F62" s="389"/>
    </row>
    <row r="63" spans="1:6" s="359" customFormat="1" ht="11.25" x14ac:dyDescent="0.2">
      <c r="A63" s="366" t="s">
        <v>49</v>
      </c>
      <c r="B63" s="390"/>
      <c r="C63" s="390"/>
      <c r="D63" s="390"/>
      <c r="E63" s="390"/>
      <c r="F63" s="390"/>
    </row>
    <row r="64" spans="1:6" s="359" customFormat="1" ht="11.25" x14ac:dyDescent="0.2">
      <c r="A64" s="366"/>
      <c r="B64" s="366"/>
      <c r="C64" s="366"/>
      <c r="D64" s="366"/>
      <c r="E64" s="366"/>
      <c r="F64" s="366"/>
    </row>
    <row r="65" spans="1:6" s="359" customFormat="1" ht="11.25" x14ac:dyDescent="0.2">
      <c r="A65" s="366" t="s">
        <v>50</v>
      </c>
      <c r="B65" s="389"/>
      <c r="C65" s="389"/>
      <c r="D65" s="389"/>
      <c r="E65" s="389"/>
      <c r="F65" s="389"/>
    </row>
    <row r="66" spans="1:6" s="359" customFormat="1" ht="11.25" x14ac:dyDescent="0.2">
      <c r="A66" s="366" t="s">
        <v>51</v>
      </c>
      <c r="B66" s="391"/>
      <c r="C66" s="391"/>
      <c r="D66" s="391"/>
      <c r="E66" s="391"/>
      <c r="F66" s="391"/>
    </row>
    <row r="67" spans="1:6" s="359" customFormat="1" ht="11.25" x14ac:dyDescent="0.2">
      <c r="A67" s="366"/>
      <c r="B67" s="366"/>
      <c r="C67" s="366"/>
      <c r="D67" s="366"/>
      <c r="E67" s="366"/>
      <c r="F67" s="366"/>
    </row>
    <row r="68" spans="1:6" s="359" customFormat="1" ht="11.25" x14ac:dyDescent="0.2">
      <c r="A68" s="366" t="s">
        <v>52</v>
      </c>
      <c r="B68" s="392"/>
      <c r="C68" s="392"/>
      <c r="D68" s="392"/>
      <c r="E68" s="392"/>
      <c r="F68" s="392"/>
    </row>
    <row r="69" spans="1:6" s="359" customFormat="1" ht="11.25" x14ac:dyDescent="0.2">
      <c r="A69" s="366"/>
      <c r="B69" s="366"/>
      <c r="C69" s="366"/>
      <c r="D69" s="366"/>
      <c r="E69" s="366"/>
      <c r="F69" s="366"/>
    </row>
    <row r="70" spans="1:6" s="359" customFormat="1" ht="11.25" x14ac:dyDescent="0.2">
      <c r="A70" s="384" t="s">
        <v>53</v>
      </c>
      <c r="B70" s="366"/>
      <c r="C70" s="366"/>
      <c r="D70" s="366"/>
      <c r="E70" s="366"/>
      <c r="F70" s="366"/>
    </row>
    <row r="71" spans="1:6" s="359" customFormat="1" ht="11.25" x14ac:dyDescent="0.2">
      <c r="A71" s="366" t="s">
        <v>54</v>
      </c>
      <c r="B71" s="385"/>
      <c r="C71" s="385"/>
      <c r="D71" s="385"/>
      <c r="E71" s="385"/>
      <c r="F71" s="385"/>
    </row>
    <row r="72" spans="1:6" s="359" customFormat="1" ht="11.25" x14ac:dyDescent="0.2">
      <c r="A72" s="366" t="s">
        <v>55</v>
      </c>
      <c r="B72" s="385"/>
      <c r="C72" s="385"/>
      <c r="D72" s="385"/>
      <c r="E72" s="385"/>
      <c r="F72" s="385"/>
    </row>
    <row r="73" spans="1:6" s="359" customFormat="1" ht="11.25" x14ac:dyDescent="0.2">
      <c r="A73" s="366" t="s">
        <v>56</v>
      </c>
      <c r="B73" s="385"/>
      <c r="C73" s="385"/>
      <c r="D73" s="385"/>
      <c r="E73" s="385"/>
      <c r="F73" s="385"/>
    </row>
    <row r="74" spans="1:6" s="359" customFormat="1" ht="11.25" x14ac:dyDescent="0.2">
      <c r="A74" s="366" t="s">
        <v>57</v>
      </c>
      <c r="B74" s="385"/>
      <c r="C74" s="385"/>
      <c r="D74" s="385"/>
      <c r="E74" s="385"/>
      <c r="F74" s="385"/>
    </row>
    <row r="75" spans="1:6" s="359" customFormat="1" ht="11.25" x14ac:dyDescent="0.2">
      <c r="A75" s="366" t="s">
        <v>737</v>
      </c>
      <c r="B75" s="385"/>
      <c r="C75" s="385"/>
      <c r="D75" s="385"/>
      <c r="E75" s="385"/>
      <c r="F75" s="385"/>
    </row>
    <row r="76" spans="1:6" s="359" customFormat="1" ht="11.25" x14ac:dyDescent="0.2">
      <c r="A76" s="366" t="s">
        <v>58</v>
      </c>
      <c r="B76" s="391"/>
      <c r="C76" s="391"/>
      <c r="D76" s="391"/>
      <c r="E76" s="391"/>
      <c r="F76" s="391"/>
    </row>
    <row r="77" spans="1:6" s="359" customFormat="1" ht="11.25" x14ac:dyDescent="0.2">
      <c r="A77" s="366" t="s">
        <v>59</v>
      </c>
      <c r="B77" s="385"/>
      <c r="C77" s="385"/>
      <c r="D77" s="385"/>
      <c r="E77" s="385"/>
      <c r="F77" s="385"/>
    </row>
    <row r="78" spans="1:6" s="359" customFormat="1" ht="11.25" x14ac:dyDescent="0.2">
      <c r="A78" s="366" t="s">
        <v>60</v>
      </c>
      <c r="B78" s="385"/>
      <c r="C78" s="385"/>
      <c r="D78" s="385"/>
      <c r="E78" s="385"/>
      <c r="F78" s="385"/>
    </row>
    <row r="79" spans="1:6" s="359" customFormat="1" ht="11.25" x14ac:dyDescent="0.2">
      <c r="A79" s="366" t="s">
        <v>61</v>
      </c>
      <c r="B79" s="385"/>
      <c r="C79" s="385"/>
      <c r="D79" s="385"/>
      <c r="E79" s="385"/>
      <c r="F79" s="385"/>
    </row>
    <row r="80" spans="1:6" s="359" customFormat="1" ht="11.25" x14ac:dyDescent="0.2">
      <c r="A80" s="366" t="s">
        <v>62</v>
      </c>
      <c r="B80" s="385"/>
      <c r="C80" s="385"/>
      <c r="D80" s="385"/>
      <c r="E80" s="385"/>
      <c r="F80" s="385"/>
    </row>
    <row r="81" spans="1:6" s="359" customFormat="1" ht="11.25" x14ac:dyDescent="0.2">
      <c r="A81" s="366"/>
      <c r="B81" s="366"/>
      <c r="C81" s="366"/>
      <c r="D81" s="366"/>
      <c r="E81" s="366"/>
      <c r="F81" s="366"/>
    </row>
    <row r="82" spans="1:6" s="359" customFormat="1" ht="11.25" x14ac:dyDescent="0.2">
      <c r="A82" s="366" t="s">
        <v>63</v>
      </c>
      <c r="B82" s="385"/>
      <c r="C82" s="385"/>
      <c r="D82" s="385"/>
      <c r="E82" s="385"/>
      <c r="F82" s="385"/>
    </row>
    <row r="83" spans="1:6" s="359" customFormat="1" ht="11.25" x14ac:dyDescent="0.2">
      <c r="A83" s="366" t="s">
        <v>64</v>
      </c>
      <c r="B83" s="393"/>
      <c r="C83" s="393"/>
      <c r="D83" s="393"/>
      <c r="E83" s="393"/>
      <c r="F83" s="393"/>
    </row>
    <row r="84" spans="1:6" s="359" customFormat="1" ht="11.25" x14ac:dyDescent="0.2">
      <c r="A84" s="366" t="s">
        <v>65</v>
      </c>
      <c r="B84" s="394"/>
      <c r="C84" s="394"/>
      <c r="D84" s="394"/>
      <c r="E84" s="394"/>
      <c r="F84" s="394"/>
    </row>
    <row r="85" spans="1:6" s="359" customFormat="1" ht="11.25" x14ac:dyDescent="0.2">
      <c r="A85" s="366" t="s">
        <v>66</v>
      </c>
      <c r="B85" s="394"/>
      <c r="C85" s="394"/>
      <c r="D85" s="394"/>
      <c r="E85" s="394"/>
      <c r="F85" s="394"/>
    </row>
    <row r="86" spans="1:6" s="359" customFormat="1" ht="11.25" x14ac:dyDescent="0.2">
      <c r="A86" s="366"/>
      <c r="B86" s="366"/>
      <c r="C86" s="366"/>
      <c r="D86" s="366"/>
      <c r="E86" s="366"/>
      <c r="F86" s="366"/>
    </row>
    <row r="87" spans="1:6" s="359" customFormat="1" ht="11.25" x14ac:dyDescent="0.2">
      <c r="A87" s="384" t="s">
        <v>67</v>
      </c>
      <c r="B87" s="366"/>
      <c r="C87" s="366"/>
      <c r="D87" s="366"/>
      <c r="E87" s="366"/>
      <c r="F87" s="366"/>
    </row>
    <row r="88" spans="1:6" s="359" customFormat="1" ht="11.25" x14ac:dyDescent="0.2">
      <c r="A88" s="366" t="s">
        <v>738</v>
      </c>
      <c r="B88" s="385"/>
      <c r="C88" s="385"/>
      <c r="D88" s="385"/>
      <c r="E88" s="385"/>
      <c r="F88" s="385"/>
    </row>
    <row r="89" spans="1:6" s="359" customFormat="1" ht="11.25" x14ac:dyDescent="0.2">
      <c r="A89" s="366" t="s">
        <v>68</v>
      </c>
      <c r="B89" s="385"/>
      <c r="C89" s="385"/>
      <c r="D89" s="385"/>
      <c r="E89" s="385"/>
      <c r="F89" s="385"/>
    </row>
    <row r="90" spans="1:6" s="359" customFormat="1" ht="11.25" x14ac:dyDescent="0.2">
      <c r="A90" s="366" t="s">
        <v>69</v>
      </c>
      <c r="B90" s="385"/>
      <c r="C90" s="385"/>
      <c r="D90" s="385"/>
      <c r="E90" s="385"/>
      <c r="F90" s="385"/>
    </row>
    <row r="91" spans="1:6" s="359" customFormat="1" ht="11.25" x14ac:dyDescent="0.2">
      <c r="A91" s="366" t="s">
        <v>70</v>
      </c>
      <c r="B91" s="385"/>
      <c r="C91" s="385"/>
      <c r="D91" s="385"/>
      <c r="E91" s="385"/>
      <c r="F91" s="385"/>
    </row>
    <row r="92" spans="1:6" s="359" customFormat="1" ht="11.25" x14ac:dyDescent="0.2">
      <c r="A92" s="366"/>
      <c r="B92" s="366"/>
      <c r="C92" s="366"/>
      <c r="D92" s="366"/>
      <c r="E92" s="366"/>
      <c r="F92" s="366"/>
    </row>
    <row r="93" spans="1:6" s="359" customFormat="1" ht="11.25" x14ac:dyDescent="0.2">
      <c r="A93" s="366" t="s">
        <v>71</v>
      </c>
      <c r="B93" s="385"/>
      <c r="C93" s="385"/>
      <c r="D93" s="385"/>
      <c r="E93" s="385"/>
      <c r="F93" s="385"/>
    </row>
    <row r="94" spans="1:6" s="359" customFormat="1" ht="11.25" x14ac:dyDescent="0.2">
      <c r="A94" s="384" t="s">
        <v>72</v>
      </c>
      <c r="B94" s="387"/>
      <c r="C94" s="387"/>
      <c r="D94" s="387"/>
      <c r="E94" s="387"/>
      <c r="F94" s="387"/>
    </row>
    <row r="95" spans="1:6" s="359" customFormat="1" ht="11.25" x14ac:dyDescent="0.2">
      <c r="A95" s="366"/>
      <c r="B95" s="366"/>
      <c r="C95" s="366"/>
      <c r="D95" s="366"/>
      <c r="E95" s="366"/>
      <c r="F95" s="366"/>
    </row>
    <row r="96" spans="1:6" s="359" customFormat="1" ht="11.25" x14ac:dyDescent="0.2">
      <c r="A96" s="395" t="s">
        <v>739</v>
      </c>
      <c r="B96" s="377"/>
      <c r="C96" s="377"/>
      <c r="D96" s="377"/>
      <c r="E96" s="377"/>
      <c r="F96" s="377"/>
    </row>
    <row r="97" spans="1:1" s="359" customFormat="1" ht="11.25" x14ac:dyDescent="0.2">
      <c r="A97" s="359" t="s">
        <v>73</v>
      </c>
    </row>
    <row r="98" spans="1:1" s="359" customFormat="1" ht="11.25" x14ac:dyDescent="0.2">
      <c r="A98" s="396" t="s">
        <v>74</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11E6-17AF-4871-849E-B66543AF056F}">
  <sheetPr>
    <tabColor rgb="FF00B0F0"/>
  </sheetPr>
  <dimension ref="A1:F74"/>
  <sheetViews>
    <sheetView workbookViewId="0">
      <selection activeCell="B5" sqref="B5:F71"/>
    </sheetView>
  </sheetViews>
  <sheetFormatPr defaultColWidth="9.140625" defaultRowHeight="15" x14ac:dyDescent="0.25"/>
  <cols>
    <col min="1" max="1" width="29.85546875" style="397" bestFit="1" customWidth="1"/>
    <col min="2" max="2" width="10.140625" style="397" bestFit="1" customWidth="1"/>
    <col min="3" max="5" width="10" style="397" bestFit="1" customWidth="1"/>
    <col min="6" max="16384" width="9.140625" style="397"/>
  </cols>
  <sheetData>
    <row r="1" spans="1:6" ht="24.75" customHeight="1" x14ac:dyDescent="0.25">
      <c r="A1" s="361" t="s">
        <v>75</v>
      </c>
      <c r="B1" s="361"/>
      <c r="C1" s="361"/>
      <c r="D1" s="361"/>
      <c r="E1" s="361"/>
      <c r="F1" s="361"/>
    </row>
    <row r="2" spans="1:6" ht="45.75" x14ac:dyDescent="0.25">
      <c r="A2" s="380" t="s">
        <v>76</v>
      </c>
      <c r="B2" s="381" t="s">
        <v>740</v>
      </c>
      <c r="C2" s="381" t="s">
        <v>741</v>
      </c>
      <c r="D2" s="381" t="s">
        <v>742</v>
      </c>
      <c r="E2" s="381" t="s">
        <v>743</v>
      </c>
      <c r="F2" s="398">
        <v>45565</v>
      </c>
    </row>
    <row r="3" spans="1:6" x14ac:dyDescent="0.25">
      <c r="A3" s="382" t="s">
        <v>2</v>
      </c>
      <c r="B3" s="383" t="s">
        <v>3</v>
      </c>
      <c r="C3" s="383" t="s">
        <v>3</v>
      </c>
      <c r="D3" s="383" t="s">
        <v>3</v>
      </c>
      <c r="E3" s="383" t="s">
        <v>3</v>
      </c>
      <c r="F3" s="383" t="s">
        <v>3</v>
      </c>
    </row>
    <row r="4" spans="1:6" x14ac:dyDescent="0.25">
      <c r="A4" s="384" t="s">
        <v>77</v>
      </c>
      <c r="B4" s="366"/>
      <c r="C4" s="366"/>
      <c r="D4" s="366"/>
      <c r="E4" s="366"/>
      <c r="F4" s="366"/>
    </row>
    <row r="5" spans="1:6" x14ac:dyDescent="0.25">
      <c r="A5" s="366" t="s">
        <v>78</v>
      </c>
      <c r="B5" s="385"/>
      <c r="C5" s="385"/>
      <c r="D5" s="385"/>
      <c r="E5" s="385"/>
      <c r="F5" s="385"/>
    </row>
    <row r="6" spans="1:6" x14ac:dyDescent="0.25">
      <c r="A6" s="384" t="s">
        <v>79</v>
      </c>
      <c r="B6" s="386"/>
      <c r="C6" s="386"/>
      <c r="D6" s="386"/>
      <c r="E6" s="386"/>
      <c r="F6" s="386"/>
    </row>
    <row r="7" spans="1:6" x14ac:dyDescent="0.25">
      <c r="A7" s="366"/>
      <c r="B7" s="366"/>
      <c r="C7" s="366"/>
      <c r="D7" s="366"/>
      <c r="E7" s="366"/>
      <c r="F7" s="366"/>
    </row>
    <row r="8" spans="1:6" x14ac:dyDescent="0.25">
      <c r="A8" s="366" t="s">
        <v>80</v>
      </c>
      <c r="B8" s="385"/>
      <c r="C8" s="385"/>
      <c r="D8" s="385"/>
      <c r="E8" s="385"/>
      <c r="F8" s="385"/>
    </row>
    <row r="9" spans="1:6" x14ac:dyDescent="0.25">
      <c r="A9" s="384" t="s">
        <v>81</v>
      </c>
      <c r="B9" s="386"/>
      <c r="C9" s="386"/>
      <c r="D9" s="386"/>
      <c r="E9" s="386"/>
      <c r="F9" s="386"/>
    </row>
    <row r="10" spans="1:6" x14ac:dyDescent="0.25">
      <c r="A10" s="366"/>
      <c r="B10" s="366"/>
      <c r="C10" s="366"/>
      <c r="D10" s="366"/>
      <c r="E10" s="366"/>
      <c r="F10" s="366"/>
    </row>
    <row r="11" spans="1:6" x14ac:dyDescent="0.25">
      <c r="A11" s="366" t="s">
        <v>83</v>
      </c>
      <c r="B11" s="385"/>
      <c r="C11" s="385"/>
      <c r="D11" s="385"/>
      <c r="E11" s="385"/>
      <c r="F11" s="385"/>
    </row>
    <row r="12" spans="1:6" x14ac:dyDescent="0.25">
      <c r="A12" s="384" t="s">
        <v>84</v>
      </c>
      <c r="B12" s="386"/>
      <c r="C12" s="386"/>
      <c r="D12" s="386"/>
      <c r="E12" s="386"/>
      <c r="F12" s="386"/>
    </row>
    <row r="13" spans="1:6" x14ac:dyDescent="0.25">
      <c r="A13" s="366"/>
      <c r="B13" s="366"/>
      <c r="C13" s="366"/>
      <c r="D13" s="366"/>
      <c r="E13" s="366"/>
      <c r="F13" s="366"/>
    </row>
    <row r="14" spans="1:6" x14ac:dyDescent="0.25">
      <c r="A14" s="366" t="s">
        <v>85</v>
      </c>
      <c r="B14" s="385"/>
      <c r="C14" s="385"/>
      <c r="D14" s="385"/>
      <c r="E14" s="385"/>
      <c r="F14" s="385"/>
    </row>
    <row r="15" spans="1:6" x14ac:dyDescent="0.25">
      <c r="A15" s="366" t="s">
        <v>86</v>
      </c>
      <c r="B15" s="385"/>
      <c r="C15" s="385"/>
      <c r="D15" s="385"/>
      <c r="E15" s="385"/>
      <c r="F15" s="385"/>
    </row>
    <row r="16" spans="1:6" x14ac:dyDescent="0.25">
      <c r="A16" s="384" t="s">
        <v>87</v>
      </c>
      <c r="B16" s="386"/>
      <c r="C16" s="386"/>
      <c r="D16" s="386"/>
      <c r="E16" s="386"/>
      <c r="F16" s="386"/>
    </row>
    <row r="17" spans="1:6" x14ac:dyDescent="0.25">
      <c r="A17" s="366"/>
      <c r="B17" s="366"/>
      <c r="C17" s="366"/>
      <c r="D17" s="366"/>
      <c r="E17" s="366"/>
      <c r="F17" s="366"/>
    </row>
    <row r="18" spans="1:6" x14ac:dyDescent="0.25">
      <c r="A18" s="366" t="s">
        <v>744</v>
      </c>
      <c r="B18" s="385"/>
      <c r="C18" s="385"/>
      <c r="D18" s="385"/>
      <c r="E18" s="385"/>
      <c r="F18" s="385"/>
    </row>
    <row r="19" spans="1:6" x14ac:dyDescent="0.25">
      <c r="A19" s="366" t="s">
        <v>88</v>
      </c>
      <c r="B19" s="385"/>
      <c r="C19" s="385"/>
      <c r="D19" s="385"/>
      <c r="E19" s="385"/>
      <c r="F19" s="385"/>
    </row>
    <row r="20" spans="1:6" x14ac:dyDescent="0.25">
      <c r="A20" s="366" t="s">
        <v>89</v>
      </c>
      <c r="B20" s="385"/>
      <c r="C20" s="385"/>
      <c r="D20" s="385"/>
      <c r="E20" s="385"/>
      <c r="F20" s="385"/>
    </row>
    <row r="21" spans="1:6" x14ac:dyDescent="0.25">
      <c r="A21" s="366" t="s">
        <v>90</v>
      </c>
      <c r="B21" s="385"/>
      <c r="C21" s="385"/>
      <c r="D21" s="385"/>
      <c r="E21" s="385"/>
      <c r="F21" s="385"/>
    </row>
    <row r="22" spans="1:6" x14ac:dyDescent="0.25">
      <c r="A22" s="366" t="s">
        <v>91</v>
      </c>
      <c r="B22" s="385"/>
      <c r="C22" s="385"/>
      <c r="D22" s="385"/>
      <c r="E22" s="385"/>
      <c r="F22" s="385"/>
    </row>
    <row r="23" spans="1:6" x14ac:dyDescent="0.25">
      <c r="A23" s="384" t="s">
        <v>92</v>
      </c>
      <c r="B23" s="388"/>
      <c r="C23" s="388"/>
      <c r="D23" s="388"/>
      <c r="E23" s="388"/>
      <c r="F23" s="388"/>
    </row>
    <row r="24" spans="1:6" x14ac:dyDescent="0.25">
      <c r="A24" s="366"/>
      <c r="B24" s="366"/>
      <c r="C24" s="366"/>
      <c r="D24" s="366"/>
      <c r="E24" s="366"/>
      <c r="F24" s="366"/>
    </row>
    <row r="25" spans="1:6" x14ac:dyDescent="0.25">
      <c r="A25" s="384" t="s">
        <v>93</v>
      </c>
      <c r="B25" s="366"/>
      <c r="C25" s="366"/>
      <c r="D25" s="366"/>
      <c r="E25" s="366"/>
      <c r="F25" s="366"/>
    </row>
    <row r="26" spans="1:6" x14ac:dyDescent="0.25">
      <c r="A26" s="366" t="s">
        <v>94</v>
      </c>
      <c r="B26" s="385"/>
      <c r="C26" s="385"/>
      <c r="D26" s="385"/>
      <c r="E26" s="385"/>
      <c r="F26" s="385"/>
    </row>
    <row r="27" spans="1:6" x14ac:dyDescent="0.25">
      <c r="A27" s="366" t="s">
        <v>95</v>
      </c>
      <c r="B27" s="385"/>
      <c r="C27" s="385"/>
      <c r="D27" s="385"/>
      <c r="E27" s="385"/>
      <c r="F27" s="385"/>
    </row>
    <row r="28" spans="1:6" x14ac:dyDescent="0.25">
      <c r="A28" s="366" t="s">
        <v>96</v>
      </c>
      <c r="B28" s="385"/>
      <c r="C28" s="385"/>
      <c r="D28" s="385"/>
      <c r="E28" s="385"/>
      <c r="F28" s="385"/>
    </row>
    <row r="29" spans="1:6" x14ac:dyDescent="0.25">
      <c r="A29" s="366" t="s">
        <v>97</v>
      </c>
      <c r="B29" s="385"/>
      <c r="C29" s="385"/>
      <c r="D29" s="385"/>
      <c r="E29" s="385"/>
      <c r="F29" s="385"/>
    </row>
    <row r="30" spans="1:6" x14ac:dyDescent="0.25">
      <c r="A30" s="366" t="s">
        <v>98</v>
      </c>
      <c r="B30" s="385"/>
      <c r="C30" s="385"/>
      <c r="D30" s="385"/>
      <c r="E30" s="385"/>
      <c r="F30" s="385"/>
    </row>
    <row r="31" spans="1:6" x14ac:dyDescent="0.25">
      <c r="A31" s="366" t="s">
        <v>99</v>
      </c>
      <c r="B31" s="385"/>
      <c r="C31" s="385"/>
      <c r="D31" s="385"/>
      <c r="E31" s="385"/>
      <c r="F31" s="385"/>
    </row>
    <row r="32" spans="1:6" x14ac:dyDescent="0.25">
      <c r="A32" s="384" t="s">
        <v>100</v>
      </c>
      <c r="B32" s="386"/>
      <c r="C32" s="386"/>
      <c r="D32" s="386"/>
      <c r="E32" s="386"/>
      <c r="F32" s="386"/>
    </row>
    <row r="33" spans="1:6" x14ac:dyDescent="0.25">
      <c r="A33" s="366"/>
      <c r="B33" s="366"/>
      <c r="C33" s="366"/>
      <c r="D33" s="366"/>
      <c r="E33" s="366"/>
      <c r="F33" s="366"/>
    </row>
    <row r="34" spans="1:6" x14ac:dyDescent="0.25">
      <c r="A34" s="366" t="s">
        <v>101</v>
      </c>
      <c r="B34" s="385"/>
      <c r="C34" s="385"/>
      <c r="D34" s="385"/>
      <c r="E34" s="385"/>
      <c r="F34" s="385"/>
    </row>
    <row r="35" spans="1:6" x14ac:dyDescent="0.25">
      <c r="A35" s="366" t="s">
        <v>102</v>
      </c>
      <c r="B35" s="385"/>
      <c r="C35" s="385"/>
      <c r="D35" s="385"/>
      <c r="E35" s="385"/>
      <c r="F35" s="385"/>
    </row>
    <row r="36" spans="1:6" x14ac:dyDescent="0.25">
      <c r="A36" s="366" t="s">
        <v>103</v>
      </c>
      <c r="B36" s="385"/>
      <c r="C36" s="385"/>
      <c r="D36" s="385"/>
      <c r="E36" s="385"/>
      <c r="F36" s="385"/>
    </row>
    <row r="37" spans="1:6" x14ac:dyDescent="0.25">
      <c r="A37" s="366" t="s">
        <v>104</v>
      </c>
      <c r="B37" s="385"/>
      <c r="C37" s="385"/>
      <c r="D37" s="385"/>
      <c r="E37" s="385"/>
      <c r="F37" s="385"/>
    </row>
    <row r="38" spans="1:6" x14ac:dyDescent="0.25">
      <c r="A38" s="384" t="s">
        <v>105</v>
      </c>
      <c r="B38" s="386"/>
      <c r="C38" s="386"/>
      <c r="D38" s="386"/>
      <c r="E38" s="386"/>
      <c r="F38" s="386"/>
    </row>
    <row r="39" spans="1:6" x14ac:dyDescent="0.25">
      <c r="A39" s="366"/>
      <c r="B39" s="366"/>
      <c r="C39" s="366"/>
      <c r="D39" s="366"/>
      <c r="E39" s="366"/>
      <c r="F39" s="366"/>
    </row>
    <row r="40" spans="1:6" x14ac:dyDescent="0.25">
      <c r="A40" s="366" t="s">
        <v>106</v>
      </c>
      <c r="B40" s="385"/>
      <c r="C40" s="385"/>
      <c r="D40" s="385"/>
      <c r="E40" s="385"/>
      <c r="F40" s="385"/>
    </row>
    <row r="41" spans="1:6" x14ac:dyDescent="0.25">
      <c r="A41" s="366" t="s">
        <v>107</v>
      </c>
      <c r="B41" s="385"/>
      <c r="C41" s="385"/>
      <c r="D41" s="385"/>
      <c r="E41" s="385"/>
      <c r="F41" s="385"/>
    </row>
    <row r="42" spans="1:6" x14ac:dyDescent="0.25">
      <c r="A42" s="366" t="s">
        <v>108</v>
      </c>
      <c r="B42" s="385"/>
      <c r="C42" s="385"/>
      <c r="D42" s="385"/>
      <c r="E42" s="385"/>
      <c r="F42" s="385"/>
    </row>
    <row r="43" spans="1:6" x14ac:dyDescent="0.25">
      <c r="A43" s="366" t="s">
        <v>109</v>
      </c>
      <c r="B43" s="385"/>
      <c r="C43" s="385"/>
      <c r="D43" s="385"/>
      <c r="E43" s="385"/>
      <c r="F43" s="385"/>
    </row>
    <row r="44" spans="1:6" x14ac:dyDescent="0.25">
      <c r="A44" s="366" t="s">
        <v>110</v>
      </c>
      <c r="B44" s="385"/>
      <c r="C44" s="385"/>
      <c r="D44" s="385"/>
      <c r="E44" s="385"/>
      <c r="F44" s="385"/>
    </row>
    <row r="45" spans="1:6" x14ac:dyDescent="0.25">
      <c r="A45" s="384" t="s">
        <v>111</v>
      </c>
      <c r="B45" s="386"/>
      <c r="C45" s="386"/>
      <c r="D45" s="386"/>
      <c r="E45" s="386"/>
      <c r="F45" s="386"/>
    </row>
    <row r="46" spans="1:6" x14ac:dyDescent="0.25">
      <c r="A46" s="366"/>
      <c r="B46" s="366"/>
      <c r="C46" s="366"/>
      <c r="D46" s="366"/>
      <c r="E46" s="366"/>
      <c r="F46" s="366"/>
    </row>
    <row r="47" spans="1:6" x14ac:dyDescent="0.25">
      <c r="A47" s="366" t="s">
        <v>112</v>
      </c>
      <c r="B47" s="385"/>
      <c r="C47" s="385"/>
      <c r="D47" s="385"/>
      <c r="E47" s="385"/>
      <c r="F47" s="385"/>
    </row>
    <row r="48" spans="1:6" x14ac:dyDescent="0.25">
      <c r="A48" s="366"/>
      <c r="B48" s="366"/>
      <c r="C48" s="366"/>
      <c r="D48" s="366"/>
      <c r="E48" s="366"/>
      <c r="F48" s="366"/>
    </row>
    <row r="49" spans="1:6" x14ac:dyDescent="0.25">
      <c r="A49" s="384" t="s">
        <v>113</v>
      </c>
      <c r="B49" s="399"/>
      <c r="C49" s="399"/>
      <c r="D49" s="399"/>
      <c r="E49" s="399"/>
      <c r="F49" s="399"/>
    </row>
    <row r="50" spans="1:6" x14ac:dyDescent="0.25">
      <c r="A50" s="366"/>
      <c r="B50" s="366"/>
      <c r="C50" s="366"/>
      <c r="D50" s="366"/>
      <c r="E50" s="366"/>
      <c r="F50" s="366"/>
    </row>
    <row r="51" spans="1:6" x14ac:dyDescent="0.25">
      <c r="A51" s="384" t="s">
        <v>114</v>
      </c>
      <c r="B51" s="400"/>
      <c r="C51" s="400"/>
      <c r="D51" s="400"/>
      <c r="E51" s="400"/>
      <c r="F51" s="400"/>
    </row>
    <row r="52" spans="1:6" x14ac:dyDescent="0.25">
      <c r="A52" s="366"/>
      <c r="B52" s="366"/>
      <c r="C52" s="366"/>
      <c r="D52" s="366"/>
      <c r="E52" s="366"/>
      <c r="F52" s="366"/>
    </row>
    <row r="53" spans="1:6" x14ac:dyDescent="0.25">
      <c r="A53" s="384" t="s">
        <v>53</v>
      </c>
      <c r="B53" s="366"/>
      <c r="C53" s="366"/>
      <c r="D53" s="366"/>
      <c r="E53" s="366"/>
      <c r="F53" s="366"/>
    </row>
    <row r="54" spans="1:6" x14ac:dyDescent="0.25">
      <c r="A54" s="366" t="s">
        <v>115</v>
      </c>
      <c r="B54" s="385"/>
      <c r="C54" s="385"/>
      <c r="D54" s="385"/>
      <c r="E54" s="385"/>
      <c r="F54" s="385"/>
    </row>
    <row r="55" spans="1:6" x14ac:dyDescent="0.25">
      <c r="A55" s="366" t="s">
        <v>116</v>
      </c>
      <c r="B55" s="385"/>
      <c r="C55" s="385"/>
      <c r="D55" s="385"/>
      <c r="E55" s="385"/>
      <c r="F55" s="385"/>
    </row>
    <row r="56" spans="1:6" x14ac:dyDescent="0.25">
      <c r="A56" s="366" t="s">
        <v>117</v>
      </c>
      <c r="B56" s="389"/>
      <c r="C56" s="389"/>
      <c r="D56" s="389"/>
      <c r="E56" s="389"/>
      <c r="F56" s="389"/>
    </row>
    <row r="57" spans="1:6" x14ac:dyDescent="0.25">
      <c r="A57" s="366" t="s">
        <v>118</v>
      </c>
      <c r="B57" s="385"/>
      <c r="C57" s="385"/>
      <c r="D57" s="385"/>
      <c r="E57" s="385"/>
      <c r="F57" s="385"/>
    </row>
    <row r="58" spans="1:6" x14ac:dyDescent="0.25">
      <c r="A58" s="366" t="s">
        <v>119</v>
      </c>
      <c r="B58" s="389"/>
      <c r="C58" s="389"/>
      <c r="D58" s="389"/>
      <c r="E58" s="389"/>
      <c r="F58" s="389"/>
    </row>
    <row r="59" spans="1:6" x14ac:dyDescent="0.25">
      <c r="A59" s="366" t="s">
        <v>120</v>
      </c>
      <c r="B59" s="385"/>
      <c r="C59" s="385"/>
      <c r="D59" s="385"/>
      <c r="E59" s="385"/>
      <c r="F59" s="385"/>
    </row>
    <row r="60" spans="1:6" x14ac:dyDescent="0.25">
      <c r="A60" s="366" t="s">
        <v>121</v>
      </c>
      <c r="B60" s="385"/>
      <c r="C60" s="385"/>
      <c r="D60" s="385"/>
      <c r="E60" s="385"/>
      <c r="F60" s="385"/>
    </row>
    <row r="61" spans="1:6" x14ac:dyDescent="0.25">
      <c r="A61" s="366" t="s">
        <v>122</v>
      </c>
      <c r="B61" s="385"/>
      <c r="C61" s="385"/>
      <c r="D61" s="385"/>
      <c r="E61" s="385"/>
      <c r="F61" s="385"/>
    </row>
    <row r="62" spans="1:6" x14ac:dyDescent="0.25">
      <c r="A62" s="366" t="s">
        <v>123</v>
      </c>
      <c r="B62" s="385"/>
      <c r="C62" s="385"/>
      <c r="D62" s="385"/>
      <c r="E62" s="385"/>
      <c r="F62" s="385"/>
    </row>
    <row r="63" spans="1:6" x14ac:dyDescent="0.25">
      <c r="A63" s="366" t="s">
        <v>745</v>
      </c>
      <c r="B63" s="385"/>
      <c r="C63" s="385"/>
      <c r="D63" s="385"/>
      <c r="E63" s="385"/>
      <c r="F63" s="385"/>
    </row>
    <row r="64" spans="1:6" x14ac:dyDescent="0.25">
      <c r="A64" s="366" t="s">
        <v>124</v>
      </c>
      <c r="B64" s="394"/>
      <c r="C64" s="394"/>
      <c r="D64" s="394"/>
      <c r="E64" s="394"/>
      <c r="F64" s="394"/>
    </row>
    <row r="65" spans="1:6" x14ac:dyDescent="0.25">
      <c r="A65" s="366" t="s">
        <v>125</v>
      </c>
      <c r="B65" s="385"/>
      <c r="C65" s="385"/>
      <c r="D65" s="385"/>
      <c r="E65" s="385"/>
      <c r="F65" s="385"/>
    </row>
    <row r="66" spans="1:6" x14ac:dyDescent="0.25">
      <c r="A66" s="366" t="s">
        <v>126</v>
      </c>
      <c r="B66" s="385"/>
      <c r="C66" s="385"/>
      <c r="D66" s="385"/>
      <c r="E66" s="385"/>
      <c r="F66" s="385"/>
    </row>
    <row r="67" spans="1:6" x14ac:dyDescent="0.25">
      <c r="A67" s="366" t="s">
        <v>127</v>
      </c>
      <c r="B67" s="385"/>
      <c r="C67" s="385"/>
      <c r="D67" s="385"/>
      <c r="E67" s="385"/>
      <c r="F67" s="385"/>
    </row>
    <row r="68" spans="1:6" x14ac:dyDescent="0.25">
      <c r="A68" s="366" t="s">
        <v>128</v>
      </c>
      <c r="B68" s="401"/>
      <c r="C68" s="401"/>
      <c r="D68" s="401"/>
      <c r="E68" s="401"/>
      <c r="F68" s="401"/>
    </row>
    <row r="69" spans="1:6" x14ac:dyDescent="0.25">
      <c r="A69" s="366" t="s">
        <v>64</v>
      </c>
      <c r="B69" s="393"/>
      <c r="C69" s="393"/>
      <c r="D69" s="393"/>
      <c r="E69" s="393"/>
      <c r="F69" s="393"/>
    </row>
    <row r="70" spans="1:6" x14ac:dyDescent="0.25">
      <c r="A70" s="366" t="s">
        <v>65</v>
      </c>
      <c r="B70" s="394"/>
      <c r="C70" s="394"/>
      <c r="D70" s="394"/>
      <c r="E70" s="394"/>
      <c r="F70" s="394"/>
    </row>
    <row r="71" spans="1:6" x14ac:dyDescent="0.25">
      <c r="A71" s="366" t="s">
        <v>66</v>
      </c>
      <c r="B71" s="394"/>
      <c r="C71" s="394"/>
      <c r="D71" s="394"/>
      <c r="E71" s="394"/>
      <c r="F71" s="394"/>
    </row>
    <row r="72" spans="1:6" x14ac:dyDescent="0.25">
      <c r="A72" s="366"/>
      <c r="B72" s="366"/>
      <c r="C72" s="366"/>
      <c r="D72" s="366"/>
      <c r="E72" s="366"/>
      <c r="F72" s="366"/>
    </row>
    <row r="73" spans="1:6" x14ac:dyDescent="0.25">
      <c r="A73" s="377"/>
      <c r="B73" s="377"/>
      <c r="C73" s="377"/>
      <c r="D73" s="377"/>
      <c r="E73" s="377"/>
      <c r="F73" s="377"/>
    </row>
    <row r="74" spans="1:6" x14ac:dyDescent="0.25">
      <c r="A74" s="359" t="s">
        <v>129</v>
      </c>
      <c r="B74" s="359"/>
      <c r="C74" s="359"/>
      <c r="D74" s="359"/>
      <c r="E74" s="359"/>
      <c r="F74" s="359"/>
    </row>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EFB8-CCA2-4620-A630-73117B7D0AF9}">
  <sheetPr>
    <tabColor rgb="FF00B0F0"/>
  </sheetPr>
  <dimension ref="A1:F59"/>
  <sheetViews>
    <sheetView workbookViewId="0">
      <selection activeCell="B5" sqref="B5:F60"/>
    </sheetView>
  </sheetViews>
  <sheetFormatPr defaultRowHeight="15" x14ac:dyDescent="0.25"/>
  <cols>
    <col min="1" max="1" width="28.5703125" bestFit="1" customWidth="1"/>
    <col min="2" max="5" width="9.85546875" bestFit="1" customWidth="1"/>
  </cols>
  <sheetData>
    <row r="1" spans="1:6" x14ac:dyDescent="0.25">
      <c r="A1" s="361" t="s">
        <v>746</v>
      </c>
      <c r="B1" s="361"/>
      <c r="C1" s="361"/>
      <c r="D1" s="361"/>
      <c r="E1" s="361"/>
      <c r="F1" s="361"/>
    </row>
    <row r="2" spans="1:6" ht="45.75" x14ac:dyDescent="0.25">
      <c r="A2" s="380" t="s">
        <v>1</v>
      </c>
      <c r="B2" s="381" t="s">
        <v>747</v>
      </c>
      <c r="C2" s="381" t="s">
        <v>748</v>
      </c>
      <c r="D2" s="381" t="s">
        <v>749</v>
      </c>
      <c r="E2" s="381" t="s">
        <v>750</v>
      </c>
      <c r="F2" s="381" t="s">
        <v>736</v>
      </c>
    </row>
    <row r="3" spans="1:6" x14ac:dyDescent="0.25">
      <c r="A3" s="382" t="s">
        <v>2</v>
      </c>
      <c r="B3" s="383" t="s">
        <v>3</v>
      </c>
      <c r="C3" s="383" t="s">
        <v>3</v>
      </c>
      <c r="D3" s="383" t="s">
        <v>3</v>
      </c>
      <c r="E3" s="383" t="s">
        <v>3</v>
      </c>
      <c r="F3" s="383" t="s">
        <v>3</v>
      </c>
    </row>
    <row r="4" spans="1:6" x14ac:dyDescent="0.25">
      <c r="A4" s="384" t="s">
        <v>4</v>
      </c>
      <c r="B4" s="366"/>
      <c r="C4" s="366"/>
      <c r="D4" s="366"/>
      <c r="E4" s="366"/>
      <c r="F4" s="366"/>
    </row>
    <row r="5" spans="1:6" x14ac:dyDescent="0.25">
      <c r="A5" s="384" t="s">
        <v>130</v>
      </c>
      <c r="B5" s="387"/>
      <c r="C5" s="387"/>
      <c r="D5" s="387"/>
      <c r="E5" s="387"/>
      <c r="F5" s="387"/>
    </row>
    <row r="6" spans="1:6" x14ac:dyDescent="0.25">
      <c r="A6" s="366" t="s">
        <v>13</v>
      </c>
      <c r="B6" s="385"/>
      <c r="C6" s="385"/>
      <c r="D6" s="385"/>
      <c r="E6" s="385"/>
      <c r="F6" s="385"/>
    </row>
    <row r="7" spans="1:6" x14ac:dyDescent="0.25">
      <c r="A7" s="366" t="s">
        <v>14</v>
      </c>
      <c r="B7" s="385"/>
      <c r="C7" s="385"/>
      <c r="D7" s="385"/>
      <c r="E7" s="385"/>
      <c r="F7" s="385"/>
    </row>
    <row r="8" spans="1:6" x14ac:dyDescent="0.25">
      <c r="A8" s="384" t="s">
        <v>131</v>
      </c>
      <c r="B8" s="386"/>
      <c r="C8" s="386"/>
      <c r="D8" s="386"/>
      <c r="E8" s="386"/>
      <c r="F8" s="386"/>
    </row>
    <row r="9" spans="1:6" x14ac:dyDescent="0.25">
      <c r="A9" s="366"/>
      <c r="B9" s="366"/>
      <c r="C9" s="366"/>
      <c r="D9" s="366"/>
      <c r="E9" s="366"/>
      <c r="F9" s="366"/>
    </row>
    <row r="10" spans="1:6" x14ac:dyDescent="0.25">
      <c r="A10" s="366" t="s">
        <v>132</v>
      </c>
      <c r="B10" s="385"/>
      <c r="C10" s="385"/>
      <c r="D10" s="385"/>
      <c r="E10" s="385"/>
      <c r="F10" s="385"/>
    </row>
    <row r="11" spans="1:6" x14ac:dyDescent="0.25">
      <c r="A11" s="366" t="s">
        <v>133</v>
      </c>
      <c r="B11" s="385"/>
      <c r="C11" s="385"/>
      <c r="D11" s="385"/>
      <c r="E11" s="385"/>
      <c r="F11" s="385"/>
    </row>
    <row r="12" spans="1:6" x14ac:dyDescent="0.25">
      <c r="A12" s="366" t="s">
        <v>134</v>
      </c>
      <c r="B12" s="385"/>
      <c r="C12" s="385"/>
      <c r="D12" s="385"/>
      <c r="E12" s="385"/>
      <c r="F12" s="385"/>
    </row>
    <row r="13" spans="1:6" x14ac:dyDescent="0.25">
      <c r="A13" s="366" t="s">
        <v>751</v>
      </c>
      <c r="B13" s="385"/>
      <c r="C13" s="385"/>
      <c r="D13" s="385"/>
      <c r="E13" s="385"/>
      <c r="F13" s="385"/>
    </row>
    <row r="14" spans="1:6" x14ac:dyDescent="0.25">
      <c r="A14" s="366" t="s">
        <v>135</v>
      </c>
      <c r="B14" s="385"/>
      <c r="C14" s="385"/>
      <c r="D14" s="385"/>
      <c r="E14" s="385"/>
      <c r="F14" s="385"/>
    </row>
    <row r="15" spans="1:6" x14ac:dyDescent="0.25">
      <c r="A15" s="366" t="s">
        <v>136</v>
      </c>
      <c r="B15" s="385"/>
      <c r="C15" s="385"/>
      <c r="D15" s="385"/>
      <c r="E15" s="385"/>
      <c r="F15" s="385"/>
    </row>
    <row r="16" spans="1:6" x14ac:dyDescent="0.25">
      <c r="A16" s="366" t="s">
        <v>137</v>
      </c>
      <c r="B16" s="385"/>
      <c r="C16" s="385"/>
      <c r="D16" s="385"/>
      <c r="E16" s="385"/>
      <c r="F16" s="385"/>
    </row>
    <row r="17" spans="1:6" x14ac:dyDescent="0.25">
      <c r="A17" s="366" t="s">
        <v>138</v>
      </c>
      <c r="B17" s="385"/>
      <c r="C17" s="385"/>
      <c r="D17" s="385"/>
      <c r="E17" s="385"/>
      <c r="F17" s="385"/>
    </row>
    <row r="18" spans="1:6" x14ac:dyDescent="0.25">
      <c r="A18" s="366" t="s">
        <v>139</v>
      </c>
      <c r="B18" s="385"/>
      <c r="C18" s="385"/>
      <c r="D18" s="385"/>
      <c r="E18" s="385"/>
      <c r="F18" s="385"/>
    </row>
    <row r="19" spans="1:6" x14ac:dyDescent="0.25">
      <c r="A19" s="366" t="s">
        <v>140</v>
      </c>
      <c r="B19" s="385"/>
      <c r="C19" s="385"/>
      <c r="D19" s="385"/>
      <c r="E19" s="385"/>
      <c r="F19" s="385"/>
    </row>
    <row r="20" spans="1:6" x14ac:dyDescent="0.25">
      <c r="A20" s="384" t="s">
        <v>141</v>
      </c>
      <c r="B20" s="386"/>
      <c r="C20" s="386"/>
      <c r="D20" s="386"/>
      <c r="E20" s="386"/>
      <c r="F20" s="386"/>
    </row>
    <row r="21" spans="1:6" x14ac:dyDescent="0.25">
      <c r="A21" s="366"/>
      <c r="B21" s="366"/>
      <c r="C21" s="366"/>
      <c r="D21" s="366"/>
      <c r="E21" s="366"/>
      <c r="F21" s="366"/>
    </row>
    <row r="22" spans="1:6" x14ac:dyDescent="0.25">
      <c r="A22" s="366" t="s">
        <v>142</v>
      </c>
      <c r="B22" s="385"/>
      <c r="C22" s="385"/>
      <c r="D22" s="385"/>
      <c r="E22" s="385"/>
      <c r="F22" s="385"/>
    </row>
    <row r="23" spans="1:6" x14ac:dyDescent="0.25">
      <c r="A23" s="366" t="s">
        <v>143</v>
      </c>
      <c r="B23" s="385"/>
      <c r="C23" s="385"/>
      <c r="D23" s="385"/>
      <c r="E23" s="385"/>
      <c r="F23" s="385"/>
    </row>
    <row r="24" spans="1:6" x14ac:dyDescent="0.25">
      <c r="A24" s="366" t="s">
        <v>144</v>
      </c>
      <c r="B24" s="385"/>
      <c r="C24" s="385"/>
      <c r="D24" s="385"/>
      <c r="E24" s="385"/>
      <c r="F24" s="385"/>
    </row>
    <row r="25" spans="1:6" x14ac:dyDescent="0.25">
      <c r="A25" s="366" t="s">
        <v>145</v>
      </c>
      <c r="B25" s="385"/>
      <c r="C25" s="385"/>
      <c r="D25" s="385"/>
      <c r="E25" s="385"/>
      <c r="F25" s="385"/>
    </row>
    <row r="26" spans="1:6" x14ac:dyDescent="0.25">
      <c r="A26" s="366" t="s">
        <v>146</v>
      </c>
      <c r="B26" s="385"/>
      <c r="C26" s="385"/>
      <c r="D26" s="385"/>
      <c r="E26" s="385"/>
      <c r="F26" s="385"/>
    </row>
    <row r="27" spans="1:6" x14ac:dyDescent="0.25">
      <c r="A27" s="366" t="s">
        <v>147</v>
      </c>
      <c r="B27" s="385"/>
      <c r="C27" s="385"/>
      <c r="D27" s="385"/>
      <c r="E27" s="385"/>
      <c r="F27" s="385"/>
    </row>
    <row r="28" spans="1:6" x14ac:dyDescent="0.25">
      <c r="A28" s="384" t="s">
        <v>148</v>
      </c>
      <c r="B28" s="386"/>
      <c r="C28" s="386"/>
      <c r="D28" s="386"/>
      <c r="E28" s="386"/>
      <c r="F28" s="386"/>
    </row>
    <row r="29" spans="1:6" x14ac:dyDescent="0.25">
      <c r="A29" s="366"/>
      <c r="B29" s="366"/>
      <c r="C29" s="366"/>
      <c r="D29" s="366"/>
      <c r="E29" s="366"/>
      <c r="F29" s="366"/>
    </row>
    <row r="30" spans="1:6" x14ac:dyDescent="0.25">
      <c r="A30" s="366" t="s">
        <v>149</v>
      </c>
      <c r="B30" s="385"/>
      <c r="C30" s="385"/>
      <c r="D30" s="385"/>
      <c r="E30" s="385"/>
      <c r="F30" s="385"/>
    </row>
    <row r="31" spans="1:6" x14ac:dyDescent="0.25">
      <c r="A31" s="366" t="s">
        <v>150</v>
      </c>
      <c r="B31" s="385"/>
      <c r="C31" s="385"/>
      <c r="D31" s="385"/>
      <c r="E31" s="385"/>
      <c r="F31" s="385"/>
    </row>
    <row r="32" spans="1:6" x14ac:dyDescent="0.25">
      <c r="A32" s="384" t="s">
        <v>151</v>
      </c>
      <c r="B32" s="386"/>
      <c r="C32" s="386"/>
      <c r="D32" s="386"/>
      <c r="E32" s="386"/>
      <c r="F32" s="386"/>
    </row>
    <row r="33" spans="1:6" x14ac:dyDescent="0.25">
      <c r="A33" s="366" t="s">
        <v>152</v>
      </c>
      <c r="B33" s="385"/>
      <c r="C33" s="385"/>
      <c r="D33" s="385"/>
      <c r="E33" s="385"/>
      <c r="F33" s="385"/>
    </row>
    <row r="34" spans="1:6" x14ac:dyDescent="0.25">
      <c r="A34" s="366" t="s">
        <v>153</v>
      </c>
      <c r="B34" s="385"/>
      <c r="C34" s="385"/>
      <c r="D34" s="385"/>
      <c r="E34" s="385"/>
      <c r="F34" s="385"/>
    </row>
    <row r="35" spans="1:6" x14ac:dyDescent="0.25">
      <c r="A35" s="384" t="s">
        <v>154</v>
      </c>
      <c r="B35" s="386"/>
      <c r="C35" s="386"/>
      <c r="D35" s="386"/>
      <c r="E35" s="386"/>
      <c r="F35" s="386"/>
    </row>
    <row r="36" spans="1:6" x14ac:dyDescent="0.25">
      <c r="A36" s="366"/>
      <c r="B36" s="366"/>
      <c r="C36" s="366"/>
      <c r="D36" s="366"/>
      <c r="E36" s="366"/>
      <c r="F36" s="366"/>
    </row>
    <row r="37" spans="1:6" x14ac:dyDescent="0.25">
      <c r="A37" s="366" t="s">
        <v>155</v>
      </c>
      <c r="B37" s="385"/>
      <c r="C37" s="385"/>
      <c r="D37" s="385"/>
      <c r="E37" s="385"/>
      <c r="F37" s="385"/>
    </row>
    <row r="38" spans="1:6" x14ac:dyDescent="0.25">
      <c r="A38" s="366" t="s">
        <v>156</v>
      </c>
      <c r="B38" s="385"/>
      <c r="C38" s="385"/>
      <c r="D38" s="385"/>
      <c r="E38" s="385"/>
      <c r="F38" s="385"/>
    </row>
    <row r="39" spans="1:6" x14ac:dyDescent="0.25">
      <c r="A39" s="366"/>
      <c r="B39" s="366"/>
      <c r="C39" s="366"/>
      <c r="D39" s="366"/>
      <c r="E39" s="366"/>
      <c r="F39" s="366"/>
    </row>
    <row r="40" spans="1:6" x14ac:dyDescent="0.25">
      <c r="A40" s="366" t="s">
        <v>157</v>
      </c>
      <c r="B40" s="385"/>
      <c r="C40" s="385"/>
      <c r="D40" s="385"/>
      <c r="E40" s="385"/>
      <c r="F40" s="385"/>
    </row>
    <row r="41" spans="1:6" x14ac:dyDescent="0.25">
      <c r="A41" s="384" t="s">
        <v>158</v>
      </c>
      <c r="B41" s="386"/>
      <c r="C41" s="386"/>
      <c r="D41" s="386"/>
      <c r="E41" s="386"/>
      <c r="F41" s="386"/>
    </row>
    <row r="42" spans="1:6" x14ac:dyDescent="0.25">
      <c r="A42" s="366"/>
      <c r="B42" s="366"/>
      <c r="C42" s="366"/>
      <c r="D42" s="366"/>
      <c r="E42" s="366"/>
      <c r="F42" s="366"/>
    </row>
    <row r="43" spans="1:6" x14ac:dyDescent="0.25">
      <c r="A43" s="366" t="s">
        <v>159</v>
      </c>
      <c r="B43" s="385"/>
      <c r="C43" s="385"/>
      <c r="D43" s="385"/>
      <c r="E43" s="385"/>
      <c r="F43" s="385"/>
    </row>
    <row r="44" spans="1:6" x14ac:dyDescent="0.25">
      <c r="A44" s="366" t="s">
        <v>160</v>
      </c>
      <c r="B44" s="385"/>
      <c r="C44" s="385"/>
      <c r="D44" s="385"/>
      <c r="E44" s="385"/>
      <c r="F44" s="385"/>
    </row>
    <row r="45" spans="1:6" x14ac:dyDescent="0.25">
      <c r="A45" s="384" t="s">
        <v>161</v>
      </c>
      <c r="B45" s="386"/>
      <c r="C45" s="386"/>
      <c r="D45" s="386"/>
      <c r="E45" s="386"/>
      <c r="F45" s="386"/>
    </row>
    <row r="46" spans="1:6" x14ac:dyDescent="0.25">
      <c r="A46" s="366"/>
      <c r="B46" s="366"/>
      <c r="C46" s="366"/>
      <c r="D46" s="366"/>
      <c r="E46" s="366"/>
      <c r="F46" s="366"/>
    </row>
    <row r="47" spans="1:6" x14ac:dyDescent="0.25">
      <c r="A47" s="366" t="s">
        <v>162</v>
      </c>
      <c r="B47" s="385"/>
      <c r="C47" s="385"/>
      <c r="D47" s="385"/>
      <c r="E47" s="385"/>
      <c r="F47" s="385"/>
    </row>
    <row r="48" spans="1:6" x14ac:dyDescent="0.25">
      <c r="A48" s="384" t="s">
        <v>163</v>
      </c>
      <c r="B48" s="388"/>
      <c r="C48" s="388"/>
      <c r="D48" s="388"/>
      <c r="E48" s="388"/>
      <c r="F48" s="388"/>
    </row>
    <row r="49" spans="1:6" x14ac:dyDescent="0.25">
      <c r="A49" s="366"/>
      <c r="B49" s="366"/>
      <c r="C49" s="366"/>
      <c r="D49" s="366"/>
      <c r="E49" s="366"/>
      <c r="F49" s="366"/>
    </row>
    <row r="50" spans="1:6" x14ac:dyDescent="0.25">
      <c r="A50" s="384" t="s">
        <v>53</v>
      </c>
      <c r="B50" s="366"/>
      <c r="C50" s="366"/>
      <c r="D50" s="366"/>
      <c r="E50" s="366"/>
      <c r="F50" s="366"/>
    </row>
    <row r="51" spans="1:6" x14ac:dyDescent="0.25">
      <c r="A51" s="366" t="s">
        <v>164</v>
      </c>
      <c r="B51" s="385"/>
      <c r="C51" s="385"/>
      <c r="D51" s="385"/>
      <c r="E51" s="385"/>
      <c r="F51" s="385"/>
    </row>
    <row r="52" spans="1:6" x14ac:dyDescent="0.25">
      <c r="A52" s="366" t="s">
        <v>165</v>
      </c>
      <c r="B52" s="385"/>
      <c r="C52" s="385"/>
      <c r="D52" s="385"/>
      <c r="E52" s="385"/>
      <c r="F52" s="385"/>
    </row>
    <row r="53" spans="1:6" x14ac:dyDescent="0.25">
      <c r="A53" s="366" t="s">
        <v>166</v>
      </c>
      <c r="B53" s="385"/>
      <c r="C53" s="385"/>
      <c r="D53" s="385"/>
      <c r="E53" s="385"/>
      <c r="F53" s="385"/>
    </row>
    <row r="54" spans="1:6" x14ac:dyDescent="0.25">
      <c r="A54" s="366" t="s">
        <v>167</v>
      </c>
      <c r="B54" s="385"/>
      <c r="C54" s="385"/>
      <c r="D54" s="385"/>
      <c r="E54" s="385"/>
      <c r="F54" s="385"/>
    </row>
    <row r="55" spans="1:6" x14ac:dyDescent="0.25">
      <c r="A55" s="366" t="s">
        <v>168</v>
      </c>
      <c r="B55" s="385"/>
      <c r="C55" s="385"/>
      <c r="D55" s="385"/>
      <c r="E55" s="385"/>
      <c r="F55" s="385"/>
    </row>
    <row r="56" spans="1:6" x14ac:dyDescent="0.25">
      <c r="A56" s="366" t="s">
        <v>169</v>
      </c>
      <c r="B56" s="385"/>
      <c r="C56" s="385"/>
      <c r="D56" s="385"/>
      <c r="E56" s="385"/>
      <c r="F56" s="385"/>
    </row>
    <row r="57" spans="1:6" x14ac:dyDescent="0.25">
      <c r="A57" s="366" t="s">
        <v>64</v>
      </c>
      <c r="B57" s="393"/>
      <c r="C57" s="393"/>
      <c r="D57" s="393"/>
      <c r="E57" s="393"/>
      <c r="F57" s="393"/>
    </row>
    <row r="58" spans="1:6" x14ac:dyDescent="0.25">
      <c r="A58" s="366" t="s">
        <v>65</v>
      </c>
      <c r="B58" s="394"/>
      <c r="C58" s="394"/>
      <c r="D58" s="394"/>
      <c r="E58" s="394"/>
      <c r="F58" s="394"/>
    </row>
    <row r="59" spans="1:6" x14ac:dyDescent="0.25">
      <c r="A59" s="366" t="s">
        <v>66</v>
      </c>
      <c r="B59" s="394"/>
      <c r="C59" s="394"/>
      <c r="D59" s="394"/>
      <c r="E59" s="394"/>
      <c r="F59" s="394"/>
    </row>
  </sheetData>
  <pageMargins left="0.70000000000000007" right="0.70000000000000007" top="0.75" bottom="0.75" header="0.30000000000000004" footer="0.3000000000000000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F0AF-F442-4D6C-82C1-27D479C090E2}">
  <sheetPr>
    <tabColor rgb="FF7030A0"/>
  </sheetPr>
  <dimension ref="A1:AD359"/>
  <sheetViews>
    <sheetView zoomScaleNormal="100" workbookViewId="0">
      <selection activeCell="H7" sqref="H7"/>
    </sheetView>
  </sheetViews>
  <sheetFormatPr defaultColWidth="9.140625" defaultRowHeight="15.75" x14ac:dyDescent="0.25"/>
  <cols>
    <col min="1" max="1" width="1.85546875" style="5" customWidth="1"/>
    <col min="2" max="2" width="71.5703125" style="7" bestFit="1" customWidth="1"/>
    <col min="3" max="3" width="12.140625" style="6" bestFit="1" customWidth="1"/>
    <col min="4" max="4" width="9.42578125" style="6" bestFit="1" customWidth="1"/>
    <col min="5" max="5" width="10.28515625" style="6" bestFit="1" customWidth="1"/>
    <col min="6" max="6" width="9.42578125" style="6" bestFit="1" customWidth="1"/>
    <col min="7" max="7" width="10.28515625" style="6" bestFit="1" customWidth="1"/>
    <col min="8" max="8" width="9.140625" style="6" customWidth="1"/>
    <col min="9" max="9" width="11.28515625" style="6" bestFit="1" customWidth="1"/>
    <col min="10" max="14" width="9.28515625" style="6" bestFit="1" customWidth="1"/>
    <col min="15" max="15" width="9.140625" style="5" customWidth="1"/>
    <col min="16" max="16384" width="9.140625" style="5"/>
  </cols>
  <sheetData>
    <row r="1" spans="2:24" x14ac:dyDescent="0.25">
      <c r="B1" s="459" t="s">
        <v>170</v>
      </c>
      <c r="C1" s="460"/>
    </row>
    <row r="3" spans="2:24" x14ac:dyDescent="0.25">
      <c r="B3" s="7" t="s">
        <v>171</v>
      </c>
      <c r="C3" s="515"/>
      <c r="D3" s="515"/>
    </row>
    <row r="4" spans="2:24" x14ac:dyDescent="0.25">
      <c r="B4" s="7" t="s">
        <v>172</v>
      </c>
      <c r="C4" s="515"/>
      <c r="D4" s="515"/>
    </row>
    <row r="5" spans="2:24" x14ac:dyDescent="0.25">
      <c r="B5" s="7" t="s">
        <v>173</v>
      </c>
      <c r="C5" s="516"/>
      <c r="D5" s="516"/>
      <c r="E5" s="8"/>
    </row>
    <row r="6" spans="2:24" x14ac:dyDescent="0.25">
      <c r="B6" s="7" t="s">
        <v>174</v>
      </c>
      <c r="C6" s="517"/>
      <c r="D6" s="517"/>
    </row>
    <row r="7" spans="2:24" x14ac:dyDescent="0.25">
      <c r="B7" s="7" t="s">
        <v>175</v>
      </c>
      <c r="C7" s="517"/>
      <c r="D7" s="517"/>
    </row>
    <row r="8" spans="2:24" x14ac:dyDescent="0.25">
      <c r="C8" s="9"/>
    </row>
    <row r="10" spans="2:24" ht="18.75" x14ac:dyDescent="0.25">
      <c r="B10" s="459" t="s">
        <v>176</v>
      </c>
      <c r="C10" s="460"/>
      <c r="D10" s="457">
        <f>E10-1</f>
        <v>2020</v>
      </c>
      <c r="E10" s="457">
        <f t="shared" ref="E10:G10" si="0">F10-1</f>
        <v>2021</v>
      </c>
      <c r="F10" s="457">
        <f t="shared" si="0"/>
        <v>2022</v>
      </c>
      <c r="G10" s="457">
        <f t="shared" si="0"/>
        <v>2023</v>
      </c>
      <c r="H10" s="457">
        <f>2024</f>
        <v>2024</v>
      </c>
      <c r="I10" s="458">
        <f t="shared" ref="I10" si="1">H10+1</f>
        <v>2025</v>
      </c>
      <c r="J10" s="458">
        <f t="shared" ref="J10" si="2">I10+1</f>
        <v>2026</v>
      </c>
      <c r="K10" s="458">
        <f t="shared" ref="K10" si="3">J10+1</f>
        <v>2027</v>
      </c>
      <c r="L10" s="458">
        <f t="shared" ref="L10" si="4">K10+1</f>
        <v>2028</v>
      </c>
      <c r="M10" s="458">
        <f t="shared" ref="M10" si="5">L10+1</f>
        <v>2029</v>
      </c>
      <c r="N10" s="458">
        <f t="shared" ref="N10" si="6">M10+1</f>
        <v>2030</v>
      </c>
    </row>
    <row r="11" spans="2:24" x14ac:dyDescent="0.25">
      <c r="B11" s="7" t="s">
        <v>5</v>
      </c>
      <c r="C11" s="10"/>
      <c r="D11" s="430">
        <f>hist_inc_stmt!B7</f>
        <v>0</v>
      </c>
      <c r="E11" s="430">
        <f>hist_inc_stmt!C7</f>
        <v>0</v>
      </c>
      <c r="F11" s="430">
        <f>hist_inc_stmt!D7</f>
        <v>0</v>
      </c>
      <c r="G11" s="430">
        <f>hist_inc_stmt!E7</f>
        <v>0</v>
      </c>
      <c r="H11" s="430">
        <f>hist_inc_stmt!F7</f>
        <v>0</v>
      </c>
      <c r="I11" s="435" t="e">
        <f>I99</f>
        <v>#DIV/0!</v>
      </c>
      <c r="J11" s="435" t="e">
        <f t="shared" ref="J11:N11" si="7">J99</f>
        <v>#DIV/0!</v>
      </c>
      <c r="K11" s="435" t="e">
        <f t="shared" si="7"/>
        <v>#DIV/0!</v>
      </c>
      <c r="L11" s="435" t="e">
        <f t="shared" si="7"/>
        <v>#DIV/0!</v>
      </c>
      <c r="M11" s="435" t="e">
        <f t="shared" si="7"/>
        <v>#DIV/0!</v>
      </c>
      <c r="N11" s="435" t="e">
        <f t="shared" si="7"/>
        <v>#DIV/0!</v>
      </c>
      <c r="R11" s="64"/>
      <c r="V11" s="61"/>
      <c r="X11" s="61"/>
    </row>
    <row r="12" spans="2:24" x14ac:dyDescent="0.25">
      <c r="B12" s="7" t="s">
        <v>177</v>
      </c>
      <c r="C12" s="10"/>
      <c r="D12" s="430">
        <f>-hist_inc_stmt!B9</f>
        <v>0</v>
      </c>
      <c r="E12" s="430">
        <f>-hist_inc_stmt!C9</f>
        <v>0</v>
      </c>
      <c r="F12" s="430">
        <f>-hist_inc_stmt!D9</f>
        <v>0</v>
      </c>
      <c r="G12" s="430">
        <f>-hist_inc_stmt!E9</f>
        <v>0</v>
      </c>
      <c r="H12" s="430">
        <f>-hist_inc_stmt!F9</f>
        <v>0</v>
      </c>
      <c r="I12" s="435" t="e">
        <f t="shared" ref="I12:N12" si="8">I104</f>
        <v>#DIV/0!</v>
      </c>
      <c r="J12" s="435" t="e">
        <f t="shared" si="8"/>
        <v>#DIV/0!</v>
      </c>
      <c r="K12" s="435" t="e">
        <f t="shared" si="8"/>
        <v>#DIV/0!</v>
      </c>
      <c r="L12" s="435" t="e">
        <f t="shared" si="8"/>
        <v>#DIV/0!</v>
      </c>
      <c r="M12" s="435" t="e">
        <f t="shared" si="8"/>
        <v>#DIV/0!</v>
      </c>
      <c r="N12" s="435" t="e">
        <f t="shared" si="8"/>
        <v>#DIV/0!</v>
      </c>
    </row>
    <row r="13" spans="2:24" x14ac:dyDescent="0.25">
      <c r="B13" s="11" t="s">
        <v>178</v>
      </c>
      <c r="C13" s="12"/>
      <c r="D13" s="431">
        <f t="shared" ref="D13:N13" si="9">SUM(D11:D12)</f>
        <v>0</v>
      </c>
      <c r="E13" s="431">
        <f t="shared" ref="E13:H13" si="10">SUM(E11:E12)</f>
        <v>0</v>
      </c>
      <c r="F13" s="431">
        <f t="shared" si="10"/>
        <v>0</v>
      </c>
      <c r="G13" s="431">
        <f t="shared" si="10"/>
        <v>0</v>
      </c>
      <c r="H13" s="431">
        <f t="shared" si="10"/>
        <v>0</v>
      </c>
      <c r="I13" s="436" t="e">
        <f t="shared" si="9"/>
        <v>#DIV/0!</v>
      </c>
      <c r="J13" s="436" t="e">
        <f t="shared" si="9"/>
        <v>#DIV/0!</v>
      </c>
      <c r="K13" s="436" t="e">
        <f t="shared" si="9"/>
        <v>#DIV/0!</v>
      </c>
      <c r="L13" s="436" t="e">
        <f t="shared" si="9"/>
        <v>#DIV/0!</v>
      </c>
      <c r="M13" s="436" t="e">
        <f t="shared" si="9"/>
        <v>#DIV/0!</v>
      </c>
      <c r="N13" s="436" t="e">
        <f t="shared" si="9"/>
        <v>#DIV/0!</v>
      </c>
    </row>
    <row r="14" spans="2:24" x14ac:dyDescent="0.25">
      <c r="B14" s="7" t="s">
        <v>179</v>
      </c>
      <c r="C14" s="10"/>
      <c r="D14" s="430">
        <f>-hist_inc_stmt!B18</f>
        <v>0</v>
      </c>
      <c r="E14" s="430">
        <f>-hist_inc_stmt!C18</f>
        <v>0</v>
      </c>
      <c r="F14" s="430">
        <f>-hist_inc_stmt!D18</f>
        <v>0</v>
      </c>
      <c r="G14" s="430">
        <f>-hist_inc_stmt!E18</f>
        <v>0</v>
      </c>
      <c r="H14" s="430">
        <f>-hist_inc_stmt!F18</f>
        <v>0</v>
      </c>
      <c r="I14" s="435" t="e">
        <f t="shared" ref="I14:N14" si="11">I111</f>
        <v>#DIV/0!</v>
      </c>
      <c r="J14" s="435" t="e">
        <f t="shared" si="11"/>
        <v>#DIV/0!</v>
      </c>
      <c r="K14" s="435" t="e">
        <f t="shared" si="11"/>
        <v>#DIV/0!</v>
      </c>
      <c r="L14" s="435" t="e">
        <f t="shared" si="11"/>
        <v>#DIV/0!</v>
      </c>
      <c r="M14" s="435" t="e">
        <f t="shared" si="11"/>
        <v>#DIV/0!</v>
      </c>
      <c r="N14" s="435" t="e">
        <f t="shared" si="11"/>
        <v>#DIV/0!</v>
      </c>
    </row>
    <row r="15" spans="2:24" x14ac:dyDescent="0.25">
      <c r="B15" s="11" t="s">
        <v>180</v>
      </c>
      <c r="C15" s="12"/>
      <c r="D15" s="431">
        <f t="shared" ref="D15:N15" si="12">(D13+D14)</f>
        <v>0</v>
      </c>
      <c r="E15" s="431">
        <f t="shared" ref="E15:H15" si="13">(E13+E14)</f>
        <v>0</v>
      </c>
      <c r="F15" s="431">
        <f t="shared" si="13"/>
        <v>0</v>
      </c>
      <c r="G15" s="431">
        <f t="shared" si="13"/>
        <v>0</v>
      </c>
      <c r="H15" s="431">
        <f t="shared" si="13"/>
        <v>0</v>
      </c>
      <c r="I15" s="436" t="e">
        <f>(I13+I14)</f>
        <v>#DIV/0!</v>
      </c>
      <c r="J15" s="436" t="e">
        <f t="shared" si="12"/>
        <v>#DIV/0!</v>
      </c>
      <c r="K15" s="436" t="e">
        <f t="shared" si="12"/>
        <v>#DIV/0!</v>
      </c>
      <c r="L15" s="436" t="e">
        <f t="shared" si="12"/>
        <v>#DIV/0!</v>
      </c>
      <c r="M15" s="436" t="e">
        <f t="shared" si="12"/>
        <v>#DIV/0!</v>
      </c>
      <c r="N15" s="436" t="e">
        <f t="shared" si="12"/>
        <v>#DIV/0!</v>
      </c>
    </row>
    <row r="16" spans="2:24" x14ac:dyDescent="0.25">
      <c r="B16" s="7" t="s">
        <v>181</v>
      </c>
      <c r="C16" s="10"/>
      <c r="D16" s="430">
        <f>hist_inc_stmt!B22</f>
        <v>0</v>
      </c>
      <c r="E16" s="430">
        <f>hist_inc_stmt!C22</f>
        <v>0</v>
      </c>
      <c r="F16" s="430">
        <f>hist_inc_stmt!D22</f>
        <v>0</v>
      </c>
      <c r="G16" s="430">
        <f>hist_inc_stmt!E22</f>
        <v>0</v>
      </c>
      <c r="H16" s="430">
        <f>hist_inc_stmt!F22</f>
        <v>0</v>
      </c>
      <c r="I16" s="435" t="e">
        <f t="shared" ref="I16:N16" si="14">I118</f>
        <v>#DIV/0!</v>
      </c>
      <c r="J16" s="435" t="e">
        <f t="shared" si="14"/>
        <v>#DIV/0!</v>
      </c>
      <c r="K16" s="435" t="e">
        <f t="shared" si="14"/>
        <v>#DIV/0!</v>
      </c>
      <c r="L16" s="435" t="e">
        <f t="shared" si="14"/>
        <v>#DIV/0!</v>
      </c>
      <c r="M16" s="435" t="e">
        <f t="shared" si="14"/>
        <v>#DIV/0!</v>
      </c>
      <c r="N16" s="435" t="e">
        <f t="shared" si="14"/>
        <v>#DIV/0!</v>
      </c>
    </row>
    <row r="17" spans="2:21" x14ac:dyDescent="0.25">
      <c r="B17" s="7" t="s">
        <v>182</v>
      </c>
      <c r="C17" s="10"/>
      <c r="D17" s="430">
        <f>SUM(hist_inc_stmt!B26:B28)+hist_inc_stmt!B23</f>
        <v>0</v>
      </c>
      <c r="E17" s="430">
        <f>SUM(hist_inc_stmt!C26:C28)+hist_inc_stmt!C23</f>
        <v>0</v>
      </c>
      <c r="F17" s="430">
        <f>SUM(hist_inc_stmt!D26:D28)+hist_inc_stmt!D23</f>
        <v>0</v>
      </c>
      <c r="G17" s="430">
        <f>SUM(hist_inc_stmt!E26:E28)+hist_inc_stmt!E23</f>
        <v>0</v>
      </c>
      <c r="H17" s="430">
        <f>SUM(hist_inc_stmt!F26:F28)+hist_inc_stmt!F23</f>
        <v>0</v>
      </c>
      <c r="I17" s="435" t="e">
        <f t="shared" ref="I17:N17" si="15">I123</f>
        <v>#DIV/0!</v>
      </c>
      <c r="J17" s="435" t="e">
        <f t="shared" si="15"/>
        <v>#DIV/0!</v>
      </c>
      <c r="K17" s="435" t="e">
        <f t="shared" si="15"/>
        <v>#DIV/0!</v>
      </c>
      <c r="L17" s="435" t="e">
        <f t="shared" si="15"/>
        <v>#DIV/0!</v>
      </c>
      <c r="M17" s="435" t="e">
        <f t="shared" si="15"/>
        <v>#DIV/0!</v>
      </c>
      <c r="N17" s="435" t="e">
        <f t="shared" si="15"/>
        <v>#DIV/0!</v>
      </c>
    </row>
    <row r="18" spans="2:21" x14ac:dyDescent="0.25">
      <c r="B18" s="7" t="s">
        <v>183</v>
      </c>
      <c r="C18" s="10"/>
      <c r="D18" s="430">
        <f>SUM(hist_inc_stmt!B31:B35)</f>
        <v>0</v>
      </c>
      <c r="E18" s="430">
        <f>SUM(hist_inc_stmt!C31:C35)</f>
        <v>0</v>
      </c>
      <c r="F18" s="430">
        <f>SUM(hist_inc_stmt!D31:D35)</f>
        <v>0</v>
      </c>
      <c r="G18" s="430">
        <f>SUM(hist_inc_stmt!E31:E35)</f>
        <v>0</v>
      </c>
      <c r="H18" s="430">
        <f>SUM(hist_inc_stmt!F31:F35)</f>
        <v>0</v>
      </c>
      <c r="I18" s="435" t="e">
        <f t="shared" ref="I18:N18" si="16">I129</f>
        <v>#DIV/0!</v>
      </c>
      <c r="J18" s="435" t="e">
        <f t="shared" si="16"/>
        <v>#DIV/0!</v>
      </c>
      <c r="K18" s="435" t="e">
        <f t="shared" si="16"/>
        <v>#DIV/0!</v>
      </c>
      <c r="L18" s="435" t="e">
        <f t="shared" si="16"/>
        <v>#DIV/0!</v>
      </c>
      <c r="M18" s="435" t="e">
        <f t="shared" si="16"/>
        <v>#DIV/0!</v>
      </c>
      <c r="N18" s="435" t="e">
        <f t="shared" si="16"/>
        <v>#DIV/0!</v>
      </c>
    </row>
    <row r="19" spans="2:21" x14ac:dyDescent="0.25">
      <c r="B19" s="11" t="s">
        <v>184</v>
      </c>
      <c r="C19" s="12"/>
      <c r="D19" s="431">
        <f>SUM(D15:D18)</f>
        <v>0</v>
      </c>
      <c r="E19" s="431">
        <f t="shared" ref="E19:H19" si="17">SUM(E15:E18)</f>
        <v>0</v>
      </c>
      <c r="F19" s="431">
        <f t="shared" si="17"/>
        <v>0</v>
      </c>
      <c r="G19" s="431">
        <f t="shared" si="17"/>
        <v>0</v>
      </c>
      <c r="H19" s="431">
        <f t="shared" si="17"/>
        <v>0</v>
      </c>
      <c r="I19" s="436" t="e">
        <f t="shared" ref="I19:N19" si="18">SUM(I15:I18)</f>
        <v>#DIV/0!</v>
      </c>
      <c r="J19" s="436" t="e">
        <f t="shared" si="18"/>
        <v>#DIV/0!</v>
      </c>
      <c r="K19" s="436" t="e">
        <f t="shared" si="18"/>
        <v>#DIV/0!</v>
      </c>
      <c r="L19" s="436" t="e">
        <f t="shared" si="18"/>
        <v>#DIV/0!</v>
      </c>
      <c r="M19" s="436" t="e">
        <f t="shared" si="18"/>
        <v>#DIV/0!</v>
      </c>
      <c r="N19" s="436" t="e">
        <f t="shared" si="18"/>
        <v>#DIV/0!</v>
      </c>
    </row>
    <row r="20" spans="2:21" x14ac:dyDescent="0.25">
      <c r="B20" s="7" t="s">
        <v>185</v>
      </c>
      <c r="C20" s="10"/>
      <c r="D20" s="432">
        <f>-hist_inc_stmt!B38</f>
        <v>0</v>
      </c>
      <c r="E20" s="432">
        <f>-hist_inc_stmt!C38</f>
        <v>0</v>
      </c>
      <c r="F20" s="432">
        <f>-hist_inc_stmt!D38</f>
        <v>0</v>
      </c>
      <c r="G20" s="432">
        <f>-hist_inc_stmt!E38</f>
        <v>0</v>
      </c>
      <c r="H20" s="432">
        <f>-hist_inc_stmt!F38</f>
        <v>0</v>
      </c>
      <c r="I20" s="437" t="e">
        <f t="shared" ref="I20:N20" si="19">I133</f>
        <v>#DIV/0!</v>
      </c>
      <c r="J20" s="437" t="e">
        <f t="shared" si="19"/>
        <v>#DIV/0!</v>
      </c>
      <c r="K20" s="437" t="e">
        <f t="shared" si="19"/>
        <v>#DIV/0!</v>
      </c>
      <c r="L20" s="437" t="e">
        <f t="shared" si="19"/>
        <v>#DIV/0!</v>
      </c>
      <c r="M20" s="437" t="e">
        <f t="shared" si="19"/>
        <v>#DIV/0!</v>
      </c>
      <c r="N20" s="437" t="e">
        <f t="shared" si="19"/>
        <v>#DIV/0!</v>
      </c>
    </row>
    <row r="21" spans="2:21" x14ac:dyDescent="0.25">
      <c r="B21" s="13" t="s">
        <v>186</v>
      </c>
      <c r="C21" s="14"/>
      <c r="D21" s="433">
        <f>SUM(D19:D20)</f>
        <v>0</v>
      </c>
      <c r="E21" s="433">
        <f t="shared" ref="E21:G21" si="20">SUM(E19:E20)</f>
        <v>0</v>
      </c>
      <c r="F21" s="433">
        <f t="shared" si="20"/>
        <v>0</v>
      </c>
      <c r="G21" s="433">
        <f t="shared" si="20"/>
        <v>0</v>
      </c>
      <c r="H21" s="433">
        <f>SUM(H19:H20)</f>
        <v>0</v>
      </c>
      <c r="I21" s="438" t="e">
        <f t="shared" ref="I21:N21" si="21">I19+I20</f>
        <v>#DIV/0!</v>
      </c>
      <c r="J21" s="438" t="e">
        <f t="shared" si="21"/>
        <v>#DIV/0!</v>
      </c>
      <c r="K21" s="438" t="e">
        <f t="shared" si="21"/>
        <v>#DIV/0!</v>
      </c>
      <c r="L21" s="438" t="e">
        <f t="shared" si="21"/>
        <v>#DIV/0!</v>
      </c>
      <c r="M21" s="438" t="e">
        <f t="shared" si="21"/>
        <v>#DIV/0!</v>
      </c>
      <c r="N21" s="438" t="e">
        <f t="shared" si="21"/>
        <v>#DIV/0!</v>
      </c>
    </row>
    <row r="22" spans="2:21" x14ac:dyDescent="0.25">
      <c r="B22" s="7" t="s">
        <v>187</v>
      </c>
      <c r="C22" s="10"/>
      <c r="D22" s="432">
        <f>hist_inc_stmt!B45</f>
        <v>0</v>
      </c>
      <c r="E22" s="432">
        <f>hist_inc_stmt!C45</f>
        <v>0</v>
      </c>
      <c r="F22" s="432">
        <f>hist_inc_stmt!D45</f>
        <v>0</v>
      </c>
      <c r="G22" s="432">
        <f>hist_inc_stmt!E45</f>
        <v>0</v>
      </c>
      <c r="H22" s="432">
        <f>hist_inc_stmt!F45</f>
        <v>0</v>
      </c>
      <c r="I22" s="437" t="e">
        <f t="shared" ref="I22:N22" si="22">I139</f>
        <v>#DIV/0!</v>
      </c>
      <c r="J22" s="437" t="e">
        <f t="shared" si="22"/>
        <v>#DIV/0!</v>
      </c>
      <c r="K22" s="437" t="e">
        <f t="shared" si="22"/>
        <v>#DIV/0!</v>
      </c>
      <c r="L22" s="437" t="e">
        <f t="shared" si="22"/>
        <v>#DIV/0!</v>
      </c>
      <c r="M22" s="437" t="e">
        <f t="shared" si="22"/>
        <v>#DIV/0!</v>
      </c>
      <c r="N22" s="437" t="e">
        <f t="shared" si="22"/>
        <v>#DIV/0!</v>
      </c>
    </row>
    <row r="23" spans="2:21" ht="16.5" thickBot="1" x14ac:dyDescent="0.3">
      <c r="B23" s="15" t="s">
        <v>188</v>
      </c>
      <c r="C23" s="16"/>
      <c r="D23" s="434">
        <f t="shared" ref="D23:N23" si="23">SUM(D21:D22)</f>
        <v>0</v>
      </c>
      <c r="E23" s="434">
        <f t="shared" ref="E23:H23" si="24">SUM(E21:E22)</f>
        <v>0</v>
      </c>
      <c r="F23" s="434">
        <f t="shared" si="24"/>
        <v>0</v>
      </c>
      <c r="G23" s="434">
        <f t="shared" si="24"/>
        <v>0</v>
      </c>
      <c r="H23" s="434">
        <f t="shared" si="24"/>
        <v>0</v>
      </c>
      <c r="I23" s="439" t="e">
        <f t="shared" si="23"/>
        <v>#DIV/0!</v>
      </c>
      <c r="J23" s="439" t="e">
        <f t="shared" si="23"/>
        <v>#DIV/0!</v>
      </c>
      <c r="K23" s="439" t="e">
        <f t="shared" si="23"/>
        <v>#DIV/0!</v>
      </c>
      <c r="L23" s="439" t="e">
        <f t="shared" si="23"/>
        <v>#DIV/0!</v>
      </c>
      <c r="M23" s="439" t="e">
        <f t="shared" si="23"/>
        <v>#DIV/0!</v>
      </c>
      <c r="N23" s="439" t="e">
        <f t="shared" si="23"/>
        <v>#DIV/0!</v>
      </c>
    </row>
    <row r="24" spans="2:21" ht="16.5" thickTop="1" x14ac:dyDescent="0.25">
      <c r="B24" s="17"/>
      <c r="C24" s="18"/>
      <c r="D24" s="19"/>
      <c r="E24" s="19"/>
      <c r="F24" s="19"/>
      <c r="G24" s="19"/>
      <c r="H24" s="19"/>
      <c r="I24" s="20"/>
      <c r="J24" s="20"/>
      <c r="K24" s="20"/>
      <c r="L24" s="20"/>
      <c r="M24" s="20"/>
      <c r="N24" s="20"/>
    </row>
    <row r="25" spans="2:21" s="21" customFormat="1" x14ac:dyDescent="0.25">
      <c r="B25" s="22"/>
      <c r="C25" s="10"/>
      <c r="D25" s="10"/>
      <c r="E25" s="10"/>
      <c r="F25" s="10"/>
      <c r="G25" s="10"/>
      <c r="H25" s="10"/>
      <c r="I25" s="10"/>
      <c r="J25" s="10"/>
      <c r="K25" s="10"/>
      <c r="L25" s="10"/>
      <c r="M25" s="10"/>
      <c r="N25" s="10"/>
      <c r="R25" s="5"/>
      <c r="S25" s="5"/>
      <c r="T25" s="5"/>
      <c r="U25" s="5"/>
    </row>
    <row r="26" spans="2:21" ht="18.75" x14ac:dyDescent="0.25">
      <c r="B26" s="459" t="s">
        <v>189</v>
      </c>
      <c r="C26" s="460"/>
      <c r="D26" s="457">
        <f t="shared" ref="D26" si="25">D10</f>
        <v>2020</v>
      </c>
      <c r="E26" s="457">
        <f t="shared" ref="E26:H26" si="26">E10</f>
        <v>2021</v>
      </c>
      <c r="F26" s="457">
        <f t="shared" si="26"/>
        <v>2022</v>
      </c>
      <c r="G26" s="457">
        <f t="shared" si="26"/>
        <v>2023</v>
      </c>
      <c r="H26" s="457">
        <f t="shared" si="26"/>
        <v>2024</v>
      </c>
      <c r="I26" s="458">
        <f t="shared" ref="I26" si="27">H26+1</f>
        <v>2025</v>
      </c>
      <c r="J26" s="458">
        <f t="shared" ref="J26" si="28">I26+1</f>
        <v>2026</v>
      </c>
      <c r="K26" s="458">
        <f t="shared" ref="K26" si="29">J26+1</f>
        <v>2027</v>
      </c>
      <c r="L26" s="458">
        <f t="shared" ref="L26" si="30">K26+1</f>
        <v>2028</v>
      </c>
      <c r="M26" s="458">
        <f t="shared" ref="M26" si="31">L26+1</f>
        <v>2029</v>
      </c>
      <c r="N26" s="458">
        <f t="shared" ref="N26" si="32">M26+1</f>
        <v>2030</v>
      </c>
      <c r="Q26" s="21"/>
      <c r="R26" s="21"/>
      <c r="U26" s="21"/>
    </row>
    <row r="27" spans="2:21" x14ac:dyDescent="0.25">
      <c r="B27" s="23" t="s">
        <v>190</v>
      </c>
      <c r="C27" s="18"/>
      <c r="D27" s="10"/>
      <c r="E27" s="10"/>
      <c r="F27" s="10"/>
      <c r="G27" s="10"/>
      <c r="H27" s="10"/>
      <c r="I27" s="24"/>
      <c r="J27" s="24"/>
      <c r="K27" s="24"/>
      <c r="L27" s="24"/>
      <c r="M27" s="24"/>
      <c r="N27" s="24"/>
    </row>
    <row r="28" spans="2:21" x14ac:dyDescent="0.25">
      <c r="B28" s="22" t="s">
        <v>191</v>
      </c>
      <c r="C28" s="10"/>
      <c r="D28" s="445">
        <f>hist_bal_sht!B5</f>
        <v>0</v>
      </c>
      <c r="E28" s="445">
        <f>hist_bal_sht!C5</f>
        <v>0</v>
      </c>
      <c r="F28" s="445">
        <f>hist_bal_sht!D5</f>
        <v>0</v>
      </c>
      <c r="G28" s="445">
        <f>hist_bal_sht!E5</f>
        <v>0</v>
      </c>
      <c r="H28" s="445">
        <f>hist_bal_sht!F5</f>
        <v>0</v>
      </c>
      <c r="I28" s="443" t="e">
        <f t="shared" ref="I28:N28" si="33">I290</f>
        <v>#DIV/0!</v>
      </c>
      <c r="J28" s="443" t="e">
        <f t="shared" si="33"/>
        <v>#DIV/0!</v>
      </c>
      <c r="K28" s="443" t="e">
        <f t="shared" si="33"/>
        <v>#DIV/0!</v>
      </c>
      <c r="L28" s="443" t="e">
        <f t="shared" si="33"/>
        <v>#DIV/0!</v>
      </c>
      <c r="M28" s="443" t="e">
        <f t="shared" si="33"/>
        <v>#DIV/0!</v>
      </c>
      <c r="N28" s="443" t="e">
        <f t="shared" si="33"/>
        <v>#DIV/0!</v>
      </c>
    </row>
    <row r="29" spans="2:21" x14ac:dyDescent="0.25">
      <c r="B29" s="22" t="s">
        <v>192</v>
      </c>
      <c r="C29" s="10"/>
      <c r="D29" s="445">
        <f>hist_bal_sht!B11</f>
        <v>0</v>
      </c>
      <c r="E29" s="445">
        <f>hist_bal_sht!C11</f>
        <v>0</v>
      </c>
      <c r="F29" s="445">
        <f>hist_bal_sht!D11</f>
        <v>0</v>
      </c>
      <c r="G29" s="445">
        <f>hist_bal_sht!E11</f>
        <v>0</v>
      </c>
      <c r="H29" s="445">
        <f>hist_bal_sht!F11</f>
        <v>0</v>
      </c>
      <c r="I29" s="443" t="e">
        <f t="shared" ref="I29:N29" si="34">I147</f>
        <v>#DIV/0!</v>
      </c>
      <c r="J29" s="443" t="e">
        <f t="shared" si="34"/>
        <v>#DIV/0!</v>
      </c>
      <c r="K29" s="443" t="e">
        <f t="shared" si="34"/>
        <v>#DIV/0!</v>
      </c>
      <c r="L29" s="443" t="e">
        <f t="shared" si="34"/>
        <v>#DIV/0!</v>
      </c>
      <c r="M29" s="443" t="e">
        <f t="shared" si="34"/>
        <v>#DIV/0!</v>
      </c>
      <c r="N29" s="443" t="e">
        <f t="shared" si="34"/>
        <v>#DIV/0!</v>
      </c>
      <c r="P29" s="21"/>
    </row>
    <row r="30" spans="2:21" x14ac:dyDescent="0.25">
      <c r="B30" s="22" t="s">
        <v>193</v>
      </c>
      <c r="C30" s="10"/>
      <c r="D30" s="445">
        <f>hist_bal_sht!B8</f>
        <v>0</v>
      </c>
      <c r="E30" s="445">
        <f>hist_bal_sht!C8</f>
        <v>0</v>
      </c>
      <c r="F30" s="445">
        <f>hist_bal_sht!D8</f>
        <v>0</v>
      </c>
      <c r="G30" s="445">
        <f>hist_bal_sht!E8</f>
        <v>0</v>
      </c>
      <c r="H30" s="445">
        <f>hist_bal_sht!F8</f>
        <v>0</v>
      </c>
      <c r="I30" s="443" t="e">
        <f t="shared" ref="I30:N30" si="35">I152</f>
        <v>#DIV/0!</v>
      </c>
      <c r="J30" s="443" t="e">
        <f t="shared" si="35"/>
        <v>#DIV/0!</v>
      </c>
      <c r="K30" s="443" t="e">
        <f t="shared" si="35"/>
        <v>#DIV/0!</v>
      </c>
      <c r="L30" s="443" t="e">
        <f t="shared" si="35"/>
        <v>#DIV/0!</v>
      </c>
      <c r="M30" s="443" t="e">
        <f t="shared" si="35"/>
        <v>#DIV/0!</v>
      </c>
      <c r="N30" s="443" t="e">
        <f t="shared" si="35"/>
        <v>#DIV/0!</v>
      </c>
      <c r="P30" s="21"/>
    </row>
    <row r="31" spans="2:21" x14ac:dyDescent="0.25">
      <c r="B31" s="22" t="s">
        <v>82</v>
      </c>
      <c r="C31" s="10"/>
      <c r="D31" s="445">
        <v>0</v>
      </c>
      <c r="E31" s="445">
        <v>0</v>
      </c>
      <c r="F31" s="445">
        <v>0</v>
      </c>
      <c r="G31" s="445">
        <v>0</v>
      </c>
      <c r="H31" s="445">
        <v>0</v>
      </c>
      <c r="I31" s="443">
        <f t="shared" ref="I31:N31" si="36">I157</f>
        <v>0</v>
      </c>
      <c r="J31" s="443" t="e">
        <f t="shared" si="36"/>
        <v>#DIV/0!</v>
      </c>
      <c r="K31" s="443" t="e">
        <f t="shared" si="36"/>
        <v>#DIV/0!</v>
      </c>
      <c r="L31" s="443" t="e">
        <f t="shared" si="36"/>
        <v>#DIV/0!</v>
      </c>
      <c r="M31" s="443" t="e">
        <f t="shared" si="36"/>
        <v>#DIV/0!</v>
      </c>
      <c r="N31" s="443" t="e">
        <f t="shared" si="36"/>
        <v>#DIV/0!</v>
      </c>
      <c r="P31" s="21"/>
    </row>
    <row r="32" spans="2:21" x14ac:dyDescent="0.25">
      <c r="B32" s="25" t="s">
        <v>194</v>
      </c>
      <c r="C32" s="26"/>
      <c r="D32" s="445">
        <v>0</v>
      </c>
      <c r="E32" s="445">
        <v>0</v>
      </c>
      <c r="F32" s="445">
        <v>0</v>
      </c>
      <c r="G32" s="445">
        <v>0</v>
      </c>
      <c r="H32" s="445">
        <v>0</v>
      </c>
      <c r="I32" s="443" t="e">
        <f t="shared" ref="I32:N32" si="37">I163</f>
        <v>#DIV/0!</v>
      </c>
      <c r="J32" s="443" t="e">
        <f t="shared" si="37"/>
        <v>#DIV/0!</v>
      </c>
      <c r="K32" s="443" t="e">
        <f t="shared" si="37"/>
        <v>#DIV/0!</v>
      </c>
      <c r="L32" s="443" t="e">
        <f t="shared" si="37"/>
        <v>#DIV/0!</v>
      </c>
      <c r="M32" s="443" t="e">
        <f t="shared" si="37"/>
        <v>#DIV/0!</v>
      </c>
      <c r="N32" s="443" t="e">
        <f t="shared" si="37"/>
        <v>#DIV/0!</v>
      </c>
      <c r="P32" s="21"/>
    </row>
    <row r="33" spans="2:16" x14ac:dyDescent="0.25">
      <c r="B33" s="27" t="s">
        <v>195</v>
      </c>
      <c r="C33" s="12"/>
      <c r="D33" s="431">
        <f t="shared" ref="D33:N33" si="38">SUM(D28:D32)</f>
        <v>0</v>
      </c>
      <c r="E33" s="431">
        <f t="shared" ref="E33:H33" si="39">SUM(E28:E32)</f>
        <v>0</v>
      </c>
      <c r="F33" s="431">
        <f t="shared" si="39"/>
        <v>0</v>
      </c>
      <c r="G33" s="431">
        <f t="shared" si="39"/>
        <v>0</v>
      </c>
      <c r="H33" s="431">
        <f t="shared" si="39"/>
        <v>0</v>
      </c>
      <c r="I33" s="436" t="e">
        <f t="shared" si="38"/>
        <v>#DIV/0!</v>
      </c>
      <c r="J33" s="436" t="e">
        <f t="shared" si="38"/>
        <v>#DIV/0!</v>
      </c>
      <c r="K33" s="436" t="e">
        <f t="shared" si="38"/>
        <v>#DIV/0!</v>
      </c>
      <c r="L33" s="436" t="e">
        <f t="shared" si="38"/>
        <v>#DIV/0!</v>
      </c>
      <c r="M33" s="436" t="e">
        <f t="shared" si="38"/>
        <v>#DIV/0!</v>
      </c>
      <c r="N33" s="436" t="e">
        <f t="shared" si="38"/>
        <v>#DIV/0!</v>
      </c>
    </row>
    <row r="34" spans="2:16" x14ac:dyDescent="0.25">
      <c r="B34" s="28" t="s">
        <v>196</v>
      </c>
      <c r="C34" s="29"/>
      <c r="D34" s="446">
        <f>hist_bal_sht!B16</f>
        <v>0</v>
      </c>
      <c r="E34" s="446">
        <f>hist_bal_sht!C16</f>
        <v>0</v>
      </c>
      <c r="F34" s="446">
        <f>hist_bal_sht!D16</f>
        <v>0</v>
      </c>
      <c r="G34" s="446">
        <f>hist_bal_sht!E16</f>
        <v>0</v>
      </c>
      <c r="H34" s="446">
        <f>hist_bal_sht!F16</f>
        <v>0</v>
      </c>
      <c r="I34" s="444" t="e">
        <f t="shared" ref="I34:N34" si="40">I169</f>
        <v>#DIV/0!</v>
      </c>
      <c r="J34" s="444" t="e">
        <f t="shared" si="40"/>
        <v>#DIV/0!</v>
      </c>
      <c r="K34" s="444" t="e">
        <f t="shared" si="40"/>
        <v>#DIV/0!</v>
      </c>
      <c r="L34" s="444" t="e">
        <f t="shared" si="40"/>
        <v>#DIV/0!</v>
      </c>
      <c r="M34" s="444" t="e">
        <f t="shared" si="40"/>
        <v>#DIV/0!</v>
      </c>
      <c r="N34" s="444" t="e">
        <f t="shared" si="40"/>
        <v>#DIV/0!</v>
      </c>
    </row>
    <row r="35" spans="2:16" x14ac:dyDescent="0.25">
      <c r="B35" s="22" t="s">
        <v>197</v>
      </c>
      <c r="C35" s="10"/>
      <c r="D35" s="445">
        <f>hist_bal_sht!B23-hist_bal_sht!B16-hist_bal_sht!B12</f>
        <v>0</v>
      </c>
      <c r="E35" s="445">
        <f>hist_bal_sht!C23-hist_bal_sht!C16-hist_bal_sht!C12</f>
        <v>0</v>
      </c>
      <c r="F35" s="445">
        <f>hist_bal_sht!D23-hist_bal_sht!D16-hist_bal_sht!D12</f>
        <v>0</v>
      </c>
      <c r="G35" s="445">
        <f>hist_bal_sht!E23-hist_bal_sht!E16-hist_bal_sht!E12</f>
        <v>0</v>
      </c>
      <c r="H35" s="445">
        <f>hist_bal_sht!F23-hist_bal_sht!F16-hist_bal_sht!F12</f>
        <v>0</v>
      </c>
      <c r="I35" s="443" t="e">
        <f t="shared" ref="I35:N35" si="41">I180</f>
        <v>#DIV/0!</v>
      </c>
      <c r="J35" s="443" t="e">
        <f t="shared" si="41"/>
        <v>#DIV/0!</v>
      </c>
      <c r="K35" s="443" t="e">
        <f t="shared" si="41"/>
        <v>#DIV/0!</v>
      </c>
      <c r="L35" s="443" t="e">
        <f t="shared" si="41"/>
        <v>#DIV/0!</v>
      </c>
      <c r="M35" s="443" t="e">
        <f t="shared" si="41"/>
        <v>#DIV/0!</v>
      </c>
      <c r="N35" s="443" t="e">
        <f t="shared" si="41"/>
        <v>#DIV/0!</v>
      </c>
    </row>
    <row r="36" spans="2:16" x14ac:dyDescent="0.25">
      <c r="B36" s="27" t="s">
        <v>198</v>
      </c>
      <c r="C36" s="12"/>
      <c r="D36" s="431">
        <f>SUM(D34:D35)</f>
        <v>0</v>
      </c>
      <c r="E36" s="431">
        <f t="shared" ref="E36:H36" si="42">SUM(E34:E35)</f>
        <v>0</v>
      </c>
      <c r="F36" s="431">
        <f t="shared" si="42"/>
        <v>0</v>
      </c>
      <c r="G36" s="431">
        <f t="shared" si="42"/>
        <v>0</v>
      </c>
      <c r="H36" s="431">
        <f t="shared" si="42"/>
        <v>0</v>
      </c>
      <c r="I36" s="436" t="e">
        <f t="shared" ref="I36:N36" si="43">SUM(I34:I35)</f>
        <v>#DIV/0!</v>
      </c>
      <c r="J36" s="436" t="e">
        <f t="shared" si="43"/>
        <v>#DIV/0!</v>
      </c>
      <c r="K36" s="436" t="e">
        <f t="shared" si="43"/>
        <v>#DIV/0!</v>
      </c>
      <c r="L36" s="436" t="e">
        <f t="shared" si="43"/>
        <v>#DIV/0!</v>
      </c>
      <c r="M36" s="436" t="e">
        <f t="shared" si="43"/>
        <v>#DIV/0!</v>
      </c>
      <c r="N36" s="436" t="e">
        <f t="shared" si="43"/>
        <v>#DIV/0!</v>
      </c>
    </row>
    <row r="37" spans="2:16" ht="16.5" thickBot="1" x14ac:dyDescent="0.3">
      <c r="B37" s="30" t="s">
        <v>92</v>
      </c>
      <c r="C37" s="16"/>
      <c r="D37" s="434">
        <f>D33+D36</f>
        <v>0</v>
      </c>
      <c r="E37" s="434">
        <f t="shared" ref="E37:H37" si="44">E33+E36</f>
        <v>0</v>
      </c>
      <c r="F37" s="434">
        <f t="shared" si="44"/>
        <v>0</v>
      </c>
      <c r="G37" s="434">
        <f t="shared" si="44"/>
        <v>0</v>
      </c>
      <c r="H37" s="434">
        <f t="shared" si="44"/>
        <v>0</v>
      </c>
      <c r="I37" s="439" t="e">
        <f t="shared" ref="I37:N37" si="45">I33+I36</f>
        <v>#DIV/0!</v>
      </c>
      <c r="J37" s="439" t="e">
        <f t="shared" si="45"/>
        <v>#DIV/0!</v>
      </c>
      <c r="K37" s="439" t="e">
        <f t="shared" si="45"/>
        <v>#DIV/0!</v>
      </c>
      <c r="L37" s="439" t="e">
        <f t="shared" si="45"/>
        <v>#DIV/0!</v>
      </c>
      <c r="M37" s="439" t="e">
        <f t="shared" si="45"/>
        <v>#DIV/0!</v>
      </c>
      <c r="N37" s="439" t="e">
        <f t="shared" si="45"/>
        <v>#DIV/0!</v>
      </c>
    </row>
    <row r="38" spans="2:16" ht="16.5" thickTop="1" x14ac:dyDescent="0.25">
      <c r="B38" s="23"/>
      <c r="C38" s="18"/>
      <c r="D38" s="18"/>
      <c r="E38" s="18"/>
      <c r="F38" s="18"/>
      <c r="G38" s="18"/>
      <c r="H38" s="18"/>
      <c r="I38" s="20"/>
      <c r="J38" s="20"/>
      <c r="K38" s="20"/>
      <c r="L38" s="20"/>
      <c r="M38" s="20"/>
      <c r="N38" s="20"/>
    </row>
    <row r="39" spans="2:16" x14ac:dyDescent="0.25">
      <c r="B39" s="23" t="s">
        <v>199</v>
      </c>
      <c r="C39" s="19"/>
      <c r="D39" s="31"/>
      <c r="E39" s="31"/>
      <c r="F39" s="31"/>
      <c r="G39" s="31"/>
      <c r="H39" s="31"/>
      <c r="I39" s="32"/>
      <c r="J39" s="32"/>
      <c r="K39" s="32"/>
      <c r="L39" s="32"/>
      <c r="M39" s="32"/>
      <c r="N39" s="32"/>
    </row>
    <row r="40" spans="2:16" x14ac:dyDescent="0.25">
      <c r="B40" s="22" t="s">
        <v>200</v>
      </c>
      <c r="C40" s="10"/>
      <c r="D40" s="445">
        <f>hist_bal_sht!B26</f>
        <v>0</v>
      </c>
      <c r="E40" s="445">
        <f>hist_bal_sht!C26</f>
        <v>0</v>
      </c>
      <c r="F40" s="445">
        <f>hist_bal_sht!D26</f>
        <v>0</v>
      </c>
      <c r="G40" s="445">
        <f>hist_bal_sht!E26</f>
        <v>0</v>
      </c>
      <c r="H40" s="445">
        <f>hist_bal_sht!F26</f>
        <v>0</v>
      </c>
      <c r="I40" s="443" t="e">
        <f t="shared" ref="I40:N40" si="46">I188</f>
        <v>#DIV/0!</v>
      </c>
      <c r="J40" s="443" t="e">
        <f t="shared" si="46"/>
        <v>#DIV/0!</v>
      </c>
      <c r="K40" s="443" t="e">
        <f t="shared" si="46"/>
        <v>#DIV/0!</v>
      </c>
      <c r="L40" s="443" t="e">
        <f t="shared" si="46"/>
        <v>#DIV/0!</v>
      </c>
      <c r="M40" s="443" t="e">
        <f t="shared" si="46"/>
        <v>#DIV/0!</v>
      </c>
      <c r="N40" s="443" t="e">
        <f t="shared" si="46"/>
        <v>#DIV/0!</v>
      </c>
    </row>
    <row r="41" spans="2:16" x14ac:dyDescent="0.25">
      <c r="B41" s="22" t="s">
        <v>201</v>
      </c>
      <c r="C41" s="10"/>
      <c r="D41" s="445">
        <v>0</v>
      </c>
      <c r="E41" s="445">
        <v>0</v>
      </c>
      <c r="F41" s="445">
        <v>0</v>
      </c>
      <c r="G41" s="445">
        <v>0</v>
      </c>
      <c r="H41" s="445">
        <v>0</v>
      </c>
      <c r="I41" s="443">
        <f t="shared" ref="I41:N41" si="47">I193</f>
        <v>0</v>
      </c>
      <c r="J41" s="443">
        <f t="shared" si="47"/>
        <v>0</v>
      </c>
      <c r="K41" s="443">
        <f t="shared" si="47"/>
        <v>0</v>
      </c>
      <c r="L41" s="443">
        <f t="shared" si="47"/>
        <v>0</v>
      </c>
      <c r="M41" s="443">
        <f t="shared" si="47"/>
        <v>0</v>
      </c>
      <c r="N41" s="443">
        <f t="shared" si="47"/>
        <v>0</v>
      </c>
    </row>
    <row r="42" spans="2:16" x14ac:dyDescent="0.25">
      <c r="B42" s="22" t="s">
        <v>202</v>
      </c>
      <c r="C42" s="10"/>
      <c r="D42" s="445">
        <f>IF(hist_bal_sht!B28 = "-","0",hist_bal_sht!B28)</f>
        <v>0</v>
      </c>
      <c r="E42" s="445">
        <f>IF(hist_bal_sht!C28 = "-","0",hist_bal_sht!C28)</f>
        <v>0</v>
      </c>
      <c r="F42" s="445">
        <f>IF(hist_bal_sht!D28 = "-","0",hist_bal_sht!D28)</f>
        <v>0</v>
      </c>
      <c r="G42" s="445">
        <f>IF(hist_bal_sht!E28 = "-","0",hist_bal_sht!E28)</f>
        <v>0</v>
      </c>
      <c r="H42" s="445">
        <f>IF(hist_bal_sht!F28 = "-","0",hist_bal_sht!F28)</f>
        <v>0</v>
      </c>
      <c r="I42" s="443">
        <f t="shared" ref="I42:N42" si="48">I197</f>
        <v>400</v>
      </c>
      <c r="J42" s="443">
        <f t="shared" si="48"/>
        <v>469.5</v>
      </c>
      <c r="K42" s="443">
        <f t="shared" si="48"/>
        <v>0</v>
      </c>
      <c r="L42" s="443">
        <f t="shared" si="48"/>
        <v>0</v>
      </c>
      <c r="M42" s="443">
        <f t="shared" si="48"/>
        <v>0</v>
      </c>
      <c r="N42" s="443">
        <f t="shared" si="48"/>
        <v>847.5</v>
      </c>
      <c r="P42" s="33"/>
    </row>
    <row r="43" spans="2:16" x14ac:dyDescent="0.25">
      <c r="B43" s="22" t="s">
        <v>203</v>
      </c>
      <c r="C43" s="10"/>
      <c r="D43" s="430">
        <f>hist_bal_sht!B32-hist_bal_sht!B26</f>
        <v>0</v>
      </c>
      <c r="E43" s="430">
        <f>hist_bal_sht!C32-hist_bal_sht!C26</f>
        <v>0</v>
      </c>
      <c r="F43" s="430">
        <f>hist_bal_sht!D32-hist_bal_sht!D26</f>
        <v>0</v>
      </c>
      <c r="G43" s="430">
        <f>hist_bal_sht!E32-hist_bal_sht!E26</f>
        <v>0</v>
      </c>
      <c r="H43" s="430">
        <f>hist_bal_sht!F32-hist_bal_sht!F26</f>
        <v>0</v>
      </c>
      <c r="I43" s="435" t="e">
        <f t="shared" ref="I43:N43" si="49">I203</f>
        <v>#DIV/0!</v>
      </c>
      <c r="J43" s="435" t="e">
        <f t="shared" si="49"/>
        <v>#DIV/0!</v>
      </c>
      <c r="K43" s="435" t="e">
        <f t="shared" si="49"/>
        <v>#DIV/0!</v>
      </c>
      <c r="L43" s="435" t="e">
        <f t="shared" si="49"/>
        <v>#DIV/0!</v>
      </c>
      <c r="M43" s="435" t="e">
        <f t="shared" si="49"/>
        <v>#DIV/0!</v>
      </c>
      <c r="N43" s="435" t="e">
        <f t="shared" si="49"/>
        <v>#DIV/0!</v>
      </c>
    </row>
    <row r="44" spans="2:16" x14ac:dyDescent="0.25">
      <c r="B44" s="27" t="s">
        <v>204</v>
      </c>
      <c r="C44" s="12"/>
      <c r="D44" s="431">
        <f>SUM(D40:D43)-D42</f>
        <v>0</v>
      </c>
      <c r="E44" s="431">
        <f t="shared" ref="E44:H44" si="50">SUM(E40:E43)-E42</f>
        <v>0</v>
      </c>
      <c r="F44" s="431">
        <f t="shared" si="50"/>
        <v>0</v>
      </c>
      <c r="G44" s="431">
        <f t="shared" si="50"/>
        <v>0</v>
      </c>
      <c r="H44" s="431">
        <f t="shared" si="50"/>
        <v>0</v>
      </c>
      <c r="I44" s="436" t="e">
        <f t="shared" ref="I44:N44" si="51">SUM(I40:I43)</f>
        <v>#DIV/0!</v>
      </c>
      <c r="J44" s="436" t="e">
        <f t="shared" si="51"/>
        <v>#DIV/0!</v>
      </c>
      <c r="K44" s="436" t="e">
        <f t="shared" si="51"/>
        <v>#DIV/0!</v>
      </c>
      <c r="L44" s="436" t="e">
        <f t="shared" si="51"/>
        <v>#DIV/0!</v>
      </c>
      <c r="M44" s="436" t="e">
        <f t="shared" si="51"/>
        <v>#DIV/0!</v>
      </c>
      <c r="N44" s="436" t="e">
        <f t="shared" si="51"/>
        <v>#DIV/0!</v>
      </c>
    </row>
    <row r="45" spans="2:16" x14ac:dyDescent="0.25">
      <c r="B45" s="22" t="s">
        <v>205</v>
      </c>
      <c r="C45" s="10"/>
      <c r="D45" s="445">
        <f>hist_bal_sht!B34</f>
        <v>0</v>
      </c>
      <c r="E45" s="445">
        <f>hist_bal_sht!C34</f>
        <v>0</v>
      </c>
      <c r="F45" s="445">
        <f>hist_bal_sht!D34</f>
        <v>0</v>
      </c>
      <c r="G45" s="445">
        <f>hist_bal_sht!E34</f>
        <v>0</v>
      </c>
      <c r="H45" s="445">
        <f>hist_bal_sht!F34</f>
        <v>0</v>
      </c>
      <c r="I45" s="443" t="e">
        <f t="shared" ref="I45:N45" si="52">I210</f>
        <v>#DIV/0!</v>
      </c>
      <c r="J45" s="443" t="e">
        <f t="shared" si="52"/>
        <v>#DIV/0!</v>
      </c>
      <c r="K45" s="443" t="e">
        <f t="shared" si="52"/>
        <v>#DIV/0!</v>
      </c>
      <c r="L45" s="443" t="e">
        <f t="shared" si="52"/>
        <v>#DIV/0!</v>
      </c>
      <c r="M45" s="443" t="e">
        <f t="shared" si="52"/>
        <v>#DIV/0!</v>
      </c>
      <c r="N45" s="443" t="e">
        <f t="shared" si="52"/>
        <v>#DIV/0!</v>
      </c>
      <c r="P45" s="21"/>
    </row>
    <row r="46" spans="2:16" x14ac:dyDescent="0.25">
      <c r="B46" s="22" t="s">
        <v>206</v>
      </c>
      <c r="C46" s="10"/>
      <c r="D46" s="445">
        <f>SUM(hist_bal_sht!B35:B37)</f>
        <v>0</v>
      </c>
      <c r="E46" s="445">
        <f>SUM(hist_bal_sht!C35:C37)</f>
        <v>0</v>
      </c>
      <c r="F46" s="445">
        <f>SUM(hist_bal_sht!D35:D37)</f>
        <v>0</v>
      </c>
      <c r="G46" s="445">
        <f>SUM(hist_bal_sht!E35:E37)</f>
        <v>0</v>
      </c>
      <c r="H46" s="445">
        <f>SUM(hist_bal_sht!F35:F37)</f>
        <v>0</v>
      </c>
      <c r="I46" s="443" t="e">
        <f t="shared" ref="I46:N46" si="53">I224</f>
        <v>#DIV/0!</v>
      </c>
      <c r="J46" s="443" t="e">
        <f t="shared" si="53"/>
        <v>#DIV/0!</v>
      </c>
      <c r="K46" s="443" t="e">
        <f t="shared" si="53"/>
        <v>#DIV/0!</v>
      </c>
      <c r="L46" s="443" t="e">
        <f t="shared" si="53"/>
        <v>#DIV/0!</v>
      </c>
      <c r="M46" s="443" t="e">
        <f t="shared" si="53"/>
        <v>#DIV/0!</v>
      </c>
      <c r="N46" s="443" t="e">
        <f t="shared" si="53"/>
        <v>#DIV/0!</v>
      </c>
    </row>
    <row r="47" spans="2:16" x14ac:dyDescent="0.25">
      <c r="B47" s="27" t="s">
        <v>207</v>
      </c>
      <c r="C47" s="12"/>
      <c r="D47" s="431">
        <f t="shared" ref="D47:N47" si="54">SUM(D45:D46)</f>
        <v>0</v>
      </c>
      <c r="E47" s="431">
        <f t="shared" ref="E47:G47" si="55">SUM(E45:E46)</f>
        <v>0</v>
      </c>
      <c r="F47" s="431">
        <f t="shared" si="55"/>
        <v>0</v>
      </c>
      <c r="G47" s="431">
        <f t="shared" si="55"/>
        <v>0</v>
      </c>
      <c r="H47" s="431">
        <f>SUM(H45:H46)</f>
        <v>0</v>
      </c>
      <c r="I47" s="436" t="e">
        <f t="shared" si="54"/>
        <v>#DIV/0!</v>
      </c>
      <c r="J47" s="436" t="e">
        <f t="shared" si="54"/>
        <v>#DIV/0!</v>
      </c>
      <c r="K47" s="436" t="e">
        <f t="shared" si="54"/>
        <v>#DIV/0!</v>
      </c>
      <c r="L47" s="436" t="e">
        <f t="shared" si="54"/>
        <v>#DIV/0!</v>
      </c>
      <c r="M47" s="436" t="e">
        <f t="shared" si="54"/>
        <v>#DIV/0!</v>
      </c>
      <c r="N47" s="436" t="e">
        <f t="shared" si="54"/>
        <v>#DIV/0!</v>
      </c>
    </row>
    <row r="48" spans="2:16" ht="16.5" thickBot="1" x14ac:dyDescent="0.3">
      <c r="B48" s="30" t="s">
        <v>105</v>
      </c>
      <c r="C48" s="16"/>
      <c r="D48" s="434">
        <f t="shared" ref="D48:N48" si="56">D44+D47</f>
        <v>0</v>
      </c>
      <c r="E48" s="434">
        <f t="shared" ref="E48:H48" si="57">E44+E47</f>
        <v>0</v>
      </c>
      <c r="F48" s="434">
        <f t="shared" si="57"/>
        <v>0</v>
      </c>
      <c r="G48" s="434">
        <f t="shared" si="57"/>
        <v>0</v>
      </c>
      <c r="H48" s="434">
        <f t="shared" si="57"/>
        <v>0</v>
      </c>
      <c r="I48" s="439" t="e">
        <f t="shared" si="56"/>
        <v>#DIV/0!</v>
      </c>
      <c r="J48" s="439" t="e">
        <f t="shared" si="56"/>
        <v>#DIV/0!</v>
      </c>
      <c r="K48" s="439" t="e">
        <f t="shared" si="56"/>
        <v>#DIV/0!</v>
      </c>
      <c r="L48" s="439" t="e">
        <f t="shared" si="56"/>
        <v>#DIV/0!</v>
      </c>
      <c r="M48" s="439" t="e">
        <f t="shared" si="56"/>
        <v>#DIV/0!</v>
      </c>
      <c r="N48" s="439" t="e">
        <f t="shared" si="56"/>
        <v>#DIV/0!</v>
      </c>
    </row>
    <row r="49" spans="2:14" ht="16.5" thickTop="1" x14ac:dyDescent="0.25">
      <c r="B49" s="17"/>
      <c r="C49" s="18"/>
      <c r="D49" s="18"/>
      <c r="E49" s="18"/>
      <c r="F49" s="18"/>
      <c r="G49" s="18"/>
      <c r="H49" s="18"/>
      <c r="I49" s="20"/>
      <c r="J49" s="20"/>
      <c r="K49" s="20"/>
      <c r="L49" s="20"/>
      <c r="M49" s="20"/>
      <c r="N49" s="20"/>
    </row>
    <row r="50" spans="2:14" x14ac:dyDescent="0.25">
      <c r="B50" s="17" t="s">
        <v>208</v>
      </c>
      <c r="C50" s="18"/>
      <c r="D50" s="10"/>
      <c r="E50" s="10"/>
      <c r="F50" s="10"/>
      <c r="G50" s="10"/>
      <c r="H50" s="10"/>
      <c r="I50" s="35"/>
      <c r="J50" s="35"/>
      <c r="K50" s="35"/>
      <c r="L50" s="35"/>
      <c r="M50" s="35"/>
      <c r="N50" s="35"/>
    </row>
    <row r="51" spans="2:14" x14ac:dyDescent="0.25">
      <c r="B51" s="13" t="s">
        <v>209</v>
      </c>
      <c r="C51" s="36"/>
      <c r="D51" s="447">
        <f>D37-D48</f>
        <v>0</v>
      </c>
      <c r="E51" s="447">
        <f t="shared" ref="E51:G51" si="58">E37-E48</f>
        <v>0</v>
      </c>
      <c r="F51" s="447">
        <f t="shared" si="58"/>
        <v>0</v>
      </c>
      <c r="G51" s="447">
        <f t="shared" si="58"/>
        <v>0</v>
      </c>
      <c r="H51" s="447">
        <f>H37-H48</f>
        <v>0</v>
      </c>
      <c r="I51" s="442" t="e">
        <f>I316</f>
        <v>#DIV/0!</v>
      </c>
      <c r="J51" s="442" t="e">
        <f t="shared" ref="J51:N51" si="59">J316</f>
        <v>#DIV/0!</v>
      </c>
      <c r="K51" s="442" t="e">
        <f t="shared" si="59"/>
        <v>#DIV/0!</v>
      </c>
      <c r="L51" s="442" t="e">
        <f t="shared" si="59"/>
        <v>#DIV/0!</v>
      </c>
      <c r="M51" s="442" t="e">
        <f t="shared" si="59"/>
        <v>#DIV/0!</v>
      </c>
      <c r="N51" s="442" t="e">
        <f t="shared" si="59"/>
        <v>#DIV/0!</v>
      </c>
    </row>
    <row r="52" spans="2:14" ht="16.5" thickBot="1" x14ac:dyDescent="0.3">
      <c r="B52" s="15" t="s">
        <v>210</v>
      </c>
      <c r="C52" s="16"/>
      <c r="D52" s="434">
        <f>D51+D48</f>
        <v>0</v>
      </c>
      <c r="E52" s="434">
        <f t="shared" ref="E52:H52" si="60">E51+E48</f>
        <v>0</v>
      </c>
      <c r="F52" s="434">
        <f t="shared" si="60"/>
        <v>0</v>
      </c>
      <c r="G52" s="434">
        <f t="shared" si="60"/>
        <v>0</v>
      </c>
      <c r="H52" s="434">
        <f t="shared" si="60"/>
        <v>0</v>
      </c>
      <c r="I52" s="439" t="e">
        <f t="shared" ref="I52:N52" si="61">I51+I48</f>
        <v>#DIV/0!</v>
      </c>
      <c r="J52" s="439" t="e">
        <f t="shared" si="61"/>
        <v>#DIV/0!</v>
      </c>
      <c r="K52" s="439" t="e">
        <f t="shared" si="61"/>
        <v>#DIV/0!</v>
      </c>
      <c r="L52" s="439" t="e">
        <f t="shared" si="61"/>
        <v>#DIV/0!</v>
      </c>
      <c r="M52" s="439" t="e">
        <f t="shared" si="61"/>
        <v>#DIV/0!</v>
      </c>
      <c r="N52" s="439" t="e">
        <f t="shared" si="61"/>
        <v>#DIV/0!</v>
      </c>
    </row>
    <row r="53" spans="2:14" ht="16.5" thickTop="1" x14ac:dyDescent="0.25">
      <c r="B53" s="17"/>
      <c r="C53" s="19"/>
      <c r="D53" s="37"/>
      <c r="E53" s="37"/>
      <c r="F53" s="37"/>
      <c r="G53" s="37"/>
      <c r="H53" s="37"/>
      <c r="I53" s="20"/>
      <c r="J53" s="20"/>
      <c r="K53" s="20"/>
      <c r="L53" s="20"/>
      <c r="M53" s="20"/>
      <c r="N53" s="20"/>
    </row>
    <row r="54" spans="2:14" x14ac:dyDescent="0.25">
      <c r="B54" s="38" t="s">
        <v>211</v>
      </c>
      <c r="C54" s="39"/>
      <c r="D54" s="40">
        <f>hist_bal_sht!B55</f>
        <v>0</v>
      </c>
      <c r="E54" s="40">
        <f>hist_bal_sht!C55</f>
        <v>0</v>
      </c>
      <c r="F54" s="40">
        <f>hist_bal_sht!D55</f>
        <v>0</v>
      </c>
      <c r="G54" s="40">
        <f>hist_bal_sht!E55</f>
        <v>0</v>
      </c>
      <c r="H54" s="40">
        <f>hist_bal_sht!F55</f>
        <v>0</v>
      </c>
      <c r="I54" s="41"/>
      <c r="J54" s="41"/>
      <c r="K54" s="41"/>
      <c r="L54" s="41"/>
      <c r="M54" s="41"/>
      <c r="N54" s="41"/>
    </row>
    <row r="55" spans="2:14" x14ac:dyDescent="0.25">
      <c r="B55" s="42"/>
      <c r="C55" s="43"/>
      <c r="D55" s="43"/>
      <c r="E55" s="43"/>
      <c r="F55" s="43"/>
      <c r="G55" s="43"/>
      <c r="H55" s="43"/>
      <c r="I55" s="43"/>
      <c r="J55" s="43"/>
      <c r="K55" s="43"/>
      <c r="L55" s="43"/>
      <c r="M55" s="43"/>
      <c r="N55" s="43"/>
    </row>
    <row r="56" spans="2:14" s="21" customFormat="1" x14ac:dyDescent="0.25">
      <c r="B56" s="22"/>
      <c r="C56" s="10"/>
      <c r="D56" s="10"/>
      <c r="E56" s="10"/>
      <c r="F56" s="10"/>
      <c r="G56" s="10"/>
      <c r="H56" s="10"/>
      <c r="I56" s="10"/>
      <c r="J56" s="10"/>
      <c r="K56" s="10"/>
      <c r="L56" s="10"/>
      <c r="M56" s="10"/>
      <c r="N56" s="10"/>
    </row>
    <row r="57" spans="2:14" ht="18.75" x14ac:dyDescent="0.25">
      <c r="B57" s="459" t="s">
        <v>212</v>
      </c>
      <c r="C57" s="460"/>
      <c r="D57" s="457">
        <f t="shared" ref="D57" si="62">D10</f>
        <v>2020</v>
      </c>
      <c r="E57" s="457">
        <f t="shared" ref="E57:H57" si="63">E10</f>
        <v>2021</v>
      </c>
      <c r="F57" s="457">
        <f t="shared" si="63"/>
        <v>2022</v>
      </c>
      <c r="G57" s="457">
        <f t="shared" si="63"/>
        <v>2023</v>
      </c>
      <c r="H57" s="457">
        <f t="shared" si="63"/>
        <v>2024</v>
      </c>
      <c r="I57" s="458">
        <f t="shared" ref="I57" si="64">H57+1</f>
        <v>2025</v>
      </c>
      <c r="J57" s="458">
        <f t="shared" ref="J57" si="65">I57+1</f>
        <v>2026</v>
      </c>
      <c r="K57" s="458">
        <f t="shared" ref="K57" si="66">J57+1</f>
        <v>2027</v>
      </c>
      <c r="L57" s="458">
        <f t="shared" ref="L57" si="67">K57+1</f>
        <v>2028</v>
      </c>
      <c r="M57" s="458">
        <f t="shared" ref="M57" si="68">L57+1</f>
        <v>2029</v>
      </c>
      <c r="N57" s="458">
        <f t="shared" ref="N57" si="69">M57+1</f>
        <v>2030</v>
      </c>
    </row>
    <row r="58" spans="2:14" x14ac:dyDescent="0.25">
      <c r="B58" s="17" t="s">
        <v>213</v>
      </c>
      <c r="C58" s="44"/>
      <c r="D58" s="34"/>
      <c r="E58" s="34"/>
      <c r="F58" s="34"/>
      <c r="G58" s="34"/>
      <c r="H58" s="34"/>
      <c r="I58" s="35"/>
      <c r="J58" s="35"/>
      <c r="K58" s="35"/>
      <c r="L58" s="35"/>
      <c r="M58" s="35"/>
      <c r="N58" s="35"/>
    </row>
    <row r="59" spans="2:14" x14ac:dyDescent="0.25">
      <c r="B59" s="7" t="s">
        <v>130</v>
      </c>
      <c r="D59" s="445">
        <f>hist_scf!B5</f>
        <v>0</v>
      </c>
      <c r="E59" s="445">
        <f>hist_scf!C5</f>
        <v>0</v>
      </c>
      <c r="F59" s="445">
        <f>hist_scf!D5</f>
        <v>0</v>
      </c>
      <c r="G59" s="445">
        <f>hist_scf!E5</f>
        <v>0</v>
      </c>
      <c r="H59" s="445">
        <f>hist_scf!F5</f>
        <v>0</v>
      </c>
      <c r="I59" s="440" t="e">
        <f t="shared" ref="I59:N59" si="70">I23</f>
        <v>#DIV/0!</v>
      </c>
      <c r="J59" s="440" t="e">
        <f t="shared" si="70"/>
        <v>#DIV/0!</v>
      </c>
      <c r="K59" s="440" t="e">
        <f t="shared" si="70"/>
        <v>#DIV/0!</v>
      </c>
      <c r="L59" s="440" t="e">
        <f t="shared" si="70"/>
        <v>#DIV/0!</v>
      </c>
      <c r="M59" s="440" t="e">
        <f t="shared" si="70"/>
        <v>#DIV/0!</v>
      </c>
      <c r="N59" s="440" t="e">
        <f t="shared" si="70"/>
        <v>#DIV/0!</v>
      </c>
    </row>
    <row r="60" spans="2:14" x14ac:dyDescent="0.25">
      <c r="B60" s="22" t="s">
        <v>214</v>
      </c>
      <c r="D60" s="445">
        <f>hist_scf!B6</f>
        <v>0</v>
      </c>
      <c r="E60" s="445">
        <f>hist_scf!C6</f>
        <v>0</v>
      </c>
      <c r="F60" s="445">
        <f>hist_scf!D6</f>
        <v>0</v>
      </c>
      <c r="G60" s="445">
        <f>hist_scf!E6</f>
        <v>0</v>
      </c>
      <c r="H60" s="445">
        <f>hist_scf!F6</f>
        <v>0</v>
      </c>
      <c r="I60" s="443" t="e">
        <f t="shared" ref="I60:N60" si="71">I231</f>
        <v>#DIV/0!</v>
      </c>
      <c r="J60" s="443" t="e">
        <f t="shared" si="71"/>
        <v>#DIV/0!</v>
      </c>
      <c r="K60" s="443" t="e">
        <f t="shared" si="71"/>
        <v>#DIV/0!</v>
      </c>
      <c r="L60" s="443" t="e">
        <f t="shared" si="71"/>
        <v>#DIV/0!</v>
      </c>
      <c r="M60" s="443" t="e">
        <f t="shared" si="71"/>
        <v>#DIV/0!</v>
      </c>
      <c r="N60" s="443" t="e">
        <f t="shared" si="71"/>
        <v>#DIV/0!</v>
      </c>
    </row>
    <row r="61" spans="2:14" x14ac:dyDescent="0.25">
      <c r="B61" s="22" t="s">
        <v>215</v>
      </c>
      <c r="D61" s="445">
        <f>hist_scf!B7</f>
        <v>0</v>
      </c>
      <c r="E61" s="445">
        <f>hist_scf!C7</f>
        <v>0</v>
      </c>
      <c r="F61" s="445">
        <f>hist_scf!D7</f>
        <v>0</v>
      </c>
      <c r="G61" s="445">
        <f>hist_scf!E7</f>
        <v>0</v>
      </c>
      <c r="H61" s="445">
        <f>hist_scf!F7</f>
        <v>0</v>
      </c>
      <c r="I61" s="443" t="e">
        <f t="shared" ref="I61:N61" si="72">I237</f>
        <v>#DIV/0!</v>
      </c>
      <c r="J61" s="443" t="e">
        <f t="shared" si="72"/>
        <v>#DIV/0!</v>
      </c>
      <c r="K61" s="443" t="e">
        <f t="shared" si="72"/>
        <v>#DIV/0!</v>
      </c>
      <c r="L61" s="443" t="e">
        <f t="shared" si="72"/>
        <v>#DIV/0!</v>
      </c>
      <c r="M61" s="443" t="e">
        <f t="shared" si="72"/>
        <v>#DIV/0!</v>
      </c>
      <c r="N61" s="443" t="e">
        <f t="shared" si="72"/>
        <v>#DIV/0!</v>
      </c>
    </row>
    <row r="62" spans="2:14" x14ac:dyDescent="0.25">
      <c r="B62" s="22" t="s">
        <v>216</v>
      </c>
      <c r="D62" s="445">
        <f>SUM(hist_scf!B9:B19)</f>
        <v>0</v>
      </c>
      <c r="E62" s="445">
        <f>SUM(hist_scf!C9:C19)</f>
        <v>0</v>
      </c>
      <c r="F62" s="445">
        <f>SUM(hist_scf!D9:D19)</f>
        <v>0</v>
      </c>
      <c r="G62" s="445">
        <f>SUM(hist_scf!E9:E19)</f>
        <v>0</v>
      </c>
      <c r="H62" s="445">
        <f>SUM(hist_scf!F9:F19)</f>
        <v>0</v>
      </c>
      <c r="I62" s="443" t="e">
        <f t="shared" ref="I62:N62" si="73">I246</f>
        <v>#DIV/0!</v>
      </c>
      <c r="J62" s="443" t="e">
        <f t="shared" si="73"/>
        <v>#DIV/0!</v>
      </c>
      <c r="K62" s="443" t="e">
        <f t="shared" si="73"/>
        <v>#DIV/0!</v>
      </c>
      <c r="L62" s="443" t="e">
        <f t="shared" si="73"/>
        <v>#DIV/0!</v>
      </c>
      <c r="M62" s="443" t="e">
        <f t="shared" si="73"/>
        <v>#DIV/0!</v>
      </c>
      <c r="N62" s="443" t="e">
        <f t="shared" si="73"/>
        <v>#DIV/0!</v>
      </c>
    </row>
    <row r="63" spans="2:14" x14ac:dyDescent="0.25">
      <c r="B63" s="11" t="s">
        <v>217</v>
      </c>
      <c r="C63" s="45"/>
      <c r="D63" s="431">
        <f t="shared" ref="D63:N63" si="74">SUM(D59:D62)</f>
        <v>0</v>
      </c>
      <c r="E63" s="431">
        <f t="shared" ref="E63:H63" si="75">SUM(E59:E62)</f>
        <v>0</v>
      </c>
      <c r="F63" s="431">
        <f t="shared" si="75"/>
        <v>0</v>
      </c>
      <c r="G63" s="431">
        <f t="shared" si="75"/>
        <v>0</v>
      </c>
      <c r="H63" s="431">
        <f t="shared" si="75"/>
        <v>0</v>
      </c>
      <c r="I63" s="436" t="e">
        <f t="shared" si="74"/>
        <v>#DIV/0!</v>
      </c>
      <c r="J63" s="436" t="e">
        <f t="shared" si="74"/>
        <v>#DIV/0!</v>
      </c>
      <c r="K63" s="436" t="e">
        <f t="shared" si="74"/>
        <v>#DIV/0!</v>
      </c>
      <c r="L63" s="436" t="e">
        <f t="shared" si="74"/>
        <v>#DIV/0!</v>
      </c>
      <c r="M63" s="436" t="e">
        <f t="shared" si="74"/>
        <v>#DIV/0!</v>
      </c>
      <c r="N63" s="436" t="e">
        <f t="shared" si="74"/>
        <v>#DIV/0!</v>
      </c>
    </row>
    <row r="64" spans="2:14" x14ac:dyDescent="0.25">
      <c r="B64" s="17"/>
      <c r="C64" s="44"/>
      <c r="D64" s="19"/>
      <c r="E64" s="19"/>
      <c r="F64" s="19"/>
      <c r="G64" s="19"/>
      <c r="H64" s="19"/>
      <c r="I64" s="20"/>
      <c r="J64" s="20"/>
      <c r="K64" s="20"/>
      <c r="L64" s="20"/>
      <c r="M64" s="20"/>
      <c r="N64" s="20"/>
    </row>
    <row r="65" spans="2:16" x14ac:dyDescent="0.25">
      <c r="B65" s="17" t="s">
        <v>218</v>
      </c>
      <c r="C65" s="44"/>
      <c r="D65" s="34"/>
      <c r="E65" s="34"/>
      <c r="F65" s="34"/>
      <c r="G65" s="34"/>
      <c r="H65" s="34"/>
      <c r="I65" s="35"/>
      <c r="J65" s="35"/>
      <c r="K65" s="35"/>
      <c r="L65" s="35"/>
      <c r="M65" s="35"/>
      <c r="N65" s="35"/>
    </row>
    <row r="66" spans="2:16" x14ac:dyDescent="0.25">
      <c r="B66" s="7" t="s">
        <v>219</v>
      </c>
      <c r="D66" s="445">
        <f>hist_scf!B22</f>
        <v>0</v>
      </c>
      <c r="E66" s="445">
        <f>hist_scf!C22</f>
        <v>0</v>
      </c>
      <c r="F66" s="445">
        <f>hist_scf!D22</f>
        <v>0</v>
      </c>
      <c r="G66" s="445">
        <f>hist_scf!E22</f>
        <v>0</v>
      </c>
      <c r="H66" s="445">
        <f>hist_scf!F22</f>
        <v>0</v>
      </c>
      <c r="I66" s="443" t="e">
        <f t="shared" ref="I66:N66" si="76">I252</f>
        <v>#DIV/0!</v>
      </c>
      <c r="J66" s="443" t="e">
        <f t="shared" si="76"/>
        <v>#DIV/0!</v>
      </c>
      <c r="K66" s="443" t="e">
        <f t="shared" si="76"/>
        <v>#DIV/0!</v>
      </c>
      <c r="L66" s="443" t="e">
        <f t="shared" si="76"/>
        <v>#DIV/0!</v>
      </c>
      <c r="M66" s="443" t="e">
        <f t="shared" si="76"/>
        <v>#DIV/0!</v>
      </c>
      <c r="N66" s="443" t="e">
        <f t="shared" si="76"/>
        <v>#DIV/0!</v>
      </c>
    </row>
    <row r="67" spans="2:16" x14ac:dyDescent="0.25">
      <c r="B67" s="7" t="s">
        <v>220</v>
      </c>
      <c r="D67" s="445">
        <f>SUM(hist_scf!B11:B19)</f>
        <v>0</v>
      </c>
      <c r="E67" s="445">
        <f>SUM(hist_scf!C11:C19)</f>
        <v>0</v>
      </c>
      <c r="F67" s="445">
        <f>SUM(hist_scf!D11:D19)</f>
        <v>0</v>
      </c>
      <c r="G67" s="445">
        <f>SUM(hist_scf!E11:E19)</f>
        <v>0</v>
      </c>
      <c r="H67" s="445">
        <f>SUM(hist_scf!F11:F19)</f>
        <v>0</v>
      </c>
      <c r="I67" s="443" t="e">
        <f t="shared" ref="I67:N67" si="77">I260</f>
        <v>#DIV/0!</v>
      </c>
      <c r="J67" s="443" t="e">
        <f t="shared" si="77"/>
        <v>#DIV/0!</v>
      </c>
      <c r="K67" s="443" t="e">
        <f t="shared" si="77"/>
        <v>#DIV/0!</v>
      </c>
      <c r="L67" s="443" t="e">
        <f t="shared" si="77"/>
        <v>#DIV/0!</v>
      </c>
      <c r="M67" s="443" t="e">
        <f t="shared" si="77"/>
        <v>#DIV/0!</v>
      </c>
      <c r="N67" s="443" t="e">
        <f t="shared" si="77"/>
        <v>#DIV/0!</v>
      </c>
    </row>
    <row r="68" spans="2:16" x14ac:dyDescent="0.25">
      <c r="B68" s="11" t="s">
        <v>221</v>
      </c>
      <c r="C68" s="45"/>
      <c r="D68" s="448">
        <f t="shared" ref="D68:N68" si="78">SUM(D66:D67)</f>
        <v>0</v>
      </c>
      <c r="E68" s="448">
        <f t="shared" ref="E68:H68" si="79">SUM(E66:E67)</f>
        <v>0</v>
      </c>
      <c r="F68" s="448">
        <f t="shared" si="79"/>
        <v>0</v>
      </c>
      <c r="G68" s="448">
        <f t="shared" si="79"/>
        <v>0</v>
      </c>
      <c r="H68" s="448">
        <f t="shared" si="79"/>
        <v>0</v>
      </c>
      <c r="I68" s="436" t="e">
        <f>SUM(I66:I67)</f>
        <v>#DIV/0!</v>
      </c>
      <c r="J68" s="436" t="e">
        <f t="shared" si="78"/>
        <v>#DIV/0!</v>
      </c>
      <c r="K68" s="436" t="e">
        <f t="shared" si="78"/>
        <v>#DIV/0!</v>
      </c>
      <c r="L68" s="436" t="e">
        <f t="shared" si="78"/>
        <v>#DIV/0!</v>
      </c>
      <c r="M68" s="436" t="e">
        <f t="shared" si="78"/>
        <v>#DIV/0!</v>
      </c>
      <c r="N68" s="436" t="e">
        <f t="shared" si="78"/>
        <v>#DIV/0!</v>
      </c>
    </row>
    <row r="69" spans="2:16" x14ac:dyDescent="0.25">
      <c r="B69" s="17"/>
      <c r="C69" s="44"/>
      <c r="D69" s="19"/>
      <c r="E69" s="19"/>
      <c r="F69" s="19"/>
      <c r="G69" s="19"/>
      <c r="H69" s="19"/>
      <c r="I69" s="20"/>
      <c r="J69" s="20"/>
      <c r="K69" s="20"/>
      <c r="L69" s="20"/>
      <c r="M69" s="20"/>
      <c r="N69" s="20"/>
    </row>
    <row r="70" spans="2:16" x14ac:dyDescent="0.25">
      <c r="B70" s="17" t="s">
        <v>222</v>
      </c>
      <c r="C70" s="44"/>
      <c r="D70" s="34"/>
      <c r="E70" s="34"/>
      <c r="F70" s="34"/>
      <c r="G70" s="34"/>
      <c r="H70" s="34"/>
      <c r="I70" s="35"/>
      <c r="J70" s="35"/>
      <c r="K70" s="35"/>
      <c r="L70" s="35"/>
      <c r="M70" s="35"/>
      <c r="N70" s="35"/>
    </row>
    <row r="71" spans="2:16" x14ac:dyDescent="0.25">
      <c r="B71" s="7" t="s">
        <v>223</v>
      </c>
      <c r="D71" s="445">
        <f>hist_scf!B32+hist_scf!B35</f>
        <v>0</v>
      </c>
      <c r="E71" s="445">
        <f>hist_scf!C32+hist_scf!C35</f>
        <v>0</v>
      </c>
      <c r="F71" s="445">
        <f>hist_scf!D32+hist_scf!D35</f>
        <v>0</v>
      </c>
      <c r="G71" s="445">
        <f>hist_scf!E32+hist_scf!E35</f>
        <v>0</v>
      </c>
      <c r="H71" s="445">
        <f>hist_scf!F32+hist_scf!F35</f>
        <v>0</v>
      </c>
      <c r="I71" s="443" t="e">
        <f t="shared" ref="I71:N71" si="80">(I41+I45+I42)-(H41+H42+H45)</f>
        <v>#DIV/0!</v>
      </c>
      <c r="J71" s="443" t="e">
        <f t="shared" si="80"/>
        <v>#DIV/0!</v>
      </c>
      <c r="K71" s="443" t="e">
        <f t="shared" si="80"/>
        <v>#DIV/0!</v>
      </c>
      <c r="L71" s="443" t="e">
        <f t="shared" si="80"/>
        <v>#DIV/0!</v>
      </c>
      <c r="M71" s="443" t="e">
        <f t="shared" si="80"/>
        <v>#DIV/0!</v>
      </c>
      <c r="N71" s="443" t="e">
        <f t="shared" si="80"/>
        <v>#DIV/0!</v>
      </c>
      <c r="P71" s="46"/>
    </row>
    <row r="72" spans="2:16" x14ac:dyDescent="0.25">
      <c r="B72" s="7" t="s">
        <v>224</v>
      </c>
      <c r="D72" s="445">
        <f>SUM(hist_scf!B37:B38)</f>
        <v>0</v>
      </c>
      <c r="E72" s="445">
        <f>SUM(hist_scf!C37:C38)</f>
        <v>0</v>
      </c>
      <c r="F72" s="445">
        <f>SUM(hist_scf!D37:D38)</f>
        <v>0</v>
      </c>
      <c r="G72" s="445">
        <f>SUM(hist_scf!E37:E38)</f>
        <v>0</v>
      </c>
      <c r="H72" s="445">
        <f>SUM(hist_scf!F37:F38)</f>
        <v>0</v>
      </c>
      <c r="I72" s="443" t="e">
        <f t="shared" ref="I72:N72" si="81">I270</f>
        <v>#DIV/0!</v>
      </c>
      <c r="J72" s="443" t="e">
        <f t="shared" si="81"/>
        <v>#DIV/0!</v>
      </c>
      <c r="K72" s="443" t="e">
        <f t="shared" si="81"/>
        <v>#DIV/0!</v>
      </c>
      <c r="L72" s="443" t="e">
        <f t="shared" si="81"/>
        <v>#DIV/0!</v>
      </c>
      <c r="M72" s="443" t="e">
        <f t="shared" si="81"/>
        <v>#DIV/0!</v>
      </c>
      <c r="N72" s="443" t="e">
        <f t="shared" si="81"/>
        <v>#DIV/0!</v>
      </c>
    </row>
    <row r="73" spans="2:16" x14ac:dyDescent="0.25">
      <c r="B73" s="7" t="s">
        <v>225</v>
      </c>
      <c r="D73" s="430">
        <f>hist_scf!B41</f>
        <v>0</v>
      </c>
      <c r="E73" s="430">
        <f>hist_scf!C41</f>
        <v>0</v>
      </c>
      <c r="F73" s="430">
        <f>hist_scf!D41</f>
        <v>0</v>
      </c>
      <c r="G73" s="430">
        <f>hist_scf!E41</f>
        <v>0</v>
      </c>
      <c r="H73" s="430">
        <f>hist_scf!F41</f>
        <v>0</v>
      </c>
      <c r="I73" s="435" t="e">
        <f t="shared" ref="I73:N73" si="82">I277</f>
        <v>#DIV/0!</v>
      </c>
      <c r="J73" s="435" t="e">
        <f t="shared" si="82"/>
        <v>#DIV/0!</v>
      </c>
      <c r="K73" s="435" t="e">
        <f t="shared" si="82"/>
        <v>#DIV/0!</v>
      </c>
      <c r="L73" s="435" t="e">
        <f t="shared" si="82"/>
        <v>#DIV/0!</v>
      </c>
      <c r="M73" s="435" t="e">
        <f t="shared" si="82"/>
        <v>#DIV/0!</v>
      </c>
      <c r="N73" s="435" t="e">
        <f t="shared" si="82"/>
        <v>#DIV/0!</v>
      </c>
    </row>
    <row r="74" spans="2:16" x14ac:dyDescent="0.25">
      <c r="B74" s="7" t="s">
        <v>226</v>
      </c>
      <c r="D74" s="430">
        <f>SUM(hist_scf!B43:B44)</f>
        <v>0</v>
      </c>
      <c r="E74" s="430">
        <f>SUM(hist_scf!C43:C44)</f>
        <v>0</v>
      </c>
      <c r="F74" s="430">
        <f>SUM(hist_scf!D43:D44)</f>
        <v>0</v>
      </c>
      <c r="G74" s="430">
        <f>SUM(hist_scf!E43:E44)</f>
        <v>0</v>
      </c>
      <c r="H74" s="430">
        <f>SUM(hist_scf!F43:F44)</f>
        <v>0</v>
      </c>
      <c r="I74" s="435" t="e">
        <f t="shared" ref="I74:N74" si="83">I281</f>
        <v>#DIV/0!</v>
      </c>
      <c r="J74" s="435" t="e">
        <f t="shared" si="83"/>
        <v>#DIV/0!</v>
      </c>
      <c r="K74" s="435" t="e">
        <f t="shared" si="83"/>
        <v>#DIV/0!</v>
      </c>
      <c r="L74" s="435" t="e">
        <f t="shared" si="83"/>
        <v>#DIV/0!</v>
      </c>
      <c r="M74" s="435" t="e">
        <f t="shared" si="83"/>
        <v>#DIV/0!</v>
      </c>
      <c r="N74" s="435" t="e">
        <f t="shared" si="83"/>
        <v>#DIV/0!</v>
      </c>
    </row>
    <row r="75" spans="2:16" x14ac:dyDescent="0.25">
      <c r="B75" s="11" t="s">
        <v>227</v>
      </c>
      <c r="C75" s="45"/>
      <c r="D75" s="431">
        <f t="shared" ref="D75:N75" si="84">SUM(D71:D74)</f>
        <v>0</v>
      </c>
      <c r="E75" s="431">
        <f t="shared" ref="E75:H75" si="85">SUM(E71:E74)</f>
        <v>0</v>
      </c>
      <c r="F75" s="431">
        <f t="shared" si="85"/>
        <v>0</v>
      </c>
      <c r="G75" s="431">
        <f t="shared" si="85"/>
        <v>0</v>
      </c>
      <c r="H75" s="431">
        <f t="shared" si="85"/>
        <v>0</v>
      </c>
      <c r="I75" s="436" t="e">
        <f t="shared" si="84"/>
        <v>#DIV/0!</v>
      </c>
      <c r="J75" s="436" t="e">
        <f t="shared" si="84"/>
        <v>#DIV/0!</v>
      </c>
      <c r="K75" s="436" t="e">
        <f t="shared" si="84"/>
        <v>#DIV/0!</v>
      </c>
      <c r="L75" s="436" t="e">
        <f t="shared" si="84"/>
        <v>#DIV/0!</v>
      </c>
      <c r="M75" s="436" t="e">
        <f t="shared" si="84"/>
        <v>#DIV/0!</v>
      </c>
      <c r="N75" s="436" t="e">
        <f t="shared" si="84"/>
        <v>#DIV/0!</v>
      </c>
    </row>
    <row r="76" spans="2:16" x14ac:dyDescent="0.25">
      <c r="B76" s="17"/>
      <c r="C76" s="44"/>
      <c r="D76" s="19"/>
      <c r="E76" s="19"/>
      <c r="F76" s="19"/>
      <c r="G76" s="19"/>
      <c r="H76" s="19"/>
      <c r="I76" s="20"/>
      <c r="J76" s="20"/>
      <c r="K76" s="20"/>
      <c r="L76" s="20"/>
      <c r="M76" s="20"/>
      <c r="N76" s="20"/>
    </row>
    <row r="77" spans="2:16" x14ac:dyDescent="0.25">
      <c r="B77" s="17" t="s">
        <v>228</v>
      </c>
      <c r="C77" s="47"/>
      <c r="D77" s="47" t="s">
        <v>229</v>
      </c>
      <c r="E77" s="430">
        <f>E79-(E63+E68+E75)</f>
        <v>0</v>
      </c>
      <c r="F77" s="430">
        <f t="shared" ref="F77:H77" si="86">F79-(F63+F68+F75)</f>
        <v>0</v>
      </c>
      <c r="G77" s="430">
        <f t="shared" si="86"/>
        <v>0</v>
      </c>
      <c r="H77" s="430">
        <f t="shared" si="86"/>
        <v>0</v>
      </c>
      <c r="I77" s="441" t="e">
        <f t="shared" ref="I77:N77" si="87">I79-(I63+I68+I75)</f>
        <v>#DIV/0!</v>
      </c>
      <c r="J77" s="441" t="e">
        <f t="shared" si="87"/>
        <v>#DIV/0!</v>
      </c>
      <c r="K77" s="441" t="e">
        <f t="shared" si="87"/>
        <v>#DIV/0!</v>
      </c>
      <c r="L77" s="441" t="e">
        <f t="shared" si="87"/>
        <v>#DIV/0!</v>
      </c>
      <c r="M77" s="441" t="e">
        <f t="shared" si="87"/>
        <v>#DIV/0!</v>
      </c>
      <c r="N77" s="441" t="e">
        <f t="shared" si="87"/>
        <v>#DIV/0!</v>
      </c>
    </row>
    <row r="78" spans="2:16" x14ac:dyDescent="0.25">
      <c r="B78" s="17"/>
      <c r="C78" s="19"/>
      <c r="D78" s="19"/>
      <c r="E78" s="19"/>
      <c r="F78" s="19"/>
      <c r="G78" s="19"/>
      <c r="H78" s="19"/>
      <c r="I78" s="20"/>
      <c r="J78" s="20"/>
      <c r="K78" s="20"/>
      <c r="L78" s="20"/>
      <c r="M78" s="20"/>
      <c r="N78" s="20"/>
    </row>
    <row r="79" spans="2:16" x14ac:dyDescent="0.25">
      <c r="B79" s="48" t="s">
        <v>230</v>
      </c>
      <c r="C79" s="49"/>
      <c r="D79" s="449" t="s">
        <v>229</v>
      </c>
      <c r="E79" s="450">
        <f t="shared" ref="E79:M79" si="88">E81-E80</f>
        <v>0</v>
      </c>
      <c r="F79" s="450">
        <f t="shared" si="88"/>
        <v>0</v>
      </c>
      <c r="G79" s="450">
        <f t="shared" si="88"/>
        <v>0</v>
      </c>
      <c r="H79" s="450">
        <f t="shared" si="88"/>
        <v>0</v>
      </c>
      <c r="I79" s="454" t="e">
        <f>I81-I80</f>
        <v>#DIV/0!</v>
      </c>
      <c r="J79" s="454" t="e">
        <f t="shared" si="88"/>
        <v>#DIV/0!</v>
      </c>
      <c r="K79" s="454" t="e">
        <f t="shared" si="88"/>
        <v>#DIV/0!</v>
      </c>
      <c r="L79" s="454" t="e">
        <f t="shared" si="88"/>
        <v>#DIV/0!</v>
      </c>
      <c r="M79" s="454" t="e">
        <f t="shared" si="88"/>
        <v>#DIV/0!</v>
      </c>
      <c r="N79" s="454" t="e">
        <f>N81-N80</f>
        <v>#DIV/0!</v>
      </c>
    </row>
    <row r="80" spans="2:16" x14ac:dyDescent="0.25">
      <c r="B80" s="7" t="s">
        <v>231</v>
      </c>
      <c r="C80" s="47"/>
      <c r="D80" s="451" t="s">
        <v>229</v>
      </c>
      <c r="E80" s="452">
        <f t="shared" ref="E80:N80" si="89">D81</f>
        <v>0</v>
      </c>
      <c r="F80" s="452">
        <f t="shared" si="89"/>
        <v>0</v>
      </c>
      <c r="G80" s="452">
        <f t="shared" si="89"/>
        <v>0</v>
      </c>
      <c r="H80" s="452">
        <f t="shared" si="89"/>
        <v>0</v>
      </c>
      <c r="I80" s="455">
        <f t="shared" si="89"/>
        <v>0</v>
      </c>
      <c r="J80" s="455" t="e">
        <f t="shared" si="89"/>
        <v>#DIV/0!</v>
      </c>
      <c r="K80" s="455" t="e">
        <f t="shared" si="89"/>
        <v>#DIV/0!</v>
      </c>
      <c r="L80" s="455" t="e">
        <f t="shared" si="89"/>
        <v>#DIV/0!</v>
      </c>
      <c r="M80" s="455" t="e">
        <f t="shared" si="89"/>
        <v>#DIV/0!</v>
      </c>
      <c r="N80" s="455" t="e">
        <f t="shared" si="89"/>
        <v>#DIV/0!</v>
      </c>
    </row>
    <row r="81" spans="2:29" x14ac:dyDescent="0.25">
      <c r="B81" s="50" t="s">
        <v>232</v>
      </c>
      <c r="C81" s="51"/>
      <c r="D81" s="453">
        <f t="shared" ref="D81:N81" si="90">D28</f>
        <v>0</v>
      </c>
      <c r="E81" s="453">
        <f t="shared" si="90"/>
        <v>0</v>
      </c>
      <c r="F81" s="453">
        <f t="shared" si="90"/>
        <v>0</v>
      </c>
      <c r="G81" s="453">
        <f t="shared" si="90"/>
        <v>0</v>
      </c>
      <c r="H81" s="453">
        <f t="shared" si="90"/>
        <v>0</v>
      </c>
      <c r="I81" s="456" t="e">
        <f t="shared" si="90"/>
        <v>#DIV/0!</v>
      </c>
      <c r="J81" s="456" t="e">
        <f t="shared" si="90"/>
        <v>#DIV/0!</v>
      </c>
      <c r="K81" s="456" t="e">
        <f t="shared" si="90"/>
        <v>#DIV/0!</v>
      </c>
      <c r="L81" s="456" t="e">
        <f t="shared" si="90"/>
        <v>#DIV/0!</v>
      </c>
      <c r="M81" s="456" t="e">
        <f t="shared" si="90"/>
        <v>#DIV/0!</v>
      </c>
      <c r="N81" s="456" t="e">
        <f t="shared" si="90"/>
        <v>#DIV/0!</v>
      </c>
    </row>
    <row r="82" spans="2:29" x14ac:dyDescent="0.25">
      <c r="C82" s="44"/>
      <c r="D82" s="34"/>
      <c r="E82" s="34"/>
      <c r="F82" s="34"/>
      <c r="G82" s="34"/>
      <c r="H82" s="34"/>
      <c r="I82" s="35"/>
      <c r="J82" s="35"/>
      <c r="K82" s="35"/>
      <c r="L82" s="35"/>
      <c r="M82" s="35"/>
      <c r="N82" s="35"/>
    </row>
    <row r="83" spans="2:29" x14ac:dyDescent="0.25">
      <c r="D83" s="10"/>
      <c r="E83" s="10"/>
      <c r="F83" s="10"/>
      <c r="G83" s="10"/>
      <c r="H83" s="10"/>
      <c r="I83" s="10"/>
      <c r="J83" s="10"/>
      <c r="K83" s="10"/>
      <c r="L83" s="10"/>
      <c r="M83" s="10"/>
      <c r="N83" s="10"/>
    </row>
    <row r="84" spans="2:29" x14ac:dyDescent="0.25">
      <c r="B84" s="1"/>
      <c r="D84" s="3"/>
      <c r="E84" s="3"/>
      <c r="F84" s="3"/>
      <c r="G84" s="3"/>
      <c r="H84" s="3"/>
      <c r="I84" s="2"/>
      <c r="J84" s="34"/>
      <c r="K84" s="34"/>
      <c r="L84" s="34"/>
      <c r="M84" s="34"/>
      <c r="N84" s="34"/>
    </row>
    <row r="85" spans="2:29" ht="18.75" x14ac:dyDescent="0.25">
      <c r="B85" s="459" t="s">
        <v>233</v>
      </c>
      <c r="C85" s="460"/>
      <c r="D85" s="457">
        <f>D10</f>
        <v>2020</v>
      </c>
      <c r="E85" s="457">
        <f t="shared" ref="E85:H85" si="91">E10</f>
        <v>2021</v>
      </c>
      <c r="F85" s="457">
        <f t="shared" si="91"/>
        <v>2022</v>
      </c>
      <c r="G85" s="457">
        <f t="shared" si="91"/>
        <v>2023</v>
      </c>
      <c r="H85" s="457">
        <f t="shared" si="91"/>
        <v>2024</v>
      </c>
      <c r="I85" s="458">
        <f>H85+1</f>
        <v>2025</v>
      </c>
      <c r="J85" s="458">
        <f t="shared" ref="J85" si="92">I85+1</f>
        <v>2026</v>
      </c>
      <c r="K85" s="458">
        <f t="shared" ref="K85" si="93">J85+1</f>
        <v>2027</v>
      </c>
      <c r="L85" s="458">
        <f t="shared" ref="L85" si="94">K85+1</f>
        <v>2028</v>
      </c>
      <c r="M85" s="458">
        <f t="shared" ref="M85" si="95">L85+1</f>
        <v>2029</v>
      </c>
      <c r="N85" s="458">
        <f t="shared" ref="N85" si="96">M85+1</f>
        <v>2030</v>
      </c>
    </row>
    <row r="86" spans="2:29" customFormat="1" x14ac:dyDescent="0.25">
      <c r="B86" s="459" t="s">
        <v>811</v>
      </c>
    </row>
    <row r="87" spans="2:29" s="52" customFormat="1" x14ac:dyDescent="0.25">
      <c r="B87" s="53" t="s">
        <v>234</v>
      </c>
      <c r="C87" s="54"/>
      <c r="D87" s="54">
        <f t="shared" ref="D87:N87" si="97">D28</f>
        <v>0</v>
      </c>
      <c r="E87" s="54">
        <f t="shared" si="97"/>
        <v>0</v>
      </c>
      <c r="F87" s="54">
        <f t="shared" si="97"/>
        <v>0</v>
      </c>
      <c r="G87" s="54">
        <f t="shared" si="97"/>
        <v>0</v>
      </c>
      <c r="H87" s="54">
        <f t="shared" si="97"/>
        <v>0</v>
      </c>
      <c r="I87" s="54" t="e">
        <f t="shared" si="97"/>
        <v>#DIV/0!</v>
      </c>
      <c r="J87" s="54" t="e">
        <f t="shared" si="97"/>
        <v>#DIV/0!</v>
      </c>
      <c r="K87" s="54" t="e">
        <f t="shared" si="97"/>
        <v>#DIV/0!</v>
      </c>
      <c r="L87" s="54" t="e">
        <f t="shared" si="97"/>
        <v>#DIV/0!</v>
      </c>
      <c r="M87" s="54" t="e">
        <f t="shared" si="97"/>
        <v>#DIV/0!</v>
      </c>
      <c r="N87" s="54" t="e">
        <f t="shared" si="97"/>
        <v>#DIV/0!</v>
      </c>
    </row>
    <row r="88" spans="2:29" s="52" customFormat="1" x14ac:dyDescent="0.25">
      <c r="B88" s="53" t="s">
        <v>235</v>
      </c>
      <c r="C88" s="54"/>
      <c r="D88" s="54">
        <f t="shared" ref="D88:N88" si="98">D37-(D48+D51)</f>
        <v>0</v>
      </c>
      <c r="E88" s="54">
        <f t="shared" si="98"/>
        <v>0</v>
      </c>
      <c r="F88" s="54">
        <f t="shared" si="98"/>
        <v>0</v>
      </c>
      <c r="G88" s="54">
        <f t="shared" si="98"/>
        <v>0</v>
      </c>
      <c r="H88" s="54">
        <f t="shared" si="98"/>
        <v>0</v>
      </c>
      <c r="I88" s="54" t="e">
        <f t="shared" si="98"/>
        <v>#DIV/0!</v>
      </c>
      <c r="J88" s="54" t="e">
        <f t="shared" si="98"/>
        <v>#DIV/0!</v>
      </c>
      <c r="K88" s="54" t="e">
        <f t="shared" si="98"/>
        <v>#DIV/0!</v>
      </c>
      <c r="L88" s="54" t="e">
        <f t="shared" si="98"/>
        <v>#DIV/0!</v>
      </c>
      <c r="M88" s="54" t="e">
        <f t="shared" si="98"/>
        <v>#DIV/0!</v>
      </c>
      <c r="N88" s="54" t="e">
        <f t="shared" si="98"/>
        <v>#DIV/0!</v>
      </c>
    </row>
    <row r="89" spans="2:29" s="52" customFormat="1" x14ac:dyDescent="0.25">
      <c r="B89" s="53" t="s">
        <v>236</v>
      </c>
      <c r="C89" s="54"/>
      <c r="D89" s="54">
        <f t="shared" ref="D89:N89" si="99">D66</f>
        <v>0</v>
      </c>
      <c r="E89" s="54">
        <f t="shared" si="99"/>
        <v>0</v>
      </c>
      <c r="F89" s="54">
        <f t="shared" si="99"/>
        <v>0</v>
      </c>
      <c r="G89" s="54">
        <f t="shared" si="99"/>
        <v>0</v>
      </c>
      <c r="H89" s="54">
        <f t="shared" si="99"/>
        <v>0</v>
      </c>
      <c r="I89" s="54" t="e">
        <f t="shared" si="99"/>
        <v>#DIV/0!</v>
      </c>
      <c r="J89" s="54" t="e">
        <f t="shared" si="99"/>
        <v>#DIV/0!</v>
      </c>
      <c r="K89" s="54" t="e">
        <f t="shared" si="99"/>
        <v>#DIV/0!</v>
      </c>
      <c r="L89" s="54" t="e">
        <f t="shared" si="99"/>
        <v>#DIV/0!</v>
      </c>
      <c r="M89" s="54" t="e">
        <f t="shared" si="99"/>
        <v>#DIV/0!</v>
      </c>
      <c r="N89" s="54" t="e">
        <f t="shared" si="99"/>
        <v>#DIV/0!</v>
      </c>
    </row>
    <row r="90" spans="2:29" s="52" customFormat="1" x14ac:dyDescent="0.25">
      <c r="B90" s="53" t="s">
        <v>237</v>
      </c>
      <c r="C90" s="54"/>
      <c r="D90" s="54"/>
      <c r="E90" s="54">
        <f t="shared" ref="E90:N90" si="100">(E81-E80)-(E63+E68+E75+E77)</f>
        <v>0</v>
      </c>
      <c r="F90" s="54">
        <f t="shared" si="100"/>
        <v>0</v>
      </c>
      <c r="G90" s="54">
        <f t="shared" si="100"/>
        <v>0</v>
      </c>
      <c r="H90" s="54">
        <f t="shared" si="100"/>
        <v>0</v>
      </c>
      <c r="I90" s="54" t="e">
        <f t="shared" si="100"/>
        <v>#DIV/0!</v>
      </c>
      <c r="J90" s="54" t="e">
        <f t="shared" si="100"/>
        <v>#DIV/0!</v>
      </c>
      <c r="K90" s="54" t="e">
        <f t="shared" si="100"/>
        <v>#DIV/0!</v>
      </c>
      <c r="L90" s="54" t="e">
        <f t="shared" si="100"/>
        <v>#DIV/0!</v>
      </c>
      <c r="M90" s="54" t="e">
        <f t="shared" si="100"/>
        <v>#DIV/0!</v>
      </c>
      <c r="N90" s="54" t="e">
        <f t="shared" si="100"/>
        <v>#DIV/0!</v>
      </c>
    </row>
    <row r="91" spans="2:29" s="52" customFormat="1" x14ac:dyDescent="0.25">
      <c r="B91" s="53" t="s">
        <v>238</v>
      </c>
      <c r="C91" s="54"/>
      <c r="D91" s="55" t="e">
        <f t="shared" ref="D91:N91" si="101">(D12+D14+D16+D17+D18+D20)/D11</f>
        <v>#DIV/0!</v>
      </c>
      <c r="E91" s="55" t="e">
        <f t="shared" si="101"/>
        <v>#DIV/0!</v>
      </c>
      <c r="F91" s="55" t="e">
        <f t="shared" si="101"/>
        <v>#DIV/0!</v>
      </c>
      <c r="G91" s="55" t="e">
        <f t="shared" si="101"/>
        <v>#DIV/0!</v>
      </c>
      <c r="H91" s="55" t="e">
        <f t="shared" si="101"/>
        <v>#DIV/0!</v>
      </c>
      <c r="I91" s="55" t="e">
        <f t="shared" si="101"/>
        <v>#DIV/0!</v>
      </c>
      <c r="J91" s="55" t="e">
        <f t="shared" si="101"/>
        <v>#DIV/0!</v>
      </c>
      <c r="K91" s="55" t="e">
        <f t="shared" si="101"/>
        <v>#DIV/0!</v>
      </c>
      <c r="L91" s="55" t="e">
        <f t="shared" si="101"/>
        <v>#DIV/0!</v>
      </c>
      <c r="M91" s="55" t="e">
        <f t="shared" si="101"/>
        <v>#DIV/0!</v>
      </c>
      <c r="N91" s="55" t="e">
        <f t="shared" si="101"/>
        <v>#DIV/0!</v>
      </c>
    </row>
    <row r="92" spans="2:29" s="52" customFormat="1" x14ac:dyDescent="0.25">
      <c r="B92" s="53" t="s">
        <v>239</v>
      </c>
      <c r="C92" s="54"/>
      <c r="D92" s="56" t="e">
        <f t="shared" ref="D92:N92" si="102">(D23-D20-D16+D60+D61)/D11</f>
        <v>#DIV/0!</v>
      </c>
      <c r="E92" s="56" t="e">
        <f t="shared" si="102"/>
        <v>#DIV/0!</v>
      </c>
      <c r="F92" s="56" t="e">
        <f t="shared" si="102"/>
        <v>#DIV/0!</v>
      </c>
      <c r="G92" s="56" t="e">
        <f t="shared" si="102"/>
        <v>#DIV/0!</v>
      </c>
      <c r="H92" s="56" t="e">
        <f t="shared" si="102"/>
        <v>#DIV/0!</v>
      </c>
      <c r="I92" s="56" t="e">
        <f t="shared" si="102"/>
        <v>#DIV/0!</v>
      </c>
      <c r="J92" s="56" t="e">
        <f t="shared" si="102"/>
        <v>#DIV/0!</v>
      </c>
      <c r="K92" s="56" t="e">
        <f t="shared" si="102"/>
        <v>#DIV/0!</v>
      </c>
      <c r="L92" s="56" t="e">
        <f t="shared" si="102"/>
        <v>#DIV/0!</v>
      </c>
      <c r="M92" s="56" t="e">
        <f t="shared" si="102"/>
        <v>#DIV/0!</v>
      </c>
      <c r="N92" s="56" t="e">
        <f t="shared" si="102"/>
        <v>#DIV/0!</v>
      </c>
    </row>
    <row r="93" spans="2:29" s="52" customFormat="1" x14ac:dyDescent="0.25">
      <c r="B93" s="57" t="s">
        <v>0</v>
      </c>
      <c r="C93" s="58"/>
      <c r="D93" s="58"/>
      <c r="E93" s="58"/>
      <c r="F93" s="58"/>
      <c r="G93" s="58"/>
      <c r="H93" s="58"/>
      <c r="I93" s="58"/>
      <c r="J93" s="58"/>
      <c r="K93" s="58"/>
      <c r="L93" s="58"/>
      <c r="M93" s="58"/>
      <c r="N93" s="58"/>
      <c r="O93" s="59"/>
      <c r="P93" s="59"/>
      <c r="Q93" s="59"/>
      <c r="R93" s="59"/>
      <c r="S93" s="59"/>
      <c r="T93" s="59"/>
      <c r="U93" s="59"/>
      <c r="V93" s="59"/>
      <c r="W93" s="59"/>
      <c r="X93" s="59"/>
      <c r="Y93" s="59"/>
      <c r="Z93" s="59"/>
      <c r="AA93" s="59"/>
      <c r="AB93" s="59"/>
      <c r="AC93" s="59"/>
    </row>
    <row r="94" spans="2:29" s="52" customFormat="1" x14ac:dyDescent="0.25">
      <c r="B94" s="53" t="s">
        <v>240</v>
      </c>
      <c r="C94" s="54"/>
      <c r="D94" s="54">
        <f>D11</f>
        <v>0</v>
      </c>
      <c r="E94" s="54">
        <f>E11</f>
        <v>0</v>
      </c>
      <c r="F94" s="54">
        <f>F11</f>
        <v>0</v>
      </c>
      <c r="G94" s="54">
        <f>G11</f>
        <v>0</v>
      </c>
      <c r="H94" s="54">
        <f>H11</f>
        <v>0</v>
      </c>
      <c r="I94" s="54"/>
      <c r="M94" s="56">
        <f>(1.55-(3/4)*0.142)/1.55</f>
        <v>0.93129032258064515</v>
      </c>
      <c r="N94" s="411" t="s">
        <v>762</v>
      </c>
    </row>
    <row r="95" spans="2:29" s="52" customFormat="1" x14ac:dyDescent="0.25">
      <c r="B95" s="53" t="s">
        <v>241</v>
      </c>
      <c r="C95" s="54"/>
      <c r="D95" s="56"/>
      <c r="E95" s="56" t="e">
        <f>(E94-D94)/D94</f>
        <v>#DIV/0!</v>
      </c>
      <c r="F95" s="56" t="e">
        <f>(F94-E94)/E94</f>
        <v>#DIV/0!</v>
      </c>
      <c r="G95" s="56" t="e">
        <f>(G94-F94)/F94</f>
        <v>#DIV/0!</v>
      </c>
      <c r="H95" s="56" t="e">
        <f>(M95-G94)/G94</f>
        <v>#DIV/0!</v>
      </c>
      <c r="J95" s="54"/>
      <c r="K95" s="54"/>
      <c r="L95" s="410" t="s">
        <v>760</v>
      </c>
      <c r="M95" s="54">
        <f>M94*H11</f>
        <v>0</v>
      </c>
      <c r="N95" s="53" t="s">
        <v>761</v>
      </c>
    </row>
    <row r="96" spans="2:29" s="52" customFormat="1" x14ac:dyDescent="0.25">
      <c r="B96" s="52" t="s">
        <v>242</v>
      </c>
      <c r="E96" s="60">
        <v>0</v>
      </c>
      <c r="F96" s="60">
        <v>0.2</v>
      </c>
      <c r="G96" s="60">
        <v>0.3</v>
      </c>
      <c r="H96" s="60">
        <v>0.5</v>
      </c>
      <c r="I96" s="56">
        <f>SUM(E96:H96)</f>
        <v>1</v>
      </c>
      <c r="P96" s="52" t="s">
        <v>767</v>
      </c>
    </row>
    <row r="97" spans="2:25" s="52" customFormat="1" x14ac:dyDescent="0.25">
      <c r="B97" s="52" t="s">
        <v>243</v>
      </c>
      <c r="E97" s="61" t="e">
        <f>E96*E95</f>
        <v>#DIV/0!</v>
      </c>
      <c r="F97" s="61" t="e">
        <f>F96*F95</f>
        <v>#DIV/0!</v>
      </c>
      <c r="G97" s="61" t="e">
        <f>G96*G95</f>
        <v>#DIV/0!</v>
      </c>
      <c r="H97" s="61" t="e">
        <f>H96*H95</f>
        <v>#DIV/0!</v>
      </c>
      <c r="P97" s="52">
        <f>E94</f>
        <v>0</v>
      </c>
      <c r="Q97" s="52">
        <f t="shared" ref="Q97:R97" si="103">F94</f>
        <v>0</v>
      </c>
      <c r="R97" s="52">
        <f t="shared" si="103"/>
        <v>0</v>
      </c>
      <c r="S97" s="52">
        <f>M95</f>
        <v>0</v>
      </c>
      <c r="X97" s="61" t="e">
        <f>(H94-G94)/G94</f>
        <v>#DIV/0!</v>
      </c>
    </row>
    <row r="98" spans="2:25" s="52" customFormat="1" x14ac:dyDescent="0.2">
      <c r="B98" s="52" t="s">
        <v>244</v>
      </c>
      <c r="C98" s="427" t="s">
        <v>810</v>
      </c>
      <c r="I98" s="62" t="e">
        <f>SUM(E97:H97)</f>
        <v>#DIV/0!</v>
      </c>
      <c r="J98" s="61" t="e">
        <f>I98</f>
        <v>#DIV/0!</v>
      </c>
      <c r="K98" s="61" t="e">
        <f>J98</f>
        <v>#DIV/0!</v>
      </c>
      <c r="L98" s="61" t="e">
        <f t="shared" ref="L98:N98" si="104">K98</f>
        <v>#DIV/0!</v>
      </c>
      <c r="M98" s="61" t="e">
        <f t="shared" si="104"/>
        <v>#DIV/0!</v>
      </c>
      <c r="N98" s="61" t="e">
        <f t="shared" si="104"/>
        <v>#DIV/0!</v>
      </c>
      <c r="P98" s="52">
        <v>1</v>
      </c>
      <c r="Q98" s="52">
        <v>2</v>
      </c>
      <c r="R98" s="52">
        <v>3</v>
      </c>
      <c r="S98" s="52">
        <v>4</v>
      </c>
    </row>
    <row r="99" spans="2:25" s="52" customFormat="1" x14ac:dyDescent="0.25">
      <c r="B99" s="53" t="s">
        <v>245</v>
      </c>
      <c r="C99" s="54"/>
      <c r="D99" s="54"/>
      <c r="E99" s="54"/>
      <c r="F99" s="54"/>
      <c r="G99" s="54"/>
      <c r="H99" s="54"/>
      <c r="I99" s="54" t="e">
        <f>H94*(1+I98)</f>
        <v>#DIV/0!</v>
      </c>
      <c r="J99" s="54" t="e">
        <f>I99*(1+J98)</f>
        <v>#DIV/0!</v>
      </c>
      <c r="K99" s="54" t="e">
        <f>J99*(1+K98)</f>
        <v>#DIV/0!</v>
      </c>
      <c r="L99" s="54" t="e">
        <f>K99*(1+L98)</f>
        <v>#DIV/0!</v>
      </c>
      <c r="M99" s="54" t="e">
        <f>L99*(1+M98)</f>
        <v>#DIV/0!</v>
      </c>
      <c r="N99" s="54" t="e">
        <f>M99*(1+N98)</f>
        <v>#DIV/0!</v>
      </c>
      <c r="P99" s="52" t="s">
        <v>768</v>
      </c>
      <c r="X99" s="61" t="e">
        <f>(M95-G94)/G94</f>
        <v>#DIV/0!</v>
      </c>
    </row>
    <row r="100" spans="2:25" s="52" customFormat="1" x14ac:dyDescent="0.25">
      <c r="B100" s="53" t="s">
        <v>246</v>
      </c>
      <c r="C100" s="54"/>
      <c r="D100" s="54">
        <f>D12</f>
        <v>0</v>
      </c>
      <c r="E100" s="54">
        <f>E12</f>
        <v>0</v>
      </c>
      <c r="F100" s="54">
        <f>F12</f>
        <v>0</v>
      </c>
      <c r="G100" s="54">
        <f>G12</f>
        <v>0</v>
      </c>
      <c r="H100" s="54">
        <f>H12</f>
        <v>0</v>
      </c>
      <c r="I100" s="54"/>
      <c r="J100" s="54"/>
      <c r="K100" s="54"/>
      <c r="L100" s="54"/>
      <c r="M100" s="54"/>
      <c r="N100" s="54"/>
      <c r="P100" s="415">
        <f>SLOPE(P97:S97,P98:S98)</f>
        <v>0</v>
      </c>
    </row>
    <row r="101" spans="2:25" s="52" customFormat="1" x14ac:dyDescent="0.25">
      <c r="B101" s="53" t="s">
        <v>247</v>
      </c>
      <c r="C101" s="54"/>
      <c r="D101" s="56" t="e">
        <f>D100/D94</f>
        <v>#DIV/0!</v>
      </c>
      <c r="E101" s="56" t="e">
        <f>E100/E94</f>
        <v>#DIV/0!</v>
      </c>
      <c r="F101" s="56" t="e">
        <f>F100/F94</f>
        <v>#DIV/0!</v>
      </c>
      <c r="G101" s="56" t="e">
        <f>G100/G94</f>
        <v>#DIV/0!</v>
      </c>
      <c r="H101" s="56" t="e">
        <f>H100/H94</f>
        <v>#DIV/0!</v>
      </c>
      <c r="I101" s="54"/>
      <c r="J101" s="54"/>
      <c r="K101" s="54"/>
      <c r="L101" s="54"/>
      <c r="M101" s="54"/>
      <c r="N101" s="54"/>
    </row>
    <row r="102" spans="2:25" s="52" customFormat="1" x14ac:dyDescent="0.25">
      <c r="B102" s="52" t="s">
        <v>248</v>
      </c>
      <c r="D102" s="61" t="e">
        <f>D101*0</f>
        <v>#DIV/0!</v>
      </c>
      <c r="E102" s="61" t="e">
        <f>E101*0.1</f>
        <v>#DIV/0!</v>
      </c>
      <c r="F102" s="61" t="e">
        <f>F101*0.2</f>
        <v>#DIV/0!</v>
      </c>
      <c r="G102" s="61" t="e">
        <f>G101*0.3</f>
        <v>#DIV/0!</v>
      </c>
      <c r="H102" s="61" t="e">
        <f>H101*0.4</f>
        <v>#DIV/0!</v>
      </c>
      <c r="I102" s="428" t="e">
        <f>SUM(D102:H102)</f>
        <v>#DIV/0!</v>
      </c>
      <c r="J102" s="52" t="s">
        <v>765</v>
      </c>
      <c r="K102" s="54"/>
      <c r="L102" s="54"/>
      <c r="M102" s="54"/>
      <c r="N102" s="54"/>
      <c r="Y102" s="64"/>
    </row>
    <row r="103" spans="2:25" s="52" customFormat="1" x14ac:dyDescent="0.25">
      <c r="B103" s="53" t="s">
        <v>249</v>
      </c>
      <c r="C103" s="54"/>
      <c r="D103" s="55"/>
      <c r="E103" s="55"/>
      <c r="F103" s="55"/>
      <c r="G103" s="55"/>
      <c r="H103" s="55"/>
      <c r="I103" s="63" t="e">
        <f>SUM($D$102:$H$102)</f>
        <v>#DIV/0!</v>
      </c>
      <c r="J103" s="63" t="e">
        <f>I103-0.25%</f>
        <v>#DIV/0!</v>
      </c>
      <c r="K103" s="63" t="e">
        <f t="shared" ref="K103:N103" si="105">J103-0.25%</f>
        <v>#DIV/0!</v>
      </c>
      <c r="L103" s="63" t="e">
        <f t="shared" si="105"/>
        <v>#DIV/0!</v>
      </c>
      <c r="M103" s="63" t="e">
        <f t="shared" si="105"/>
        <v>#DIV/0!</v>
      </c>
      <c r="N103" s="63" t="e">
        <f t="shared" si="105"/>
        <v>#DIV/0!</v>
      </c>
    </row>
    <row r="104" spans="2:25" s="52" customFormat="1" x14ac:dyDescent="0.25">
      <c r="B104" s="53" t="s">
        <v>250</v>
      </c>
      <c r="C104" s="54"/>
      <c r="D104" s="54"/>
      <c r="E104" s="54"/>
      <c r="F104" s="54"/>
      <c r="G104" s="54"/>
      <c r="H104" s="54"/>
      <c r="I104" s="54" t="e">
        <f t="shared" ref="I104:N104" si="106">I103*I11</f>
        <v>#DIV/0!</v>
      </c>
      <c r="J104" s="54" t="e">
        <f t="shared" si="106"/>
        <v>#DIV/0!</v>
      </c>
      <c r="K104" s="54" t="e">
        <f t="shared" si="106"/>
        <v>#DIV/0!</v>
      </c>
      <c r="L104" s="54" t="e">
        <f t="shared" si="106"/>
        <v>#DIV/0!</v>
      </c>
      <c r="M104" s="54" t="e">
        <f t="shared" si="106"/>
        <v>#DIV/0!</v>
      </c>
      <c r="N104" s="54" t="e">
        <f t="shared" si="106"/>
        <v>#DIV/0!</v>
      </c>
    </row>
    <row r="105" spans="2:25" s="52" customFormat="1" x14ac:dyDescent="0.25">
      <c r="B105" s="53"/>
      <c r="C105" s="54"/>
      <c r="D105" s="54"/>
      <c r="E105" s="54"/>
      <c r="F105" s="54"/>
      <c r="G105" s="54"/>
      <c r="H105" s="54"/>
      <c r="I105" s="54"/>
      <c r="J105" s="54"/>
      <c r="K105" s="54"/>
      <c r="L105" s="54"/>
      <c r="M105" s="54"/>
      <c r="N105" s="54"/>
    </row>
    <row r="106" spans="2:25" s="52" customFormat="1" x14ac:dyDescent="0.25">
      <c r="B106" s="53"/>
      <c r="C106" s="54"/>
      <c r="D106" s="54"/>
      <c r="E106" s="54"/>
      <c r="F106" s="54"/>
      <c r="G106" s="54"/>
      <c r="H106" s="54"/>
      <c r="I106" s="54"/>
      <c r="J106" s="54"/>
      <c r="K106" s="54"/>
      <c r="L106" s="54"/>
      <c r="M106" s="54"/>
      <c r="N106" s="54"/>
    </row>
    <row r="107" spans="2:25" s="52" customFormat="1" x14ac:dyDescent="0.25">
      <c r="B107" s="53" t="s">
        <v>251</v>
      </c>
      <c r="C107" s="54"/>
      <c r="D107" s="54">
        <f>D14</f>
        <v>0</v>
      </c>
      <c r="E107" s="54">
        <f>E14</f>
        <v>0</v>
      </c>
      <c r="F107" s="54">
        <f>F14</f>
        <v>0</v>
      </c>
      <c r="G107" s="54">
        <f>G14</f>
        <v>0</v>
      </c>
      <c r="H107" s="54">
        <f>H14</f>
        <v>0</v>
      </c>
      <c r="I107" s="54"/>
      <c r="J107" s="54"/>
      <c r="K107" s="54"/>
      <c r="L107" s="54"/>
      <c r="M107" s="54"/>
      <c r="N107" s="54"/>
    </row>
    <row r="108" spans="2:25" s="52" customFormat="1" x14ac:dyDescent="0.25">
      <c r="B108" s="53" t="s">
        <v>252</v>
      </c>
      <c r="C108" s="54"/>
      <c r="D108" s="56" t="e">
        <f>D107/D11</f>
        <v>#DIV/0!</v>
      </c>
      <c r="E108" s="56" t="e">
        <f>E107/E11</f>
        <v>#DIV/0!</v>
      </c>
      <c r="F108" s="56" t="e">
        <f>F107/F11</f>
        <v>#DIV/0!</v>
      </c>
      <c r="G108" s="56" t="e">
        <f>G107/G11</f>
        <v>#DIV/0!</v>
      </c>
      <c r="H108" s="56" t="e">
        <f>H107/H11</f>
        <v>#DIV/0!</v>
      </c>
      <c r="J108" s="56"/>
      <c r="K108" s="54"/>
      <c r="L108" s="54"/>
      <c r="M108" s="54"/>
      <c r="N108" s="54"/>
    </row>
    <row r="109" spans="2:25" s="52" customFormat="1" x14ac:dyDescent="0.25">
      <c r="B109" s="52" t="s">
        <v>253</v>
      </c>
      <c r="D109" s="64" t="e">
        <f>D108*0</f>
        <v>#DIV/0!</v>
      </c>
      <c r="E109" s="64" t="e">
        <f>E108*0.1</f>
        <v>#DIV/0!</v>
      </c>
      <c r="F109" s="64" t="e">
        <f>F108*0.2</f>
        <v>#DIV/0!</v>
      </c>
      <c r="G109" s="64" t="e">
        <f>G108*0.3</f>
        <v>#DIV/0!</v>
      </c>
      <c r="H109" s="64" t="e">
        <f>H108*0.4</f>
        <v>#DIV/0!</v>
      </c>
      <c r="I109" s="429" t="e">
        <f>SUM(D109:H109)</f>
        <v>#DIV/0!</v>
      </c>
      <c r="J109" s="52" t="s">
        <v>764</v>
      </c>
    </row>
    <row r="110" spans="2:25" s="52" customFormat="1" x14ac:dyDescent="0.25">
      <c r="B110" s="53" t="s">
        <v>254</v>
      </c>
      <c r="C110" s="54"/>
      <c r="D110" s="54"/>
      <c r="E110" s="54"/>
      <c r="F110" s="54"/>
      <c r="G110" s="54"/>
      <c r="H110" s="54"/>
      <c r="I110" s="63" t="e">
        <f>SUM($D$109:$H$109)</f>
        <v>#DIV/0!</v>
      </c>
      <c r="J110" s="63" t="e">
        <f>I110-0.5%</f>
        <v>#DIV/0!</v>
      </c>
      <c r="K110" s="63" t="e">
        <f t="shared" ref="K110:N110" si="107">J110-0.5%</f>
        <v>#DIV/0!</v>
      </c>
      <c r="L110" s="63" t="e">
        <f t="shared" si="107"/>
        <v>#DIV/0!</v>
      </c>
      <c r="M110" s="63" t="e">
        <f t="shared" si="107"/>
        <v>#DIV/0!</v>
      </c>
      <c r="N110" s="63" t="e">
        <f t="shared" si="107"/>
        <v>#DIV/0!</v>
      </c>
    </row>
    <row r="111" spans="2:25" s="52" customFormat="1" x14ac:dyDescent="0.25">
      <c r="B111" s="53"/>
      <c r="C111" s="54"/>
      <c r="D111" s="54"/>
      <c r="E111" s="54"/>
      <c r="F111" s="54"/>
      <c r="G111" s="54"/>
      <c r="H111" s="54"/>
      <c r="I111" s="54" t="e">
        <f t="shared" ref="I111:N111" si="108">I110*I11</f>
        <v>#DIV/0!</v>
      </c>
      <c r="J111" s="54" t="e">
        <f t="shared" si="108"/>
        <v>#DIV/0!</v>
      </c>
      <c r="K111" s="54" t="e">
        <f t="shared" si="108"/>
        <v>#DIV/0!</v>
      </c>
      <c r="L111" s="54" t="e">
        <f t="shared" si="108"/>
        <v>#DIV/0!</v>
      </c>
      <c r="M111" s="54" t="e">
        <f t="shared" si="108"/>
        <v>#DIV/0!</v>
      </c>
      <c r="N111" s="54" t="e">
        <f t="shared" si="108"/>
        <v>#DIV/0!</v>
      </c>
    </row>
    <row r="112" spans="2:25" s="52" customFormat="1" x14ac:dyDescent="0.25">
      <c r="B112" s="53"/>
      <c r="C112" s="54"/>
      <c r="D112" s="54"/>
      <c r="E112" s="54"/>
      <c r="F112" s="54"/>
      <c r="G112" s="54"/>
      <c r="H112" s="54"/>
      <c r="I112" s="54"/>
      <c r="J112" s="54"/>
      <c r="K112" s="54"/>
      <c r="L112" s="54"/>
      <c r="M112" s="54"/>
      <c r="N112" s="54"/>
    </row>
    <row r="113" spans="2:17" s="52" customFormat="1" x14ac:dyDescent="0.25">
      <c r="B113" s="65" t="s">
        <v>255</v>
      </c>
      <c r="C113" s="66"/>
      <c r="D113" s="66">
        <f>D16</f>
        <v>0</v>
      </c>
      <c r="E113" s="66">
        <f>E16</f>
        <v>0</v>
      </c>
      <c r="F113" s="66">
        <f>F16</f>
        <v>0</v>
      </c>
      <c r="G113" s="66">
        <f>G16</f>
        <v>0</v>
      </c>
      <c r="H113" s="66">
        <f>H16</f>
        <v>0</v>
      </c>
      <c r="I113" s="66"/>
      <c r="J113" s="66"/>
      <c r="K113" s="66"/>
      <c r="L113" s="66"/>
      <c r="M113" s="66"/>
      <c r="N113" s="66"/>
      <c r="O113" s="67"/>
      <c r="P113" s="67"/>
      <c r="Q113" s="67"/>
    </row>
    <row r="114" spans="2:17" s="52" customFormat="1" x14ac:dyDescent="0.25">
      <c r="B114" s="65" t="s">
        <v>256</v>
      </c>
      <c r="C114" s="66"/>
      <c r="D114" s="68"/>
      <c r="E114" s="68">
        <f>SUM(E41,E42,E45)</f>
        <v>0</v>
      </c>
      <c r="F114" s="68">
        <f>SUM(F41,F42,F45)</f>
        <v>0</v>
      </c>
      <c r="G114" s="68">
        <f>SUM(G41,G42,G45)</f>
        <v>0</v>
      </c>
      <c r="H114" s="68">
        <f>SUM(H41,H42,H45)</f>
        <v>0</v>
      </c>
      <c r="I114" s="66"/>
      <c r="J114" s="66"/>
      <c r="K114" s="66"/>
      <c r="L114" s="66"/>
      <c r="M114" s="66"/>
      <c r="N114" s="66"/>
      <c r="O114" s="67"/>
      <c r="P114" s="67"/>
      <c r="Q114" s="67"/>
    </row>
    <row r="115" spans="2:17" s="52" customFormat="1" x14ac:dyDescent="0.25">
      <c r="B115" s="65" t="s">
        <v>257</v>
      </c>
      <c r="C115" s="66"/>
      <c r="D115" s="63"/>
      <c r="E115" s="63" t="e">
        <f>E113/E114</f>
        <v>#DIV/0!</v>
      </c>
      <c r="F115" s="63" t="e">
        <f>F113/F114</f>
        <v>#DIV/0!</v>
      </c>
      <c r="G115" s="63" t="e">
        <f>G113/G114</f>
        <v>#DIV/0!</v>
      </c>
      <c r="H115" s="63" t="e">
        <f>H113/H114</f>
        <v>#DIV/0!</v>
      </c>
      <c r="I115" s="63"/>
      <c r="J115" s="66"/>
      <c r="K115" s="66"/>
      <c r="L115" s="66"/>
      <c r="M115" s="66"/>
      <c r="N115" s="66"/>
      <c r="O115" s="67"/>
      <c r="P115" s="67"/>
      <c r="Q115" s="67"/>
    </row>
    <row r="116" spans="2:17" s="52" customFormat="1" x14ac:dyDescent="0.25">
      <c r="B116" s="65" t="s">
        <v>258</v>
      </c>
      <c r="C116" s="66"/>
      <c r="D116" s="66"/>
      <c r="E116" s="66"/>
      <c r="F116" s="66"/>
      <c r="G116" s="66"/>
      <c r="H116" s="66"/>
      <c r="I116" s="63" t="e">
        <f>AVERAGE(E115:H115)</f>
        <v>#DIV/0!</v>
      </c>
      <c r="J116" s="66"/>
      <c r="K116" s="66"/>
      <c r="L116" s="66"/>
      <c r="M116" s="66"/>
      <c r="N116" s="66"/>
      <c r="O116" s="67"/>
      <c r="P116" s="67"/>
      <c r="Q116" s="67"/>
    </row>
    <row r="117" spans="2:17" s="52" customFormat="1" x14ac:dyDescent="0.25">
      <c r="B117" s="67" t="s">
        <v>259</v>
      </c>
      <c r="C117" s="66"/>
      <c r="D117" s="66"/>
      <c r="E117" s="66"/>
      <c r="F117" s="66"/>
      <c r="G117" s="66"/>
      <c r="H117" s="66"/>
      <c r="I117" s="66" t="e">
        <f t="shared" ref="I117:N117" si="109">I41+I42+I45</f>
        <v>#DIV/0!</v>
      </c>
      <c r="J117" s="66" t="e">
        <f t="shared" si="109"/>
        <v>#DIV/0!</v>
      </c>
      <c r="K117" s="66" t="e">
        <f t="shared" si="109"/>
        <v>#DIV/0!</v>
      </c>
      <c r="L117" s="66" t="e">
        <f t="shared" si="109"/>
        <v>#DIV/0!</v>
      </c>
      <c r="M117" s="66" t="e">
        <f t="shared" si="109"/>
        <v>#DIV/0!</v>
      </c>
      <c r="N117" s="66" t="e">
        <f t="shared" si="109"/>
        <v>#DIV/0!</v>
      </c>
      <c r="O117" s="67"/>
      <c r="P117" s="67"/>
      <c r="Q117" s="67"/>
    </row>
    <row r="118" spans="2:17" s="52" customFormat="1" x14ac:dyDescent="0.25">
      <c r="B118" s="53" t="s">
        <v>260</v>
      </c>
      <c r="C118" s="54"/>
      <c r="D118" s="54"/>
      <c r="E118" s="54"/>
      <c r="F118" s="54"/>
      <c r="G118" s="54"/>
      <c r="H118" s="54"/>
      <c r="I118" s="54" t="e">
        <f>$I116*I117</f>
        <v>#DIV/0!</v>
      </c>
      <c r="J118" s="54" t="e">
        <f t="shared" ref="J118:N118" si="110">$I116*J117</f>
        <v>#DIV/0!</v>
      </c>
      <c r="K118" s="54" t="e">
        <f t="shared" si="110"/>
        <v>#DIV/0!</v>
      </c>
      <c r="L118" s="54" t="e">
        <f t="shared" si="110"/>
        <v>#DIV/0!</v>
      </c>
      <c r="M118" s="54" t="e">
        <f t="shared" si="110"/>
        <v>#DIV/0!</v>
      </c>
      <c r="N118" s="54" t="e">
        <f t="shared" si="110"/>
        <v>#DIV/0!</v>
      </c>
    </row>
    <row r="119" spans="2:17" s="52" customFormat="1" x14ac:dyDescent="0.25"/>
    <row r="120" spans="2:17" s="52" customFormat="1" x14ac:dyDescent="0.25">
      <c r="B120" s="53" t="str">
        <f>B17</f>
        <v>Other non-operating income (expense) except interest expense &amp; unusual</v>
      </c>
      <c r="C120" s="54"/>
      <c r="D120" s="54">
        <f>D17</f>
        <v>0</v>
      </c>
      <c r="E120" s="54">
        <f>E17</f>
        <v>0</v>
      </c>
      <c r="F120" s="54">
        <f>F17</f>
        <v>0</v>
      </c>
      <c r="G120" s="54">
        <f>G17</f>
        <v>0</v>
      </c>
      <c r="H120" s="54">
        <f>H17</f>
        <v>0</v>
      </c>
      <c r="I120" s="54"/>
      <c r="J120" s="54"/>
      <c r="K120" s="54"/>
      <c r="L120" s="54"/>
      <c r="M120" s="54"/>
      <c r="N120" s="54"/>
    </row>
    <row r="121" spans="2:17" s="52" customFormat="1" x14ac:dyDescent="0.25">
      <c r="B121" s="53" t="s">
        <v>261</v>
      </c>
      <c r="C121" s="54"/>
      <c r="D121" s="55" t="e">
        <f>D120/D11</f>
        <v>#DIV/0!</v>
      </c>
      <c r="E121" s="55" t="e">
        <f>E120/E11</f>
        <v>#DIV/0!</v>
      </c>
      <c r="F121" s="55" t="e">
        <f>F120/F11</f>
        <v>#DIV/0!</v>
      </c>
      <c r="G121" s="55" t="e">
        <f>G120/G11</f>
        <v>#DIV/0!</v>
      </c>
      <c r="H121" s="55" t="e">
        <f>H120/H11</f>
        <v>#DIV/0!</v>
      </c>
      <c r="I121" s="54"/>
      <c r="J121" s="54"/>
      <c r="K121" s="54"/>
      <c r="L121" s="54"/>
      <c r="M121" s="54"/>
      <c r="N121" s="54"/>
    </row>
    <row r="122" spans="2:17" s="52" customFormat="1" x14ac:dyDescent="0.25">
      <c r="B122" s="53" t="s">
        <v>262</v>
      </c>
      <c r="C122" s="54"/>
      <c r="D122" s="69" t="e">
        <f>D121*0</f>
        <v>#DIV/0!</v>
      </c>
      <c r="E122" s="69" t="e">
        <f>E121*0.1</f>
        <v>#DIV/0!</v>
      </c>
      <c r="F122" s="69" t="e">
        <f>F121*0.25</f>
        <v>#DIV/0!</v>
      </c>
      <c r="G122" s="69" t="e">
        <f>G121*0.35</f>
        <v>#DIV/0!</v>
      </c>
      <c r="H122" s="69" t="e">
        <f>H121*0.3</f>
        <v>#DIV/0!</v>
      </c>
      <c r="I122" s="55" t="e">
        <f>SUM(D122:H122)</f>
        <v>#DIV/0!</v>
      </c>
      <c r="J122" s="54"/>
      <c r="K122" s="54"/>
      <c r="L122" s="54"/>
      <c r="M122" s="54"/>
      <c r="N122" s="54"/>
    </row>
    <row r="123" spans="2:17" s="52" customFormat="1" x14ac:dyDescent="0.25">
      <c r="B123" s="53" t="s">
        <v>263</v>
      </c>
      <c r="C123" s="54"/>
      <c r="D123" s="54"/>
      <c r="E123" s="54"/>
      <c r="F123" s="54"/>
      <c r="G123" s="54"/>
      <c r="H123" s="54"/>
      <c r="I123" s="54" t="e">
        <f t="shared" ref="I123:N123" si="111">$I122*I11</f>
        <v>#DIV/0!</v>
      </c>
      <c r="J123" s="54" t="e">
        <f t="shared" si="111"/>
        <v>#DIV/0!</v>
      </c>
      <c r="K123" s="54" t="e">
        <f t="shared" si="111"/>
        <v>#DIV/0!</v>
      </c>
      <c r="L123" s="54" t="e">
        <f t="shared" si="111"/>
        <v>#DIV/0!</v>
      </c>
      <c r="M123" s="54" t="e">
        <f t="shared" si="111"/>
        <v>#DIV/0!</v>
      </c>
      <c r="N123" s="54" t="e">
        <f t="shared" si="111"/>
        <v>#DIV/0!</v>
      </c>
    </row>
    <row r="124" spans="2:17" s="52" customFormat="1" x14ac:dyDescent="0.25">
      <c r="B124" s="53"/>
      <c r="C124" s="54"/>
      <c r="D124" s="54"/>
      <c r="E124" s="54"/>
      <c r="F124" s="54"/>
      <c r="G124" s="54"/>
      <c r="H124" s="54"/>
      <c r="I124" s="54"/>
      <c r="J124" s="54"/>
      <c r="K124" s="54"/>
      <c r="L124" s="54"/>
      <c r="M124" s="54"/>
      <c r="N124" s="54"/>
    </row>
    <row r="125" spans="2:17" s="52" customFormat="1" x14ac:dyDescent="0.25">
      <c r="B125" s="53"/>
      <c r="C125" s="54"/>
      <c r="D125" s="54"/>
      <c r="E125" s="54"/>
      <c r="F125" s="54"/>
      <c r="G125" s="54"/>
      <c r="H125" s="54"/>
      <c r="I125" s="54"/>
      <c r="J125" s="54"/>
      <c r="K125" s="54"/>
      <c r="L125" s="54"/>
      <c r="M125" s="54"/>
      <c r="N125" s="54"/>
    </row>
    <row r="126" spans="2:17" s="52" customFormat="1" x14ac:dyDescent="0.25">
      <c r="B126" s="53" t="s">
        <v>183</v>
      </c>
      <c r="C126" s="54"/>
      <c r="D126" s="54">
        <f>D18</f>
        <v>0</v>
      </c>
      <c r="E126" s="54">
        <f>E18</f>
        <v>0</v>
      </c>
      <c r="F126" s="54">
        <f>F18</f>
        <v>0</v>
      </c>
      <c r="G126" s="54">
        <f>G18</f>
        <v>0</v>
      </c>
      <c r="H126" s="54">
        <f>H18</f>
        <v>0</v>
      </c>
      <c r="I126" s="54"/>
      <c r="J126" s="54"/>
      <c r="K126" s="54"/>
      <c r="L126" s="54"/>
      <c r="M126" s="54"/>
      <c r="N126" s="54"/>
    </row>
    <row r="127" spans="2:17" s="52" customFormat="1" x14ac:dyDescent="0.25">
      <c r="B127" s="53" t="s">
        <v>264</v>
      </c>
      <c r="C127" s="54"/>
      <c r="D127" s="55" t="e">
        <f>D126/D11</f>
        <v>#DIV/0!</v>
      </c>
      <c r="E127" s="55" t="e">
        <f>E126/E11</f>
        <v>#DIV/0!</v>
      </c>
      <c r="F127" s="55" t="e">
        <f>F126/F11</f>
        <v>#DIV/0!</v>
      </c>
      <c r="G127" s="55" t="e">
        <f>G126/G11</f>
        <v>#DIV/0!</v>
      </c>
      <c r="H127" s="55" t="e">
        <f>H126/H11</f>
        <v>#DIV/0!</v>
      </c>
      <c r="J127" s="53"/>
      <c r="K127" s="54"/>
      <c r="L127" s="54"/>
      <c r="M127" s="54"/>
      <c r="N127" s="54"/>
    </row>
    <row r="128" spans="2:17" s="52" customFormat="1" x14ac:dyDescent="0.25">
      <c r="B128" s="53" t="s">
        <v>265</v>
      </c>
      <c r="C128" s="54"/>
      <c r="D128" s="54"/>
      <c r="E128" s="54"/>
      <c r="F128" s="54"/>
      <c r="G128" s="54"/>
      <c r="H128" s="54" t="e">
        <f>I128*H11</f>
        <v>#DIV/0!</v>
      </c>
      <c r="I128" s="56" t="e">
        <f>AVERAGE(D127:H127)</f>
        <v>#DIV/0!</v>
      </c>
      <c r="K128" s="54"/>
      <c r="L128" s="54"/>
      <c r="M128" s="54"/>
      <c r="N128" s="54"/>
    </row>
    <row r="129" spans="2:29" s="52" customFormat="1" x14ac:dyDescent="0.25">
      <c r="B129" s="53" t="s">
        <v>266</v>
      </c>
      <c r="C129" s="54"/>
      <c r="D129" s="54"/>
      <c r="E129" s="54"/>
      <c r="F129" s="54"/>
      <c r="G129" s="54"/>
      <c r="H129" s="54"/>
      <c r="I129" s="54" t="e">
        <f t="shared" ref="I129:N129" si="112">$I128*I11</f>
        <v>#DIV/0!</v>
      </c>
      <c r="J129" s="54" t="e">
        <f t="shared" si="112"/>
        <v>#DIV/0!</v>
      </c>
      <c r="K129" s="54" t="e">
        <f t="shared" si="112"/>
        <v>#DIV/0!</v>
      </c>
      <c r="L129" s="54" t="e">
        <f t="shared" si="112"/>
        <v>#DIV/0!</v>
      </c>
      <c r="M129" s="54" t="e">
        <f t="shared" si="112"/>
        <v>#DIV/0!</v>
      </c>
      <c r="N129" s="54" t="e">
        <f t="shared" si="112"/>
        <v>#DIV/0!</v>
      </c>
    </row>
    <row r="130" spans="2:29" s="52" customFormat="1" x14ac:dyDescent="0.25">
      <c r="B130" s="53"/>
      <c r="C130" s="54"/>
      <c r="D130" s="54"/>
      <c r="E130" s="54"/>
      <c r="F130" s="54"/>
      <c r="G130" s="54"/>
      <c r="H130" s="54"/>
      <c r="I130" s="54"/>
      <c r="J130" s="54"/>
      <c r="K130" s="54"/>
      <c r="L130" s="54"/>
      <c r="M130" s="54"/>
      <c r="N130" s="54"/>
    </row>
    <row r="131" spans="2:29" s="52" customFormat="1" x14ac:dyDescent="0.25">
      <c r="B131" s="53" t="s">
        <v>267</v>
      </c>
      <c r="C131" s="54"/>
      <c r="D131" s="56" t="e">
        <f>D20/D19</f>
        <v>#DIV/0!</v>
      </c>
      <c r="E131" s="56" t="e">
        <f>E20/E19</f>
        <v>#DIV/0!</v>
      </c>
      <c r="F131" s="56" t="e">
        <f>F20/F19</f>
        <v>#DIV/0!</v>
      </c>
      <c r="G131" s="56" t="e">
        <f>G20/G19</f>
        <v>#DIV/0!</v>
      </c>
      <c r="H131" s="56" t="e">
        <f>H20/H19</f>
        <v>#DIV/0!</v>
      </c>
      <c r="I131" s="56"/>
      <c r="J131" s="56"/>
      <c r="K131" s="56"/>
      <c r="L131" s="56"/>
      <c r="M131" s="56"/>
      <c r="N131" s="56"/>
    </row>
    <row r="132" spans="2:29" s="52" customFormat="1" x14ac:dyDescent="0.25">
      <c r="B132" s="53" t="s">
        <v>268</v>
      </c>
      <c r="C132" s="54"/>
      <c r="D132" s="54"/>
      <c r="E132" s="54"/>
      <c r="F132" s="54"/>
      <c r="G132" s="54"/>
      <c r="H132" s="54"/>
      <c r="I132" s="56" t="e">
        <f>AVERAGE(D131:H131)</f>
        <v>#DIV/0!</v>
      </c>
      <c r="J132" s="54"/>
      <c r="K132" s="54"/>
      <c r="L132" s="54"/>
      <c r="M132" s="54"/>
      <c r="N132" s="54"/>
    </row>
    <row r="133" spans="2:29" s="52" customFormat="1" x14ac:dyDescent="0.25">
      <c r="B133" s="53" t="s">
        <v>269</v>
      </c>
      <c r="C133" s="54"/>
      <c r="D133" s="54"/>
      <c r="E133" s="54"/>
      <c r="F133" s="54"/>
      <c r="G133" s="54"/>
      <c r="H133" s="54"/>
      <c r="I133" s="54" t="e">
        <f t="shared" ref="I133:N133" si="113">$I132*I19</f>
        <v>#DIV/0!</v>
      </c>
      <c r="J133" s="54" t="e">
        <f t="shared" si="113"/>
        <v>#DIV/0!</v>
      </c>
      <c r="K133" s="54" t="e">
        <f t="shared" si="113"/>
        <v>#DIV/0!</v>
      </c>
      <c r="L133" s="54" t="e">
        <f t="shared" si="113"/>
        <v>#DIV/0!</v>
      </c>
      <c r="M133" s="54" t="e">
        <f t="shared" si="113"/>
        <v>#DIV/0!</v>
      </c>
      <c r="N133" s="54" t="e">
        <f t="shared" si="113"/>
        <v>#DIV/0!</v>
      </c>
    </row>
    <row r="134" spans="2:29" s="52" customFormat="1" x14ac:dyDescent="0.25">
      <c r="B134" s="53"/>
      <c r="C134" s="54"/>
      <c r="D134" s="54"/>
      <c r="E134" s="54"/>
      <c r="F134" s="54"/>
      <c r="G134" s="54"/>
      <c r="H134" s="54"/>
      <c r="I134" s="54"/>
      <c r="J134" s="54"/>
      <c r="K134" s="54"/>
      <c r="L134" s="54"/>
      <c r="M134" s="54"/>
      <c r="N134" s="54"/>
    </row>
    <row r="135" spans="2:29" s="52" customFormat="1" x14ac:dyDescent="0.25">
      <c r="B135" s="53"/>
      <c r="C135" s="54"/>
      <c r="D135" s="54"/>
      <c r="E135" s="54"/>
      <c r="F135" s="54"/>
      <c r="G135" s="54"/>
      <c r="H135" s="54"/>
      <c r="I135" s="54"/>
      <c r="J135" s="54"/>
      <c r="K135" s="54"/>
      <c r="L135" s="54"/>
      <c r="M135" s="54"/>
      <c r="N135" s="54"/>
    </row>
    <row r="136" spans="2:29" s="52" customFormat="1" x14ac:dyDescent="0.25">
      <c r="B136" s="53" t="s">
        <v>270</v>
      </c>
      <c r="C136" s="54"/>
      <c r="D136" s="54">
        <f>D22</f>
        <v>0</v>
      </c>
      <c r="E136" s="54">
        <f>E22</f>
        <v>0</v>
      </c>
      <c r="F136" s="54">
        <f>F22</f>
        <v>0</v>
      </c>
      <c r="G136" s="54">
        <f>G22</f>
        <v>0</v>
      </c>
      <c r="H136" s="54">
        <f>H22</f>
        <v>0</v>
      </c>
      <c r="I136" s="54"/>
      <c r="J136" s="54"/>
      <c r="K136" s="54"/>
      <c r="L136" s="54"/>
      <c r="M136" s="54"/>
      <c r="N136" s="54"/>
    </row>
    <row r="137" spans="2:29" s="52" customFormat="1" x14ac:dyDescent="0.25">
      <c r="B137" s="53" t="s">
        <v>271</v>
      </c>
      <c r="C137" s="54"/>
      <c r="D137" s="55" t="e">
        <f>D136/D11</f>
        <v>#DIV/0!</v>
      </c>
      <c r="E137" s="55" t="e">
        <f>E136/E11</f>
        <v>#DIV/0!</v>
      </c>
      <c r="F137" s="55" t="e">
        <f>F136/F11</f>
        <v>#DIV/0!</v>
      </c>
      <c r="G137" s="55" t="e">
        <f>G136/G11</f>
        <v>#DIV/0!</v>
      </c>
      <c r="H137" s="55" t="e">
        <f>H136/H11</f>
        <v>#DIV/0!</v>
      </c>
      <c r="I137" s="54"/>
      <c r="J137" s="54"/>
      <c r="K137" s="54"/>
      <c r="L137" s="54"/>
      <c r="M137" s="54"/>
      <c r="N137" s="54"/>
    </row>
    <row r="138" spans="2:29" s="52" customFormat="1" x14ac:dyDescent="0.25">
      <c r="B138" s="53" t="s">
        <v>272</v>
      </c>
      <c r="C138" s="54"/>
      <c r="D138" s="54"/>
      <c r="E138" s="54"/>
      <c r="F138" s="54"/>
      <c r="G138" s="54"/>
      <c r="H138" s="54"/>
      <c r="I138" s="56" t="e">
        <f>AVERAGE(D137:H137)</f>
        <v>#DIV/0!</v>
      </c>
      <c r="J138" s="54"/>
      <c r="K138" s="54"/>
      <c r="L138" s="54"/>
      <c r="M138" s="54"/>
      <c r="N138" s="54"/>
    </row>
    <row r="139" spans="2:29" s="52" customFormat="1" x14ac:dyDescent="0.25">
      <c r="B139" s="53" t="s">
        <v>273</v>
      </c>
      <c r="C139" s="54"/>
      <c r="D139" s="54"/>
      <c r="E139" s="54"/>
      <c r="F139" s="54"/>
      <c r="G139" s="54"/>
      <c r="H139" s="54"/>
      <c r="I139" s="54" t="e">
        <f t="shared" ref="I139:N139" si="114">$I138*I11</f>
        <v>#DIV/0!</v>
      </c>
      <c r="J139" s="54" t="e">
        <f t="shared" si="114"/>
        <v>#DIV/0!</v>
      </c>
      <c r="K139" s="54" t="e">
        <f t="shared" si="114"/>
        <v>#DIV/0!</v>
      </c>
      <c r="L139" s="54" t="e">
        <f t="shared" si="114"/>
        <v>#DIV/0!</v>
      </c>
      <c r="M139" s="54" t="e">
        <f t="shared" si="114"/>
        <v>#DIV/0!</v>
      </c>
      <c r="N139" s="54" t="e">
        <f t="shared" si="114"/>
        <v>#DIV/0!</v>
      </c>
    </row>
    <row r="140" spans="2:29" s="52" customFormat="1" x14ac:dyDescent="0.25">
      <c r="B140" s="57" t="s">
        <v>274</v>
      </c>
      <c r="C140" s="58"/>
      <c r="D140" s="58"/>
      <c r="E140" s="58"/>
      <c r="F140" s="58"/>
      <c r="G140" s="58"/>
      <c r="H140" s="58"/>
      <c r="I140" s="58"/>
      <c r="J140" s="58"/>
      <c r="K140" s="58"/>
      <c r="L140" s="58"/>
      <c r="M140" s="58"/>
      <c r="N140" s="58"/>
      <c r="O140" s="59"/>
      <c r="P140" s="59"/>
      <c r="Q140" s="59"/>
      <c r="R140" s="59"/>
      <c r="S140" s="59"/>
      <c r="T140" s="59"/>
      <c r="U140" s="59"/>
      <c r="V140" s="59"/>
      <c r="W140" s="59"/>
      <c r="X140" s="59"/>
      <c r="Y140" s="59"/>
      <c r="Z140" s="59"/>
      <c r="AA140" s="59"/>
      <c r="AB140" s="59"/>
      <c r="AC140" s="59"/>
    </row>
    <row r="141" spans="2:29" s="52" customFormat="1" x14ac:dyDescent="0.25">
      <c r="B141" s="70" t="s">
        <v>275</v>
      </c>
      <c r="C141" s="71"/>
      <c r="D141" s="71"/>
      <c r="E141" s="71"/>
      <c r="F141" s="71"/>
      <c r="G141" s="71"/>
      <c r="H141" s="71"/>
      <c r="I141" s="71"/>
      <c r="J141" s="71"/>
      <c r="K141" s="71"/>
      <c r="L141" s="71"/>
      <c r="M141" s="71"/>
      <c r="N141" s="71"/>
      <c r="O141" s="72"/>
      <c r="P141" s="72"/>
      <c r="Q141" s="72"/>
      <c r="R141" s="72"/>
      <c r="S141" s="72"/>
      <c r="T141" s="72"/>
      <c r="U141" s="72"/>
      <c r="V141" s="72"/>
      <c r="W141" s="72"/>
      <c r="X141" s="72"/>
      <c r="Y141" s="72"/>
      <c r="Z141" s="72"/>
      <c r="AA141" s="72"/>
      <c r="AB141" s="72"/>
      <c r="AC141" s="72"/>
    </row>
    <row r="142" spans="2:29" s="52" customFormat="1" x14ac:dyDescent="0.25">
      <c r="B142" s="73" t="s">
        <v>190</v>
      </c>
      <c r="C142" s="74"/>
      <c r="D142" s="74"/>
      <c r="E142" s="74"/>
      <c r="F142" s="74"/>
      <c r="G142" s="74"/>
      <c r="H142" s="74"/>
      <c r="I142" s="74"/>
      <c r="J142" s="74"/>
      <c r="K142" s="74"/>
      <c r="L142" s="74"/>
      <c r="M142" s="74"/>
      <c r="N142" s="74"/>
      <c r="O142" s="75"/>
      <c r="P142" s="75"/>
      <c r="Q142" s="75"/>
      <c r="R142" s="75"/>
      <c r="S142" s="75"/>
      <c r="T142" s="75"/>
      <c r="U142" s="75"/>
      <c r="V142" s="75"/>
      <c r="W142" s="75"/>
      <c r="X142" s="75"/>
      <c r="Y142" s="75"/>
      <c r="Z142" s="75"/>
      <c r="AA142" s="75"/>
      <c r="AB142" s="75"/>
      <c r="AC142" s="75"/>
    </row>
    <row r="143" spans="2:29" s="52" customFormat="1" x14ac:dyDescent="0.25"/>
    <row r="144" spans="2:29" s="52" customFormat="1" x14ac:dyDescent="0.25">
      <c r="B144" s="53" t="s">
        <v>192</v>
      </c>
      <c r="C144" s="54"/>
      <c r="D144" s="54">
        <f>D17</f>
        <v>0</v>
      </c>
      <c r="E144" s="54">
        <f>E17</f>
        <v>0</v>
      </c>
      <c r="F144" s="54">
        <f>F17</f>
        <v>0</v>
      </c>
      <c r="G144" s="54">
        <f>G17</f>
        <v>0</v>
      </c>
      <c r="H144" s="54">
        <f>H17</f>
        <v>0</v>
      </c>
      <c r="I144" s="54"/>
      <c r="J144" s="54"/>
      <c r="K144" s="54"/>
      <c r="L144" s="54"/>
      <c r="M144" s="54"/>
      <c r="N144" s="54"/>
    </row>
    <row r="145" spans="2:19" s="52" customFormat="1" x14ac:dyDescent="0.25">
      <c r="B145" s="53" t="s">
        <v>276</v>
      </c>
      <c r="C145" s="54"/>
      <c r="D145" s="55" t="e">
        <f>D29/D11</f>
        <v>#DIV/0!</v>
      </c>
      <c r="E145" s="55" t="e">
        <f>E29/E11</f>
        <v>#DIV/0!</v>
      </c>
      <c r="F145" s="55" t="e">
        <f>F29/F11</f>
        <v>#DIV/0!</v>
      </c>
      <c r="G145" s="55" t="e">
        <f>G29/G11</f>
        <v>#DIV/0!</v>
      </c>
      <c r="H145" s="55" t="e">
        <f>H29/H11</f>
        <v>#DIV/0!</v>
      </c>
      <c r="I145" s="54"/>
      <c r="J145" s="54"/>
      <c r="K145" s="54"/>
      <c r="L145" s="54"/>
      <c r="M145" s="54"/>
      <c r="N145" s="54"/>
    </row>
    <row r="146" spans="2:19" s="52" customFormat="1" x14ac:dyDescent="0.25">
      <c r="B146" s="53" t="s">
        <v>277</v>
      </c>
      <c r="C146" s="54"/>
      <c r="D146" s="54"/>
      <c r="E146" s="54"/>
      <c r="F146" s="54"/>
      <c r="G146" s="54"/>
      <c r="H146" s="54"/>
      <c r="I146" s="55" t="e">
        <f>AVERAGE(D145:H145)</f>
        <v>#DIV/0!</v>
      </c>
      <c r="J146" s="54"/>
      <c r="K146" s="54"/>
      <c r="L146" s="54"/>
      <c r="M146" s="54"/>
      <c r="N146" s="54"/>
    </row>
    <row r="147" spans="2:19" s="52" customFormat="1" x14ac:dyDescent="0.25">
      <c r="B147" s="53"/>
      <c r="C147" s="54"/>
      <c r="D147" s="54"/>
      <c r="E147" s="54"/>
      <c r="F147" s="54"/>
      <c r="G147" s="54"/>
      <c r="H147" s="54"/>
      <c r="I147" s="54" t="e">
        <f t="shared" ref="I147:N147" si="115">$I$146*I11</f>
        <v>#DIV/0!</v>
      </c>
      <c r="J147" s="54" t="e">
        <f t="shared" si="115"/>
        <v>#DIV/0!</v>
      </c>
      <c r="K147" s="54" t="e">
        <f t="shared" si="115"/>
        <v>#DIV/0!</v>
      </c>
      <c r="L147" s="54" t="e">
        <f t="shared" si="115"/>
        <v>#DIV/0!</v>
      </c>
      <c r="M147" s="54" t="e">
        <f t="shared" si="115"/>
        <v>#DIV/0!</v>
      </c>
      <c r="N147" s="54" t="e">
        <f t="shared" si="115"/>
        <v>#DIV/0!</v>
      </c>
    </row>
    <row r="148" spans="2:19" s="52" customFormat="1" x14ac:dyDescent="0.25">
      <c r="B148" s="53"/>
      <c r="C148" s="54"/>
      <c r="D148" s="54"/>
      <c r="E148" s="54"/>
      <c r="F148" s="54"/>
      <c r="G148" s="54"/>
      <c r="H148" s="54"/>
      <c r="I148" s="54"/>
      <c r="J148" s="54"/>
      <c r="K148" s="54"/>
      <c r="L148" s="54"/>
      <c r="M148" s="54"/>
      <c r="N148" s="54"/>
    </row>
    <row r="149" spans="2:19" s="52" customFormat="1" x14ac:dyDescent="0.25">
      <c r="B149" s="53" t="s">
        <v>278</v>
      </c>
      <c r="C149" s="54"/>
      <c r="D149" s="54">
        <f>D30</f>
        <v>0</v>
      </c>
      <c r="E149" s="54">
        <f>E30</f>
        <v>0</v>
      </c>
      <c r="F149" s="54">
        <f>F30</f>
        <v>0</v>
      </c>
      <c r="G149" s="54">
        <f>G30</f>
        <v>0</v>
      </c>
      <c r="H149" s="54">
        <f>H30</f>
        <v>0</v>
      </c>
      <c r="I149" s="54"/>
      <c r="J149" s="54"/>
      <c r="K149" s="54"/>
      <c r="L149" s="54"/>
      <c r="M149" s="54"/>
      <c r="N149" s="54"/>
    </row>
    <row r="150" spans="2:19" s="52" customFormat="1" x14ac:dyDescent="0.25">
      <c r="B150" s="53" t="s">
        <v>279</v>
      </c>
      <c r="C150" s="54"/>
      <c r="D150" s="56" t="e">
        <f>D149/D11</f>
        <v>#DIV/0!</v>
      </c>
      <c r="E150" s="56" t="e">
        <f>E149/E11</f>
        <v>#DIV/0!</v>
      </c>
      <c r="F150" s="56" t="e">
        <f>F149/F11</f>
        <v>#DIV/0!</v>
      </c>
      <c r="G150" s="56" t="e">
        <f>G149/G11</f>
        <v>#DIV/0!</v>
      </c>
      <c r="H150" s="56" t="e">
        <f>H149/H11</f>
        <v>#DIV/0!</v>
      </c>
      <c r="I150" s="54"/>
      <c r="J150" s="54"/>
      <c r="K150" s="54"/>
      <c r="L150" s="54"/>
      <c r="M150" s="54"/>
      <c r="N150" s="54"/>
    </row>
    <row r="151" spans="2:19" s="52" customFormat="1" x14ac:dyDescent="0.25">
      <c r="B151" s="53" t="s">
        <v>280</v>
      </c>
      <c r="C151" s="54"/>
      <c r="D151" s="54"/>
      <c r="E151" s="54"/>
      <c r="F151" s="54"/>
      <c r="G151" s="54"/>
      <c r="H151" s="54"/>
      <c r="I151" s="56" t="e">
        <f>AVERAGE(D150:H150)</f>
        <v>#DIV/0!</v>
      </c>
      <c r="J151" s="54"/>
      <c r="K151" s="54"/>
      <c r="L151" s="54"/>
      <c r="M151" s="54"/>
      <c r="N151" s="54"/>
    </row>
    <row r="152" spans="2:19" s="52" customFormat="1" x14ac:dyDescent="0.25">
      <c r="B152" s="53" t="s">
        <v>281</v>
      </c>
      <c r="C152" s="54"/>
      <c r="D152" s="54"/>
      <c r="E152" s="54"/>
      <c r="F152" s="54"/>
      <c r="G152" s="54"/>
      <c r="H152" s="54"/>
      <c r="I152" s="54" t="e">
        <f t="shared" ref="I152:N152" si="116">$I151*I11</f>
        <v>#DIV/0!</v>
      </c>
      <c r="J152" s="54" t="e">
        <f t="shared" si="116"/>
        <v>#DIV/0!</v>
      </c>
      <c r="K152" s="54" t="e">
        <f t="shared" si="116"/>
        <v>#DIV/0!</v>
      </c>
      <c r="L152" s="54" t="e">
        <f t="shared" si="116"/>
        <v>#DIV/0!</v>
      </c>
      <c r="M152" s="54" t="e">
        <f t="shared" si="116"/>
        <v>#DIV/0!</v>
      </c>
      <c r="N152" s="54" t="e">
        <f t="shared" si="116"/>
        <v>#DIV/0!</v>
      </c>
    </row>
    <row r="153" spans="2:19" s="52" customFormat="1" x14ac:dyDescent="0.25">
      <c r="B153" s="65"/>
      <c r="C153" s="66"/>
      <c r="D153" s="66"/>
      <c r="E153" s="66"/>
      <c r="F153" s="66"/>
      <c r="G153" s="66"/>
      <c r="H153" s="66"/>
      <c r="I153" s="66"/>
      <c r="J153" s="66"/>
      <c r="K153" s="66"/>
      <c r="L153" s="66"/>
      <c r="M153" s="66"/>
      <c r="N153" s="66"/>
      <c r="O153" s="67"/>
      <c r="P153" s="67"/>
      <c r="Q153" s="67"/>
      <c r="R153" s="67"/>
      <c r="S153" s="67"/>
    </row>
    <row r="154" spans="2:19" s="52" customFormat="1" x14ac:dyDescent="0.25">
      <c r="B154" s="65" t="s">
        <v>82</v>
      </c>
      <c r="C154" s="66"/>
      <c r="D154" s="66">
        <f>D31</f>
        <v>0</v>
      </c>
      <c r="E154" s="66">
        <f>E31</f>
        <v>0</v>
      </c>
      <c r="F154" s="66">
        <f>F31</f>
        <v>0</v>
      </c>
      <c r="G154" s="66">
        <f>G31</f>
        <v>0</v>
      </c>
      <c r="H154" s="66">
        <f>H31</f>
        <v>0</v>
      </c>
      <c r="I154" s="66"/>
      <c r="J154" s="66"/>
      <c r="K154" s="66"/>
      <c r="L154" s="66"/>
      <c r="M154" s="66"/>
      <c r="N154" s="66"/>
      <c r="O154" s="67"/>
      <c r="P154" s="67"/>
      <c r="Q154" s="67"/>
      <c r="R154" s="67"/>
      <c r="S154" s="67"/>
    </row>
    <row r="155" spans="2:19" s="52" customFormat="1" x14ac:dyDescent="0.25">
      <c r="B155" s="65" t="s">
        <v>282</v>
      </c>
      <c r="C155" s="66"/>
      <c r="D155" s="63" t="e">
        <f>D154/D12</f>
        <v>#DIV/0!</v>
      </c>
      <c r="E155" s="63" t="e">
        <f>E154/E12</f>
        <v>#DIV/0!</v>
      </c>
      <c r="F155" s="63" t="e">
        <f>F154/F12</f>
        <v>#DIV/0!</v>
      </c>
      <c r="G155" s="63" t="e">
        <f>G154/G12</f>
        <v>#DIV/0!</v>
      </c>
      <c r="H155" s="63" t="e">
        <f>H154/H12</f>
        <v>#DIV/0!</v>
      </c>
      <c r="I155" s="65"/>
      <c r="J155" s="66"/>
      <c r="K155" s="66"/>
      <c r="L155" s="66"/>
      <c r="M155" s="66"/>
      <c r="N155" s="66"/>
      <c r="O155" s="67"/>
      <c r="P155" s="67"/>
      <c r="Q155" s="67"/>
      <c r="R155" s="67"/>
      <c r="S155" s="67"/>
    </row>
    <row r="156" spans="2:19" s="52" customFormat="1" x14ac:dyDescent="0.25">
      <c r="B156" s="65" t="s">
        <v>283</v>
      </c>
      <c r="C156" s="66"/>
      <c r="D156" s="66"/>
      <c r="E156" s="66"/>
      <c r="F156" s="66"/>
      <c r="G156" s="66"/>
      <c r="H156" s="66"/>
      <c r="I156" s="63" t="e">
        <f>I157/I12</f>
        <v>#DIV/0!</v>
      </c>
      <c r="J156" s="63" t="e">
        <f>AVERAGE(H155,I156)</f>
        <v>#DIV/0!</v>
      </c>
      <c r="K156" s="63" t="e">
        <f>J156</f>
        <v>#DIV/0!</v>
      </c>
      <c r="L156" s="63" t="e">
        <f>K156</f>
        <v>#DIV/0!</v>
      </c>
      <c r="M156" s="63" t="e">
        <f>L156</f>
        <v>#DIV/0!</v>
      </c>
      <c r="N156" s="63" t="e">
        <f>M156</f>
        <v>#DIV/0!</v>
      </c>
      <c r="O156" s="67"/>
      <c r="P156" s="67"/>
      <c r="Q156" s="67"/>
      <c r="R156" s="67"/>
      <c r="S156" s="67"/>
    </row>
    <row r="157" spans="2:19" s="52" customFormat="1" x14ac:dyDescent="0.25">
      <c r="B157" s="65" t="s">
        <v>284</v>
      </c>
      <c r="C157" s="66"/>
      <c r="D157" s="66"/>
      <c r="E157" s="66"/>
      <c r="F157" s="66"/>
      <c r="G157" s="66"/>
      <c r="H157" s="66"/>
      <c r="I157" s="66">
        <f>H154</f>
        <v>0</v>
      </c>
      <c r="J157" s="66" t="e">
        <f>J156*J12</f>
        <v>#DIV/0!</v>
      </c>
      <c r="K157" s="66" t="e">
        <f>K156*K12</f>
        <v>#DIV/0!</v>
      </c>
      <c r="L157" s="66" t="e">
        <f>L156*L12</f>
        <v>#DIV/0!</v>
      </c>
      <c r="M157" s="66" t="e">
        <f>M156*M12</f>
        <v>#DIV/0!</v>
      </c>
      <c r="N157" s="66" t="e">
        <f>N156*N12</f>
        <v>#DIV/0!</v>
      </c>
      <c r="O157" s="67"/>
      <c r="P157" s="67"/>
      <c r="Q157" s="67"/>
      <c r="R157" s="67"/>
      <c r="S157" s="67"/>
    </row>
    <row r="158" spans="2:19" s="52" customFormat="1" x14ac:dyDescent="0.25">
      <c r="B158" s="65"/>
      <c r="C158" s="66"/>
      <c r="D158" s="66"/>
      <c r="E158" s="66"/>
      <c r="F158" s="66"/>
      <c r="G158" s="66"/>
      <c r="H158" s="66"/>
      <c r="I158" s="66"/>
      <c r="J158" s="66"/>
      <c r="K158" s="66"/>
      <c r="L158" s="66"/>
      <c r="M158" s="66"/>
      <c r="N158" s="66"/>
      <c r="O158" s="67"/>
      <c r="P158" s="67"/>
      <c r="Q158" s="67"/>
      <c r="R158" s="67"/>
      <c r="S158" s="67"/>
    </row>
    <row r="159" spans="2:19" s="52" customFormat="1" x14ac:dyDescent="0.25">
      <c r="B159" s="53"/>
      <c r="C159" s="54"/>
      <c r="D159" s="54"/>
      <c r="E159" s="54"/>
      <c r="F159" s="54"/>
      <c r="G159" s="54"/>
      <c r="H159" s="54"/>
      <c r="I159" s="54"/>
      <c r="J159" s="54"/>
      <c r="K159" s="54"/>
      <c r="L159" s="54"/>
      <c r="M159" s="54"/>
      <c r="N159" s="54"/>
    </row>
    <row r="160" spans="2:19" s="52" customFormat="1" x14ac:dyDescent="0.25">
      <c r="B160" s="53" t="s">
        <v>285</v>
      </c>
      <c r="C160" s="54"/>
      <c r="D160" s="54">
        <f>D32</f>
        <v>0</v>
      </c>
      <c r="E160" s="54">
        <f>E32</f>
        <v>0</v>
      </c>
      <c r="F160" s="54">
        <f>F32</f>
        <v>0</v>
      </c>
      <c r="G160" s="54">
        <f>G32</f>
        <v>0</v>
      </c>
      <c r="H160" s="54">
        <f>H32</f>
        <v>0</v>
      </c>
      <c r="I160" s="54"/>
      <c r="J160" s="54"/>
      <c r="K160" s="54"/>
      <c r="L160" s="54"/>
      <c r="M160" s="54"/>
      <c r="N160" s="54"/>
    </row>
    <row r="161" spans="2:19" s="52" customFormat="1" x14ac:dyDescent="0.25">
      <c r="B161" s="53" t="s">
        <v>286</v>
      </c>
      <c r="C161" s="54"/>
      <c r="D161" s="56" t="e">
        <f>D160/D11</f>
        <v>#DIV/0!</v>
      </c>
      <c r="E161" s="56" t="e">
        <f>E160/E11</f>
        <v>#DIV/0!</v>
      </c>
      <c r="F161" s="56" t="e">
        <f>F160/F11</f>
        <v>#DIV/0!</v>
      </c>
      <c r="G161" s="56" t="e">
        <f>G160/G11</f>
        <v>#DIV/0!</v>
      </c>
      <c r="H161" s="56" t="e">
        <f>H160/H11</f>
        <v>#DIV/0!</v>
      </c>
      <c r="I161" s="54"/>
      <c r="J161" s="54"/>
      <c r="K161" s="54"/>
      <c r="L161" s="54"/>
      <c r="M161" s="54"/>
      <c r="N161" s="54"/>
    </row>
    <row r="162" spans="2:19" s="52" customFormat="1" x14ac:dyDescent="0.25">
      <c r="B162" s="53" t="s">
        <v>287</v>
      </c>
      <c r="C162" s="54"/>
      <c r="D162" s="54"/>
      <c r="E162" s="54"/>
      <c r="F162" s="54"/>
      <c r="G162" s="54"/>
      <c r="H162" s="54"/>
      <c r="I162" s="56" t="e">
        <f>AVERAGE(D161:H161)</f>
        <v>#DIV/0!</v>
      </c>
      <c r="J162" s="54"/>
      <c r="K162" s="54"/>
      <c r="L162" s="54"/>
      <c r="M162" s="54"/>
      <c r="N162" s="54"/>
    </row>
    <row r="163" spans="2:19" s="52" customFormat="1" x14ac:dyDescent="0.25">
      <c r="B163" s="53" t="s">
        <v>288</v>
      </c>
      <c r="C163" s="54"/>
      <c r="D163" s="54"/>
      <c r="E163" s="54"/>
      <c r="F163" s="54"/>
      <c r="G163" s="54"/>
      <c r="H163" s="54"/>
      <c r="I163" s="54" t="e">
        <f t="shared" ref="I163:N163" si="117">$I162*I11</f>
        <v>#DIV/0!</v>
      </c>
      <c r="J163" s="54" t="e">
        <f t="shared" si="117"/>
        <v>#DIV/0!</v>
      </c>
      <c r="K163" s="54" t="e">
        <f t="shared" si="117"/>
        <v>#DIV/0!</v>
      </c>
      <c r="L163" s="54" t="e">
        <f t="shared" si="117"/>
        <v>#DIV/0!</v>
      </c>
      <c r="M163" s="54" t="e">
        <f t="shared" si="117"/>
        <v>#DIV/0!</v>
      </c>
      <c r="N163" s="54" t="e">
        <f t="shared" si="117"/>
        <v>#DIV/0!</v>
      </c>
    </row>
    <row r="164" spans="2:19" s="52" customFormat="1" x14ac:dyDescent="0.25">
      <c r="B164" s="53"/>
      <c r="C164" s="54"/>
      <c r="D164" s="54"/>
      <c r="E164" s="54"/>
      <c r="F164" s="54"/>
      <c r="G164" s="54"/>
      <c r="H164" s="54"/>
      <c r="I164" s="54"/>
      <c r="J164" s="54"/>
      <c r="K164" s="54"/>
      <c r="L164" s="54"/>
      <c r="M164" s="54"/>
      <c r="N164" s="54"/>
    </row>
    <row r="165" spans="2:19" s="52" customFormat="1" x14ac:dyDescent="0.25">
      <c r="B165" s="53"/>
      <c r="C165" s="54"/>
      <c r="D165" s="54"/>
      <c r="E165" s="54"/>
      <c r="F165" s="54"/>
      <c r="G165" s="54"/>
      <c r="H165" s="54"/>
      <c r="I165" s="54"/>
      <c r="J165" s="54"/>
      <c r="K165" s="54"/>
      <c r="L165" s="54"/>
      <c r="M165" s="54"/>
      <c r="N165" s="54"/>
    </row>
    <row r="166" spans="2:19" s="52" customFormat="1" x14ac:dyDescent="0.25">
      <c r="B166" s="65" t="s">
        <v>196</v>
      </c>
      <c r="C166" s="66"/>
      <c r="D166" s="66">
        <f t="shared" ref="D166:M166" si="118">D34</f>
        <v>0</v>
      </c>
      <c r="E166" s="66">
        <f t="shared" si="118"/>
        <v>0</v>
      </c>
      <c r="F166" s="66">
        <f t="shared" si="118"/>
        <v>0</v>
      </c>
      <c r="G166" s="66">
        <f t="shared" si="118"/>
        <v>0</v>
      </c>
      <c r="H166" s="66">
        <f t="shared" si="118"/>
        <v>0</v>
      </c>
      <c r="I166" s="66" t="e">
        <f t="shared" si="118"/>
        <v>#DIV/0!</v>
      </c>
      <c r="J166" s="66" t="e">
        <f t="shared" si="118"/>
        <v>#DIV/0!</v>
      </c>
      <c r="K166" s="66" t="e">
        <f t="shared" si="118"/>
        <v>#DIV/0!</v>
      </c>
      <c r="L166" s="66" t="e">
        <f t="shared" si="118"/>
        <v>#DIV/0!</v>
      </c>
      <c r="M166" s="66" t="e">
        <f t="shared" si="118"/>
        <v>#DIV/0!</v>
      </c>
      <c r="N166" s="66"/>
      <c r="O166" s="67"/>
      <c r="P166" s="67"/>
      <c r="Q166" s="67"/>
      <c r="R166" s="67"/>
      <c r="S166" s="67"/>
    </row>
    <row r="167" spans="2:19" s="52" customFormat="1" x14ac:dyDescent="0.25">
      <c r="B167" s="65" t="s">
        <v>214</v>
      </c>
      <c r="C167" s="66"/>
      <c r="D167" s="66">
        <f t="shared" ref="D167:M167" si="119">D60</f>
        <v>0</v>
      </c>
      <c r="E167" s="66">
        <f t="shared" si="119"/>
        <v>0</v>
      </c>
      <c r="F167" s="66">
        <f t="shared" si="119"/>
        <v>0</v>
      </c>
      <c r="G167" s="66">
        <f t="shared" si="119"/>
        <v>0</v>
      </c>
      <c r="H167" s="66">
        <f t="shared" si="119"/>
        <v>0</v>
      </c>
      <c r="I167" s="66" t="e">
        <f t="shared" si="119"/>
        <v>#DIV/0!</v>
      </c>
      <c r="J167" s="66" t="e">
        <f t="shared" si="119"/>
        <v>#DIV/0!</v>
      </c>
      <c r="K167" s="66" t="e">
        <f t="shared" si="119"/>
        <v>#DIV/0!</v>
      </c>
      <c r="L167" s="66" t="e">
        <f t="shared" si="119"/>
        <v>#DIV/0!</v>
      </c>
      <c r="M167" s="66" t="e">
        <f t="shared" si="119"/>
        <v>#DIV/0!</v>
      </c>
      <c r="N167" s="66"/>
      <c r="O167" s="67"/>
      <c r="P167" s="67"/>
      <c r="Q167" s="67"/>
      <c r="R167" s="67"/>
      <c r="S167" s="67"/>
    </row>
    <row r="168" spans="2:19" s="52" customFormat="1" x14ac:dyDescent="0.25">
      <c r="B168" s="65" t="s">
        <v>289</v>
      </c>
      <c r="C168" s="66"/>
      <c r="D168" s="66">
        <f t="shared" ref="D168:M168" si="120">D66</f>
        <v>0</v>
      </c>
      <c r="E168" s="66">
        <f t="shared" si="120"/>
        <v>0</v>
      </c>
      <c r="F168" s="66">
        <f t="shared" si="120"/>
        <v>0</v>
      </c>
      <c r="G168" s="66">
        <f t="shared" si="120"/>
        <v>0</v>
      </c>
      <c r="H168" s="66">
        <f t="shared" si="120"/>
        <v>0</v>
      </c>
      <c r="I168" s="66" t="e">
        <f t="shared" si="120"/>
        <v>#DIV/0!</v>
      </c>
      <c r="J168" s="66" t="e">
        <f t="shared" si="120"/>
        <v>#DIV/0!</v>
      </c>
      <c r="K168" s="66" t="e">
        <f t="shared" si="120"/>
        <v>#DIV/0!</v>
      </c>
      <c r="L168" s="66" t="e">
        <f t="shared" si="120"/>
        <v>#DIV/0!</v>
      </c>
      <c r="M168" s="66" t="e">
        <f t="shared" si="120"/>
        <v>#DIV/0!</v>
      </c>
      <c r="N168" s="66"/>
      <c r="O168" s="67"/>
      <c r="P168" s="67"/>
      <c r="Q168" s="67"/>
      <c r="R168" s="67"/>
      <c r="S168" s="67"/>
    </row>
    <row r="169" spans="2:19" s="52" customFormat="1" x14ac:dyDescent="0.25">
      <c r="B169" s="65" t="s">
        <v>290</v>
      </c>
      <c r="C169" s="66"/>
      <c r="D169" s="66"/>
      <c r="E169" s="66"/>
      <c r="F169" s="66"/>
      <c r="G169" s="66"/>
      <c r="H169" s="66"/>
      <c r="I169" s="66" t="e">
        <f t="shared" ref="I169:N169" si="121">H166-I170-I171</f>
        <v>#DIV/0!</v>
      </c>
      <c r="J169" s="66" t="e">
        <f t="shared" si="121"/>
        <v>#DIV/0!</v>
      </c>
      <c r="K169" s="66" t="e">
        <f t="shared" si="121"/>
        <v>#DIV/0!</v>
      </c>
      <c r="L169" s="66" t="e">
        <f t="shared" si="121"/>
        <v>#DIV/0!</v>
      </c>
      <c r="M169" s="66" t="e">
        <f t="shared" si="121"/>
        <v>#DIV/0!</v>
      </c>
      <c r="N169" s="66" t="e">
        <f t="shared" si="121"/>
        <v>#DIV/0!</v>
      </c>
      <c r="O169" s="67"/>
      <c r="P169" s="67"/>
      <c r="Q169" s="67"/>
      <c r="R169" s="67"/>
      <c r="S169" s="67"/>
    </row>
    <row r="170" spans="2:19" s="52" customFormat="1" x14ac:dyDescent="0.25">
      <c r="B170" s="65" t="s">
        <v>291</v>
      </c>
      <c r="C170" s="66"/>
      <c r="D170" s="66"/>
      <c r="E170" s="66"/>
      <c r="F170" s="66"/>
      <c r="G170" s="66"/>
      <c r="H170" s="66"/>
      <c r="I170" s="66" t="e">
        <f t="shared" ref="I170:N170" si="122">I60</f>
        <v>#DIV/0!</v>
      </c>
      <c r="J170" s="66" t="e">
        <f t="shared" si="122"/>
        <v>#DIV/0!</v>
      </c>
      <c r="K170" s="66" t="e">
        <f t="shared" si="122"/>
        <v>#DIV/0!</v>
      </c>
      <c r="L170" s="66" t="e">
        <f t="shared" si="122"/>
        <v>#DIV/0!</v>
      </c>
      <c r="M170" s="66" t="e">
        <f t="shared" si="122"/>
        <v>#DIV/0!</v>
      </c>
      <c r="N170" s="66" t="e">
        <f t="shared" si="122"/>
        <v>#DIV/0!</v>
      </c>
      <c r="O170" s="67"/>
      <c r="P170" s="67"/>
      <c r="Q170" s="67"/>
      <c r="R170" s="67"/>
      <c r="S170" s="67"/>
    </row>
    <row r="171" spans="2:19" s="52" customFormat="1" x14ac:dyDescent="0.25">
      <c r="B171" s="65" t="s">
        <v>292</v>
      </c>
      <c r="C171" s="66"/>
      <c r="D171" s="66"/>
      <c r="E171" s="66"/>
      <c r="F171" s="66"/>
      <c r="G171" s="66"/>
      <c r="H171" s="66"/>
      <c r="I171" s="66" t="e">
        <f t="shared" ref="I171:N171" si="123">I66</f>
        <v>#DIV/0!</v>
      </c>
      <c r="J171" s="66" t="e">
        <f t="shared" si="123"/>
        <v>#DIV/0!</v>
      </c>
      <c r="K171" s="66" t="e">
        <f t="shared" si="123"/>
        <v>#DIV/0!</v>
      </c>
      <c r="L171" s="66" t="e">
        <f t="shared" si="123"/>
        <v>#DIV/0!</v>
      </c>
      <c r="M171" s="66" t="e">
        <f t="shared" si="123"/>
        <v>#DIV/0!</v>
      </c>
      <c r="N171" s="66" t="e">
        <f t="shared" si="123"/>
        <v>#DIV/0!</v>
      </c>
      <c r="O171" s="67"/>
      <c r="P171" s="67"/>
      <c r="Q171" s="67"/>
      <c r="R171" s="67"/>
      <c r="S171" s="67"/>
    </row>
    <row r="172" spans="2:19" s="52" customFormat="1" x14ac:dyDescent="0.25">
      <c r="B172" s="53"/>
      <c r="C172" s="54"/>
      <c r="D172" s="54"/>
      <c r="E172" s="54"/>
      <c r="F172" s="54"/>
      <c r="G172" s="54"/>
      <c r="H172" s="54"/>
      <c r="I172" s="54"/>
      <c r="J172" s="54"/>
      <c r="K172" s="54"/>
      <c r="L172" s="54"/>
      <c r="M172" s="54"/>
      <c r="N172" s="54"/>
    </row>
    <row r="173" spans="2:19" s="52" customFormat="1" x14ac:dyDescent="0.25">
      <c r="B173" s="53"/>
      <c r="C173" s="54"/>
      <c r="D173" s="54"/>
      <c r="E173" s="54"/>
      <c r="F173" s="54"/>
      <c r="G173" s="54"/>
      <c r="H173" s="54"/>
      <c r="I173" s="54"/>
      <c r="J173" s="54"/>
      <c r="K173" s="54"/>
      <c r="L173" s="54"/>
      <c r="M173" s="54"/>
      <c r="N173" s="54"/>
    </row>
    <row r="174" spans="2:19" s="52" customFormat="1" x14ac:dyDescent="0.25">
      <c r="B174" s="53"/>
      <c r="C174" s="54"/>
      <c r="D174" s="54"/>
      <c r="E174" s="54"/>
      <c r="F174" s="54"/>
      <c r="G174" s="54"/>
      <c r="H174" s="54"/>
      <c r="I174" s="54"/>
      <c r="J174" s="54"/>
      <c r="K174" s="54"/>
      <c r="L174" s="54"/>
      <c r="M174" s="54"/>
      <c r="N174" s="54"/>
    </row>
    <row r="175" spans="2:19" s="52" customFormat="1" x14ac:dyDescent="0.25">
      <c r="B175" s="53" t="s">
        <v>293</v>
      </c>
      <c r="C175" s="54"/>
      <c r="D175" s="54">
        <f>D35</f>
        <v>0</v>
      </c>
      <c r="E175" s="54">
        <f>E35</f>
        <v>0</v>
      </c>
      <c r="F175" s="54">
        <f>F35</f>
        <v>0</v>
      </c>
      <c r="G175" s="54">
        <f>G35</f>
        <v>0</v>
      </c>
      <c r="H175" s="54">
        <f>H35</f>
        <v>0</v>
      </c>
      <c r="I175" s="54"/>
      <c r="J175" s="54"/>
      <c r="K175" s="54"/>
      <c r="L175" s="54"/>
      <c r="M175" s="54"/>
      <c r="N175" s="54"/>
    </row>
    <row r="176" spans="2:19" s="52" customFormat="1" x14ac:dyDescent="0.25">
      <c r="B176" s="53" t="s">
        <v>294</v>
      </c>
      <c r="C176" s="54"/>
      <c r="D176" s="56" t="e">
        <f>D175/D11</f>
        <v>#DIV/0!</v>
      </c>
      <c r="E176" s="56" t="e">
        <f>E175/E11</f>
        <v>#DIV/0!</v>
      </c>
      <c r="F176" s="56" t="e">
        <f>F175/F11</f>
        <v>#DIV/0!</v>
      </c>
      <c r="G176" s="56" t="e">
        <f>G175/G11</f>
        <v>#DIV/0!</v>
      </c>
      <c r="H176" s="56" t="e">
        <f>H175/H11</f>
        <v>#DIV/0!</v>
      </c>
      <c r="I176" s="54"/>
      <c r="J176" s="54"/>
      <c r="K176" s="54"/>
      <c r="L176" s="54"/>
      <c r="M176" s="54"/>
      <c r="N176" s="54"/>
    </row>
    <row r="177" spans="2:30" s="52" customFormat="1" x14ac:dyDescent="0.25">
      <c r="B177" s="52" t="s">
        <v>295</v>
      </c>
      <c r="C177" s="54"/>
      <c r="D177" s="76">
        <v>0</v>
      </c>
      <c r="E177" s="76">
        <v>0</v>
      </c>
      <c r="F177" s="76">
        <v>0.33333333333333331</v>
      </c>
      <c r="G177" s="76">
        <v>0.33333333333333331</v>
      </c>
      <c r="H177" s="76">
        <v>0.33333333333333331</v>
      </c>
      <c r="J177" s="55">
        <f>SUM(D177:H177)</f>
        <v>1</v>
      </c>
      <c r="K177" s="54"/>
      <c r="L177" s="54"/>
      <c r="M177" s="54"/>
      <c r="N177" s="54"/>
    </row>
    <row r="178" spans="2:30" s="52" customFormat="1" x14ac:dyDescent="0.25">
      <c r="B178" s="52" t="s">
        <v>296</v>
      </c>
      <c r="D178" s="61" t="e">
        <f>D177*D176</f>
        <v>#DIV/0!</v>
      </c>
      <c r="E178" s="61" t="e">
        <f>E177*E176</f>
        <v>#DIV/0!</v>
      </c>
      <c r="F178" s="61" t="e">
        <f>F177*F176</f>
        <v>#DIV/0!</v>
      </c>
      <c r="G178" s="61" t="e">
        <f>G177*G176</f>
        <v>#DIV/0!</v>
      </c>
      <c r="H178" s="61" t="e">
        <f>H177*H176</f>
        <v>#DIV/0!</v>
      </c>
      <c r="I178" s="61"/>
      <c r="K178" s="54"/>
      <c r="L178" s="54"/>
      <c r="M178" s="54"/>
      <c r="N178" s="54"/>
    </row>
    <row r="179" spans="2:30" s="52" customFormat="1" x14ac:dyDescent="0.25">
      <c r="B179" s="52" t="s">
        <v>297</v>
      </c>
      <c r="I179" s="61" t="e">
        <f>SUM(D178:H178)</f>
        <v>#DIV/0!</v>
      </c>
      <c r="K179" s="54"/>
      <c r="L179" s="54"/>
      <c r="M179" s="54"/>
      <c r="N179" s="54"/>
    </row>
    <row r="180" spans="2:30" s="52" customFormat="1" x14ac:dyDescent="0.25">
      <c r="B180" s="53" t="s">
        <v>298</v>
      </c>
      <c r="C180" s="54"/>
      <c r="D180" s="54"/>
      <c r="E180" s="54"/>
      <c r="F180" s="54"/>
      <c r="G180" s="54"/>
      <c r="H180" s="54"/>
      <c r="I180" s="77" t="e">
        <f t="shared" ref="I180:N180" si="124">($I179)*I11</f>
        <v>#DIV/0!</v>
      </c>
      <c r="J180" s="77" t="e">
        <f t="shared" si="124"/>
        <v>#DIV/0!</v>
      </c>
      <c r="K180" s="77" t="e">
        <f t="shared" si="124"/>
        <v>#DIV/0!</v>
      </c>
      <c r="L180" s="77" t="e">
        <f t="shared" si="124"/>
        <v>#DIV/0!</v>
      </c>
      <c r="M180" s="77" t="e">
        <f t="shared" si="124"/>
        <v>#DIV/0!</v>
      </c>
      <c r="N180" s="77" t="e">
        <f t="shared" si="124"/>
        <v>#DIV/0!</v>
      </c>
    </row>
    <row r="181" spans="2:30" s="52" customFormat="1" x14ac:dyDescent="0.25">
      <c r="C181" s="54"/>
      <c r="D181" s="54"/>
      <c r="E181" s="54"/>
      <c r="F181" s="54"/>
      <c r="G181" s="54"/>
      <c r="H181" s="54"/>
      <c r="I181" s="54"/>
      <c r="J181" s="54"/>
      <c r="K181" s="54"/>
      <c r="L181" s="54"/>
      <c r="M181" s="54"/>
      <c r="N181" s="54"/>
    </row>
    <row r="182" spans="2:30" s="52" customFormat="1" x14ac:dyDescent="0.25">
      <c r="B182" s="53"/>
      <c r="C182" s="54"/>
      <c r="D182" s="54"/>
      <c r="E182" s="54"/>
      <c r="F182" s="54"/>
      <c r="G182" s="54"/>
      <c r="H182" s="54"/>
      <c r="I182" s="54"/>
      <c r="J182" s="54"/>
      <c r="K182" s="54"/>
      <c r="L182" s="54"/>
      <c r="M182" s="54"/>
      <c r="N182" s="54"/>
    </row>
    <row r="183" spans="2:30" s="52" customFormat="1" x14ac:dyDescent="0.25">
      <c r="B183" s="73" t="s">
        <v>199</v>
      </c>
      <c r="C183" s="74"/>
      <c r="D183" s="74"/>
      <c r="E183" s="74"/>
      <c r="F183" s="74"/>
      <c r="G183" s="74"/>
      <c r="H183" s="74"/>
      <c r="I183" s="74"/>
      <c r="J183" s="74"/>
      <c r="K183" s="74"/>
      <c r="L183" s="74"/>
      <c r="M183" s="74"/>
      <c r="N183" s="74"/>
      <c r="O183" s="75"/>
      <c r="P183" s="75"/>
      <c r="Q183" s="75"/>
      <c r="R183" s="75"/>
      <c r="S183" s="75"/>
      <c r="T183" s="75"/>
      <c r="U183" s="75"/>
      <c r="V183" s="75"/>
      <c r="W183" s="75"/>
      <c r="X183" s="75"/>
      <c r="Y183" s="75"/>
      <c r="Z183" s="75"/>
      <c r="AA183" s="75"/>
      <c r="AB183" s="75"/>
      <c r="AC183" s="75"/>
      <c r="AD183" s="75"/>
    </row>
    <row r="184" spans="2:30" s="52" customFormat="1" x14ac:dyDescent="0.25">
      <c r="B184" s="53"/>
      <c r="C184" s="54"/>
      <c r="D184" s="54"/>
      <c r="E184" s="54"/>
      <c r="F184" s="54"/>
      <c r="G184" s="54"/>
      <c r="H184" s="54"/>
      <c r="I184" s="54"/>
      <c r="J184" s="54"/>
      <c r="K184" s="54"/>
      <c r="L184" s="54"/>
      <c r="M184" s="54"/>
      <c r="N184" s="54"/>
    </row>
    <row r="185" spans="2:30" s="52" customFormat="1" x14ac:dyDescent="0.25">
      <c r="B185" s="53" t="str">
        <f>B40</f>
        <v>Accounts payable</v>
      </c>
      <c r="C185" s="53"/>
      <c r="D185" s="53">
        <f>D40</f>
        <v>0</v>
      </c>
      <c r="E185" s="53">
        <f>E40</f>
        <v>0</v>
      </c>
      <c r="F185" s="53">
        <f>F40</f>
        <v>0</v>
      </c>
      <c r="G185" s="53">
        <f>G40</f>
        <v>0</v>
      </c>
      <c r="H185" s="53">
        <f>H40</f>
        <v>0</v>
      </c>
      <c r="I185" s="54"/>
      <c r="J185" s="54"/>
      <c r="K185" s="54"/>
      <c r="L185" s="54"/>
      <c r="M185" s="54"/>
      <c r="N185" s="54"/>
    </row>
    <row r="186" spans="2:30" s="52" customFormat="1" x14ac:dyDescent="0.25">
      <c r="B186" s="53" t="s">
        <v>299</v>
      </c>
      <c r="C186" s="54"/>
      <c r="D186" s="56" t="e">
        <f>D185/D12</f>
        <v>#DIV/0!</v>
      </c>
      <c r="E186" s="56" t="e">
        <f>E185/E12</f>
        <v>#DIV/0!</v>
      </c>
      <c r="F186" s="56" t="e">
        <f>F185/F12</f>
        <v>#DIV/0!</v>
      </c>
      <c r="G186" s="56" t="e">
        <f>G185/G12</f>
        <v>#DIV/0!</v>
      </c>
      <c r="H186" s="56" t="e">
        <f>H185/H12</f>
        <v>#DIV/0!</v>
      </c>
      <c r="J186" s="54"/>
      <c r="K186" s="54"/>
      <c r="L186" s="54"/>
      <c r="M186" s="54"/>
      <c r="N186" s="54"/>
    </row>
    <row r="187" spans="2:30" s="52" customFormat="1" x14ac:dyDescent="0.25">
      <c r="B187" s="53" t="s">
        <v>300</v>
      </c>
      <c r="C187" s="54"/>
      <c r="D187" s="54"/>
      <c r="E187" s="54"/>
      <c r="F187" s="54"/>
      <c r="G187" s="54"/>
      <c r="H187" s="54"/>
      <c r="I187" s="56" t="e">
        <f>AVERAGE(D186:H186)</f>
        <v>#DIV/0!</v>
      </c>
      <c r="J187" s="54"/>
      <c r="K187" s="54"/>
      <c r="L187" s="54"/>
      <c r="M187" s="54"/>
      <c r="N187" s="54"/>
    </row>
    <row r="188" spans="2:30" s="52" customFormat="1" x14ac:dyDescent="0.25">
      <c r="B188" s="53" t="s">
        <v>301</v>
      </c>
      <c r="C188" s="54"/>
      <c r="D188" s="54"/>
      <c r="E188" s="54"/>
      <c r="F188" s="54"/>
      <c r="G188" s="54"/>
      <c r="H188" s="54"/>
      <c r="I188" s="54" t="e">
        <f t="shared" ref="I188:N188" si="125">$I187*I12</f>
        <v>#DIV/0!</v>
      </c>
      <c r="J188" s="54" t="e">
        <f t="shared" si="125"/>
        <v>#DIV/0!</v>
      </c>
      <c r="K188" s="54" t="e">
        <f t="shared" si="125"/>
        <v>#DIV/0!</v>
      </c>
      <c r="L188" s="54" t="e">
        <f t="shared" si="125"/>
        <v>#DIV/0!</v>
      </c>
      <c r="M188" s="54" t="e">
        <f t="shared" si="125"/>
        <v>#DIV/0!</v>
      </c>
      <c r="N188" s="54" t="e">
        <f t="shared" si="125"/>
        <v>#DIV/0!</v>
      </c>
    </row>
    <row r="189" spans="2:30" s="52" customFormat="1" x14ac:dyDescent="0.25">
      <c r="B189" s="53"/>
      <c r="C189" s="54"/>
      <c r="D189" s="54"/>
      <c r="E189" s="54"/>
      <c r="F189" s="54"/>
      <c r="G189" s="54"/>
      <c r="H189" s="54"/>
      <c r="I189" s="54"/>
      <c r="J189" s="54"/>
      <c r="K189" s="54"/>
      <c r="L189" s="54"/>
      <c r="M189" s="54"/>
      <c r="N189" s="54"/>
    </row>
    <row r="190" spans="2:30" s="52" customFormat="1" x14ac:dyDescent="0.25">
      <c r="B190" s="53" t="s">
        <v>201</v>
      </c>
      <c r="C190" s="54"/>
      <c r="D190" s="54">
        <f>D41</f>
        <v>0</v>
      </c>
      <c r="E190" s="54">
        <f>E41</f>
        <v>0</v>
      </c>
      <c r="F190" s="54">
        <f>F41</f>
        <v>0</v>
      </c>
      <c r="G190" s="54">
        <f>G41</f>
        <v>0</v>
      </c>
      <c r="H190" s="54">
        <f>H41</f>
        <v>0</v>
      </c>
      <c r="I190" s="54"/>
      <c r="J190" s="54"/>
      <c r="K190" s="54"/>
      <c r="L190" s="54"/>
      <c r="M190" s="54"/>
      <c r="N190" s="54"/>
    </row>
    <row r="191" spans="2:30" s="52" customFormat="1" x14ac:dyDescent="0.25">
      <c r="B191" s="53" t="s">
        <v>302</v>
      </c>
      <c r="C191" s="54"/>
      <c r="D191" s="54"/>
      <c r="E191" s="54"/>
      <c r="F191" s="54"/>
      <c r="I191" s="54">
        <f>AVERAGE(D190:H190)</f>
        <v>0</v>
      </c>
      <c r="J191" s="54"/>
      <c r="K191" s="54"/>
      <c r="L191" s="54"/>
      <c r="M191" s="54"/>
      <c r="N191" s="54"/>
    </row>
    <row r="192" spans="2:30" s="52" customFormat="1" x14ac:dyDescent="0.25">
      <c r="B192" s="52" t="s">
        <v>303</v>
      </c>
      <c r="C192" s="54"/>
      <c r="D192" s="54"/>
      <c r="E192" s="54"/>
      <c r="F192" s="54"/>
      <c r="I192" s="55">
        <v>0</v>
      </c>
      <c r="J192" s="55">
        <v>0</v>
      </c>
      <c r="K192" s="55">
        <v>0</v>
      </c>
      <c r="L192" s="55">
        <v>0</v>
      </c>
      <c r="M192" s="55">
        <v>0</v>
      </c>
      <c r="N192" s="55">
        <v>0</v>
      </c>
    </row>
    <row r="193" spans="1:21" s="52" customFormat="1" x14ac:dyDescent="0.25">
      <c r="B193" s="53" t="s">
        <v>304</v>
      </c>
      <c r="C193" s="54"/>
      <c r="D193" s="54"/>
      <c r="E193" s="54"/>
      <c r="F193" s="54"/>
      <c r="G193" s="54"/>
      <c r="H193" s="54"/>
      <c r="I193" s="54">
        <f t="shared" ref="I193:N193" si="126">$I191*(1+I192)</f>
        <v>0</v>
      </c>
      <c r="J193" s="54">
        <f t="shared" si="126"/>
        <v>0</v>
      </c>
      <c r="K193" s="54">
        <f t="shared" si="126"/>
        <v>0</v>
      </c>
      <c r="L193" s="54">
        <f t="shared" si="126"/>
        <v>0</v>
      </c>
      <c r="M193" s="54">
        <f t="shared" si="126"/>
        <v>0</v>
      </c>
      <c r="N193" s="54">
        <f t="shared" si="126"/>
        <v>0</v>
      </c>
    </row>
    <row r="194" spans="1:21" s="52" customFormat="1" x14ac:dyDescent="0.25">
      <c r="A194" s="67"/>
      <c r="B194" s="65"/>
      <c r="C194" s="66"/>
      <c r="D194" s="66"/>
      <c r="E194" s="66"/>
      <c r="F194" s="66"/>
      <c r="G194" s="66"/>
      <c r="H194" s="66"/>
      <c r="I194" s="66"/>
      <c r="J194" s="66"/>
      <c r="K194" s="66"/>
      <c r="L194" s="66"/>
      <c r="M194" s="66"/>
      <c r="N194" s="66"/>
      <c r="O194" s="67"/>
      <c r="P194" s="67"/>
      <c r="Q194" s="67"/>
      <c r="R194" s="67"/>
      <c r="S194" s="67"/>
      <c r="T194" s="67"/>
      <c r="U194" s="67"/>
    </row>
    <row r="195" spans="1:21" s="52" customFormat="1" x14ac:dyDescent="0.25">
      <c r="A195" s="67"/>
      <c r="B195" s="65"/>
      <c r="C195" s="66"/>
      <c r="D195" s="66"/>
      <c r="E195" s="66"/>
      <c r="F195" s="66"/>
      <c r="G195" s="66"/>
      <c r="H195" s="66"/>
      <c r="I195" s="66"/>
      <c r="J195" s="66"/>
      <c r="K195" s="66"/>
      <c r="L195" s="66"/>
      <c r="M195" s="66"/>
      <c r="N195" s="66"/>
      <c r="O195" s="67"/>
      <c r="P195" s="67"/>
      <c r="Q195" s="67"/>
      <c r="R195" s="67"/>
      <c r="S195" s="67"/>
      <c r="T195" s="67"/>
      <c r="U195" s="67"/>
    </row>
    <row r="196" spans="1:21" s="52" customFormat="1" x14ac:dyDescent="0.25">
      <c r="A196" s="67"/>
      <c r="B196" s="78" t="s">
        <v>305</v>
      </c>
      <c r="C196" s="66"/>
      <c r="D196" s="66"/>
      <c r="E196" s="66"/>
      <c r="F196" s="66"/>
      <c r="G196" s="66"/>
      <c r="H196" s="66"/>
      <c r="I196" s="409">
        <f>I10</f>
        <v>2025</v>
      </c>
      <c r="J196" s="409">
        <f>I196+1</f>
        <v>2026</v>
      </c>
      <c r="K196" s="409">
        <f t="shared" ref="K196:N196" si="127">J196+1</f>
        <v>2027</v>
      </c>
      <c r="L196" s="409">
        <f t="shared" si="127"/>
        <v>2028</v>
      </c>
      <c r="M196" s="409">
        <f t="shared" si="127"/>
        <v>2029</v>
      </c>
      <c r="N196" s="409">
        <f t="shared" si="127"/>
        <v>2030</v>
      </c>
      <c r="O196" s="67"/>
      <c r="P196" s="67"/>
      <c r="Q196" s="67"/>
      <c r="R196" s="67"/>
      <c r="S196" s="67"/>
      <c r="T196" s="67"/>
      <c r="U196" s="67"/>
    </row>
    <row r="197" spans="1:21" s="52" customFormat="1" x14ac:dyDescent="0.25">
      <c r="A197" s="67"/>
      <c r="B197" s="78" t="s">
        <v>756</v>
      </c>
      <c r="C197" s="66"/>
      <c r="D197" s="66"/>
      <c r="E197" s="66"/>
      <c r="F197" s="66"/>
      <c r="G197" s="66"/>
      <c r="H197" s="66"/>
      <c r="I197" s="66" cm="1">
        <f t="array" ref="I197:N197">TRANSPOSE(WACC!S28:S33)</f>
        <v>400</v>
      </c>
      <c r="J197" s="66">
        <v>469.5</v>
      </c>
      <c r="K197" s="66">
        <v>0</v>
      </c>
      <c r="L197" s="66">
        <v>0</v>
      </c>
      <c r="M197" s="67">
        <v>0</v>
      </c>
      <c r="N197" s="67">
        <v>847.5</v>
      </c>
      <c r="O197" s="67"/>
      <c r="P197" s="67"/>
      <c r="Q197" s="67"/>
      <c r="R197" s="67"/>
      <c r="S197" s="67"/>
      <c r="T197" s="67"/>
      <c r="U197" s="67"/>
    </row>
    <row r="198" spans="1:21" s="52" customFormat="1" x14ac:dyDescent="0.25">
      <c r="A198" s="67"/>
      <c r="B198" s="65"/>
      <c r="C198" s="66"/>
      <c r="D198" s="66"/>
      <c r="E198" s="66"/>
      <c r="F198" s="66"/>
      <c r="G198" s="66"/>
      <c r="H198" s="66"/>
      <c r="I198" s="66"/>
      <c r="J198" s="66"/>
      <c r="K198" s="66"/>
      <c r="L198" s="66"/>
      <c r="M198" s="66"/>
      <c r="N198" s="66"/>
      <c r="O198" s="67"/>
      <c r="P198" s="67"/>
      <c r="Q198" s="67"/>
      <c r="R198" s="67"/>
      <c r="S198" s="67"/>
      <c r="T198" s="67"/>
      <c r="U198" s="67"/>
    </row>
    <row r="199" spans="1:21" s="52" customFormat="1" x14ac:dyDescent="0.25">
      <c r="A199" s="67"/>
      <c r="B199" s="65"/>
      <c r="C199" s="66"/>
      <c r="D199" s="66"/>
      <c r="E199" s="66"/>
      <c r="F199" s="66"/>
      <c r="G199" s="66"/>
      <c r="H199" s="66"/>
      <c r="I199" s="66"/>
      <c r="J199" s="66"/>
      <c r="K199" s="66"/>
      <c r="L199" s="66"/>
      <c r="M199" s="66"/>
      <c r="N199" s="66"/>
      <c r="O199" s="67"/>
      <c r="P199" s="67"/>
      <c r="Q199" s="67"/>
      <c r="R199" s="67"/>
      <c r="S199" s="67"/>
      <c r="T199" s="67"/>
      <c r="U199" s="67"/>
    </row>
    <row r="200" spans="1:21" s="52" customFormat="1" x14ac:dyDescent="0.25">
      <c r="A200" s="67"/>
      <c r="B200" s="65" t="s">
        <v>203</v>
      </c>
      <c r="C200" s="66"/>
      <c r="D200" s="66">
        <f>D43</f>
        <v>0</v>
      </c>
      <c r="E200" s="66">
        <f>E43</f>
        <v>0</v>
      </c>
      <c r="F200" s="66">
        <f>F43</f>
        <v>0</v>
      </c>
      <c r="G200" s="66">
        <f>G43</f>
        <v>0</v>
      </c>
      <c r="H200" s="66">
        <f>H43</f>
        <v>0</v>
      </c>
      <c r="I200" s="66"/>
      <c r="J200" s="66"/>
      <c r="K200" s="66"/>
      <c r="L200" s="66"/>
      <c r="M200" s="66"/>
      <c r="N200" s="66"/>
      <c r="O200" s="67"/>
      <c r="P200" s="67"/>
      <c r="Q200" s="67"/>
      <c r="R200" s="67"/>
      <c r="S200" s="67"/>
      <c r="T200" s="67"/>
      <c r="U200" s="67"/>
    </row>
    <row r="201" spans="1:21" s="52" customFormat="1" x14ac:dyDescent="0.25">
      <c r="A201" s="67"/>
      <c r="B201" s="53" t="s">
        <v>306</v>
      </c>
      <c r="C201" s="54"/>
      <c r="D201" s="56" t="e">
        <f>D200/D11</f>
        <v>#DIV/0!</v>
      </c>
      <c r="E201" s="56" t="e">
        <f>E200/E11</f>
        <v>#DIV/0!</v>
      </c>
      <c r="F201" s="56" t="e">
        <f>F200/F11</f>
        <v>#DIV/0!</v>
      </c>
      <c r="G201" s="56" t="e">
        <f>G200/G11</f>
        <v>#DIV/0!</v>
      </c>
      <c r="H201" s="56" t="e">
        <f>H200/H11</f>
        <v>#DIV/0!</v>
      </c>
      <c r="I201" s="54"/>
      <c r="J201" s="54"/>
      <c r="K201" s="54"/>
      <c r="L201" s="54"/>
      <c r="M201" s="54"/>
      <c r="N201" s="54"/>
      <c r="O201" s="67"/>
      <c r="P201" s="67"/>
      <c r="Q201" s="67"/>
      <c r="R201" s="67"/>
      <c r="S201" s="67"/>
      <c r="T201" s="67"/>
      <c r="U201" s="67"/>
    </row>
    <row r="202" spans="1:21" s="52" customFormat="1" x14ac:dyDescent="0.25">
      <c r="A202" s="67"/>
      <c r="B202" s="53" t="s">
        <v>307</v>
      </c>
      <c r="C202" s="54"/>
      <c r="D202" s="54"/>
      <c r="E202" s="54"/>
      <c r="F202" s="54"/>
      <c r="G202" s="54"/>
      <c r="H202" s="54"/>
      <c r="I202" s="56" t="e">
        <f>AVERAGE(D201:H201)</f>
        <v>#DIV/0!</v>
      </c>
      <c r="J202" s="54"/>
      <c r="K202" s="54"/>
      <c r="L202" s="54"/>
      <c r="M202" s="54"/>
      <c r="N202" s="54"/>
      <c r="O202" s="67"/>
      <c r="P202" s="67"/>
      <c r="Q202" s="67"/>
      <c r="R202" s="67"/>
      <c r="S202" s="67"/>
      <c r="T202" s="67"/>
      <c r="U202" s="67"/>
    </row>
    <row r="203" spans="1:21" s="52" customFormat="1" x14ac:dyDescent="0.25">
      <c r="A203" s="67"/>
      <c r="B203" s="53"/>
      <c r="C203" s="54"/>
      <c r="D203" s="54"/>
      <c r="E203" s="54"/>
      <c r="F203" s="54"/>
      <c r="G203" s="54"/>
      <c r="H203" s="54"/>
      <c r="I203" s="54" t="e">
        <f t="shared" ref="I203:N203" si="128">$I202*I11</f>
        <v>#DIV/0!</v>
      </c>
      <c r="J203" s="54" t="e">
        <f t="shared" si="128"/>
        <v>#DIV/0!</v>
      </c>
      <c r="K203" s="54" t="e">
        <f t="shared" si="128"/>
        <v>#DIV/0!</v>
      </c>
      <c r="L203" s="54" t="e">
        <f t="shared" si="128"/>
        <v>#DIV/0!</v>
      </c>
      <c r="M203" s="54" t="e">
        <f t="shared" si="128"/>
        <v>#DIV/0!</v>
      </c>
      <c r="N203" s="54" t="e">
        <f t="shared" si="128"/>
        <v>#DIV/0!</v>
      </c>
      <c r="O203" s="67"/>
      <c r="P203" s="67"/>
      <c r="Q203" s="67"/>
      <c r="R203" s="67"/>
      <c r="S203" s="67"/>
      <c r="T203" s="67"/>
      <c r="U203" s="67"/>
    </row>
    <row r="204" spans="1:21" s="52" customFormat="1" x14ac:dyDescent="0.25">
      <c r="A204" s="67"/>
      <c r="O204" s="67"/>
      <c r="P204" s="67"/>
      <c r="Q204" s="67"/>
      <c r="R204" s="67"/>
      <c r="S204" s="67"/>
      <c r="T204" s="67"/>
      <c r="U204" s="67"/>
    </row>
    <row r="205" spans="1:21" s="52" customFormat="1" x14ac:dyDescent="0.25">
      <c r="A205" s="67"/>
      <c r="B205" s="52" t="s">
        <v>308</v>
      </c>
      <c r="D205" s="52">
        <f>D45</f>
        <v>0</v>
      </c>
      <c r="E205" s="52">
        <f>E45</f>
        <v>0</v>
      </c>
      <c r="F205" s="52">
        <f>F45</f>
        <v>0</v>
      </c>
      <c r="G205" s="52">
        <f>G45</f>
        <v>0</v>
      </c>
      <c r="H205" s="52">
        <f>H45</f>
        <v>0</v>
      </c>
      <c r="I205" s="52">
        <f t="shared" ref="I205:N205" si="129">H210</f>
        <v>0</v>
      </c>
      <c r="J205" s="52" t="e">
        <f t="shared" si="129"/>
        <v>#DIV/0!</v>
      </c>
      <c r="K205" s="52" t="e">
        <f t="shared" si="129"/>
        <v>#DIV/0!</v>
      </c>
      <c r="L205" s="52" t="e">
        <f t="shared" si="129"/>
        <v>#DIV/0!</v>
      </c>
      <c r="M205" s="52" t="e">
        <f t="shared" si="129"/>
        <v>#DIV/0!</v>
      </c>
      <c r="N205" s="52" t="e">
        <f t="shared" si="129"/>
        <v>#DIV/0!</v>
      </c>
      <c r="O205" s="67"/>
      <c r="P205" s="67"/>
      <c r="Q205" s="67"/>
      <c r="R205" s="67"/>
      <c r="S205" s="67"/>
      <c r="T205" s="67"/>
      <c r="U205" s="67"/>
    </row>
    <row r="206" spans="1:21" s="52" customFormat="1" x14ac:dyDescent="0.25">
      <c r="A206" s="67"/>
      <c r="B206" s="52" t="s">
        <v>305</v>
      </c>
      <c r="D206" s="79">
        <f t="shared" ref="D206:N206" si="130">D42</f>
        <v>0</v>
      </c>
      <c r="E206" s="79">
        <f t="shared" si="130"/>
        <v>0</v>
      </c>
      <c r="F206" s="79">
        <f t="shared" si="130"/>
        <v>0</v>
      </c>
      <c r="G206" s="79">
        <f t="shared" si="130"/>
        <v>0</v>
      </c>
      <c r="H206" s="79">
        <f t="shared" si="130"/>
        <v>0</v>
      </c>
      <c r="I206" s="80">
        <f t="shared" si="130"/>
        <v>400</v>
      </c>
      <c r="J206" s="80">
        <f t="shared" si="130"/>
        <v>469.5</v>
      </c>
      <c r="K206" s="80">
        <f t="shared" si="130"/>
        <v>0</v>
      </c>
      <c r="L206" s="80">
        <f t="shared" si="130"/>
        <v>0</v>
      </c>
      <c r="M206" s="80">
        <f t="shared" si="130"/>
        <v>0</v>
      </c>
      <c r="N206" s="80">
        <f t="shared" si="130"/>
        <v>847.5</v>
      </c>
      <c r="O206" s="67"/>
      <c r="P206" s="67"/>
      <c r="Q206" s="67"/>
      <c r="R206" s="67"/>
      <c r="S206" s="67"/>
      <c r="T206" s="67"/>
      <c r="U206" s="67"/>
    </row>
    <row r="207" spans="1:21" s="52" customFormat="1" x14ac:dyDescent="0.25">
      <c r="A207" s="67"/>
      <c r="B207" s="52" t="s">
        <v>309</v>
      </c>
      <c r="E207" s="61" t="e">
        <f>(E205-D205)/D205</f>
        <v>#DIV/0!</v>
      </c>
      <c r="F207" s="61" t="e">
        <f>(F205-E205)/E205</f>
        <v>#DIV/0!</v>
      </c>
      <c r="G207" s="61" t="e">
        <f>(G205-F205)/F205</f>
        <v>#DIV/0!</v>
      </c>
      <c r="H207" s="61" t="e">
        <f>(H205-G205)/G205</f>
        <v>#DIV/0!</v>
      </c>
      <c r="P207" s="67"/>
      <c r="Q207" s="67"/>
      <c r="R207" s="67"/>
      <c r="S207" s="67"/>
      <c r="T207" s="67"/>
      <c r="U207" s="67"/>
    </row>
    <row r="208" spans="1:21" s="52" customFormat="1" x14ac:dyDescent="0.25">
      <c r="A208" s="67"/>
      <c r="B208" s="52" t="s">
        <v>310</v>
      </c>
      <c r="I208" s="63" t="e">
        <f>AVERAGE($E207:$H207)</f>
        <v>#DIV/0!</v>
      </c>
      <c r="J208" s="63"/>
      <c r="K208" s="63"/>
      <c r="L208" s="63"/>
      <c r="N208" s="63"/>
      <c r="O208" s="67"/>
      <c r="P208" s="67"/>
      <c r="Q208" s="67"/>
      <c r="R208" s="67"/>
      <c r="S208" s="67"/>
      <c r="T208" s="67"/>
      <c r="U208" s="67"/>
    </row>
    <row r="209" spans="2:21" s="52" customFormat="1" x14ac:dyDescent="0.25">
      <c r="B209" s="52" t="s">
        <v>311</v>
      </c>
      <c r="I209" s="52" t="e">
        <f>I205*($I208*0)</f>
        <v>#DIV/0!</v>
      </c>
      <c r="J209" s="52" t="e">
        <f t="shared" ref="J209:N209" si="131">J205*($I208*0)</f>
        <v>#DIV/0!</v>
      </c>
      <c r="K209" s="52" t="e">
        <f t="shared" si="131"/>
        <v>#DIV/0!</v>
      </c>
      <c r="L209" s="52" t="e">
        <f t="shared" si="131"/>
        <v>#DIV/0!</v>
      </c>
      <c r="M209" s="52" t="e">
        <f t="shared" si="131"/>
        <v>#DIV/0!</v>
      </c>
      <c r="N209" s="52" t="e">
        <f t="shared" si="131"/>
        <v>#DIV/0!</v>
      </c>
    </row>
    <row r="210" spans="2:21" s="52" customFormat="1" x14ac:dyDescent="0.25">
      <c r="B210" s="65" t="s">
        <v>312</v>
      </c>
      <c r="C210" s="66"/>
      <c r="D210" s="66"/>
      <c r="F210" s="66"/>
      <c r="G210" s="66">
        <f>G205</f>
        <v>0</v>
      </c>
      <c r="H210" s="66">
        <f>H205</f>
        <v>0</v>
      </c>
      <c r="I210" s="66" t="e">
        <f>I205-I206+I209</f>
        <v>#DIV/0!</v>
      </c>
      <c r="J210" s="66" t="e">
        <f t="shared" ref="J210:N210" si="132">J205-J206+J209</f>
        <v>#DIV/0!</v>
      </c>
      <c r="K210" s="66" t="e">
        <f t="shared" si="132"/>
        <v>#DIV/0!</v>
      </c>
      <c r="L210" s="66" t="e">
        <f t="shared" si="132"/>
        <v>#DIV/0!</v>
      </c>
      <c r="M210" s="66" t="e">
        <f t="shared" si="132"/>
        <v>#DIV/0!</v>
      </c>
      <c r="N210" s="66" t="e">
        <f t="shared" si="132"/>
        <v>#DIV/0!</v>
      </c>
    </row>
    <row r="211" spans="2:21" s="52" customFormat="1" x14ac:dyDescent="0.25"/>
    <row r="212" spans="2:21" s="52" customFormat="1" x14ac:dyDescent="0.25">
      <c r="B212" s="52" t="s">
        <v>313</v>
      </c>
      <c r="D212" s="52">
        <f t="shared" ref="D212:N212" si="133">D87</f>
        <v>0</v>
      </c>
      <c r="E212" s="52">
        <f t="shared" si="133"/>
        <v>0</v>
      </c>
      <c r="F212" s="52">
        <f t="shared" si="133"/>
        <v>0</v>
      </c>
      <c r="G212" s="52">
        <f t="shared" si="133"/>
        <v>0</v>
      </c>
      <c r="H212" s="52">
        <f t="shared" si="133"/>
        <v>0</v>
      </c>
      <c r="I212" s="52" t="e">
        <f>I87</f>
        <v>#DIV/0!</v>
      </c>
      <c r="J212" s="52" t="e">
        <f t="shared" si="133"/>
        <v>#DIV/0!</v>
      </c>
      <c r="K212" s="52" t="e">
        <f t="shared" si="133"/>
        <v>#DIV/0!</v>
      </c>
      <c r="L212" s="52" t="e">
        <f t="shared" si="133"/>
        <v>#DIV/0!</v>
      </c>
      <c r="M212" s="52" t="e">
        <f t="shared" si="133"/>
        <v>#DIV/0!</v>
      </c>
      <c r="N212" s="52" t="e">
        <f t="shared" si="133"/>
        <v>#DIV/0!</v>
      </c>
    </row>
    <row r="213" spans="2:21" s="52" customFormat="1" x14ac:dyDescent="0.25">
      <c r="P213" s="67"/>
      <c r="Q213" s="67"/>
      <c r="R213" s="67"/>
      <c r="S213" s="67"/>
      <c r="T213" s="67"/>
      <c r="U213" s="67"/>
    </row>
    <row r="214" spans="2:21" s="52" customFormat="1" x14ac:dyDescent="0.25">
      <c r="P214" s="67"/>
      <c r="Q214" s="67"/>
      <c r="R214" s="67"/>
      <c r="S214" s="67"/>
      <c r="T214" s="67"/>
      <c r="U214" s="67"/>
    </row>
    <row r="215" spans="2:21" s="52" customFormat="1" x14ac:dyDescent="0.25">
      <c r="P215" s="67"/>
      <c r="Q215" s="67"/>
      <c r="R215" s="67"/>
      <c r="S215" s="67"/>
      <c r="T215" s="67"/>
      <c r="U215" s="67"/>
    </row>
    <row r="216" spans="2:21" s="52" customFormat="1" x14ac:dyDescent="0.25">
      <c r="P216" s="67"/>
      <c r="Q216" s="67"/>
      <c r="R216" s="67"/>
      <c r="S216" s="67"/>
      <c r="T216" s="67"/>
      <c r="U216" s="67"/>
    </row>
    <row r="217" spans="2:21" s="52" customFormat="1" x14ac:dyDescent="0.25">
      <c r="P217" s="67"/>
      <c r="Q217" s="67"/>
      <c r="R217" s="67"/>
      <c r="S217" s="67"/>
      <c r="T217" s="67"/>
      <c r="U217" s="67"/>
    </row>
    <row r="218" spans="2:21" s="52" customFormat="1" x14ac:dyDescent="0.25">
      <c r="O218" s="67"/>
      <c r="P218" s="67"/>
      <c r="Q218" s="67"/>
      <c r="R218" s="67"/>
      <c r="S218" s="67"/>
      <c r="T218" s="67"/>
      <c r="U218" s="67"/>
    </row>
    <row r="219" spans="2:21" s="52" customFormat="1" x14ac:dyDescent="0.25">
      <c r="B219" s="53"/>
      <c r="C219" s="54"/>
      <c r="D219" s="54"/>
      <c r="E219" s="54"/>
      <c r="F219" s="54"/>
      <c r="G219" s="54"/>
      <c r="H219" s="54"/>
      <c r="I219" s="54"/>
      <c r="J219" s="54"/>
      <c r="K219" s="54"/>
      <c r="L219" s="54"/>
      <c r="M219" s="54"/>
      <c r="N219" s="54"/>
    </row>
    <row r="220" spans="2:21" s="52" customFormat="1" x14ac:dyDescent="0.25">
      <c r="B220" s="53"/>
      <c r="C220" s="54"/>
      <c r="D220" s="54"/>
      <c r="E220" s="54"/>
      <c r="F220" s="54"/>
      <c r="G220" s="54"/>
      <c r="H220" s="54"/>
      <c r="I220" s="54"/>
      <c r="J220" s="54"/>
      <c r="K220" s="54"/>
      <c r="L220" s="54"/>
      <c r="M220" s="54"/>
      <c r="N220" s="54"/>
    </row>
    <row r="221" spans="2:21" s="52" customFormat="1" x14ac:dyDescent="0.25">
      <c r="B221" s="53" t="s">
        <v>314</v>
      </c>
      <c r="C221" s="54"/>
      <c r="D221" s="54">
        <f>D46</f>
        <v>0</v>
      </c>
      <c r="E221" s="54">
        <f>E46</f>
        <v>0</v>
      </c>
      <c r="F221" s="54">
        <f>F46</f>
        <v>0</v>
      </c>
      <c r="G221" s="54">
        <f>G46</f>
        <v>0</v>
      </c>
      <c r="H221" s="54">
        <f>H46</f>
        <v>0</v>
      </c>
      <c r="I221" s="54"/>
      <c r="J221" s="54"/>
      <c r="K221" s="54"/>
      <c r="L221" s="54"/>
      <c r="M221" s="54"/>
      <c r="N221" s="54"/>
    </row>
    <row r="222" spans="2:21" s="52" customFormat="1" x14ac:dyDescent="0.25">
      <c r="B222" s="53" t="s">
        <v>315</v>
      </c>
      <c r="C222" s="54"/>
      <c r="D222" s="56" t="e">
        <f>D221/D11</f>
        <v>#DIV/0!</v>
      </c>
      <c r="E222" s="56" t="e">
        <f>E221/E11</f>
        <v>#DIV/0!</v>
      </c>
      <c r="F222" s="56" t="e">
        <f>F221/F11</f>
        <v>#DIV/0!</v>
      </c>
      <c r="G222" s="56" t="e">
        <f>G221/G11</f>
        <v>#DIV/0!</v>
      </c>
      <c r="H222" s="56" t="e">
        <f>H221/H11</f>
        <v>#DIV/0!</v>
      </c>
      <c r="I222" s="54"/>
      <c r="J222" s="54"/>
      <c r="K222" s="54"/>
      <c r="L222" s="54"/>
      <c r="M222" s="54"/>
      <c r="N222" s="54"/>
    </row>
    <row r="223" spans="2:21" s="52" customFormat="1" x14ac:dyDescent="0.25">
      <c r="B223" s="53" t="s">
        <v>316</v>
      </c>
      <c r="C223" s="54"/>
      <c r="D223" s="55" t="e">
        <f>D222*0</f>
        <v>#DIV/0!</v>
      </c>
      <c r="E223" s="55" t="e">
        <f>E222*0.1</f>
        <v>#DIV/0!</v>
      </c>
      <c r="F223" s="55" t="e">
        <f>F222*0.2</f>
        <v>#DIV/0!</v>
      </c>
      <c r="G223" s="55" t="e">
        <f>G222*0.3</f>
        <v>#DIV/0!</v>
      </c>
      <c r="H223" s="55" t="e">
        <f>H222*0.4</f>
        <v>#DIV/0!</v>
      </c>
      <c r="I223" s="56" t="e">
        <f>SUM(D223:H223)</f>
        <v>#DIV/0!</v>
      </c>
      <c r="J223" s="54"/>
      <c r="K223" s="54"/>
      <c r="L223" s="54"/>
      <c r="M223" s="54"/>
      <c r="N223" s="54"/>
    </row>
    <row r="224" spans="2:21" s="52" customFormat="1" x14ac:dyDescent="0.25">
      <c r="B224" s="53" t="s">
        <v>317</v>
      </c>
      <c r="C224" s="54"/>
      <c r="D224" s="54"/>
      <c r="E224" s="54"/>
      <c r="F224" s="54"/>
      <c r="G224" s="54"/>
      <c r="H224" s="54"/>
      <c r="I224" s="54" t="e">
        <f t="shared" ref="I224:N224" si="134">$I223*I11</f>
        <v>#DIV/0!</v>
      </c>
      <c r="J224" s="54" t="e">
        <f t="shared" si="134"/>
        <v>#DIV/0!</v>
      </c>
      <c r="K224" s="54" t="e">
        <f t="shared" si="134"/>
        <v>#DIV/0!</v>
      </c>
      <c r="L224" s="54" t="e">
        <f t="shared" si="134"/>
        <v>#DIV/0!</v>
      </c>
      <c r="M224" s="54" t="e">
        <f t="shared" si="134"/>
        <v>#DIV/0!</v>
      </c>
      <c r="N224" s="54" t="e">
        <f t="shared" si="134"/>
        <v>#DIV/0!</v>
      </c>
    </row>
    <row r="225" spans="2:30" s="52" customFormat="1" x14ac:dyDescent="0.25">
      <c r="B225" s="53"/>
      <c r="C225" s="54"/>
      <c r="D225" s="54"/>
      <c r="E225" s="54"/>
      <c r="F225" s="54"/>
      <c r="G225" s="54"/>
      <c r="H225" s="54"/>
      <c r="I225" s="54"/>
      <c r="J225" s="54"/>
      <c r="K225" s="54"/>
      <c r="L225" s="54"/>
      <c r="M225" s="54"/>
      <c r="N225" s="54"/>
    </row>
    <row r="226" spans="2:30" s="52" customFormat="1" x14ac:dyDescent="0.25">
      <c r="B226" s="70" t="s">
        <v>318</v>
      </c>
      <c r="C226" s="71"/>
      <c r="D226" s="71"/>
      <c r="E226" s="71"/>
      <c r="F226" s="71"/>
      <c r="G226" s="71"/>
      <c r="H226" s="71"/>
      <c r="I226" s="71"/>
      <c r="J226" s="71"/>
      <c r="K226" s="71"/>
      <c r="L226" s="71"/>
      <c r="M226" s="71"/>
      <c r="N226" s="71"/>
      <c r="O226" s="72"/>
      <c r="P226" s="72"/>
      <c r="Q226" s="72"/>
      <c r="R226" s="72"/>
      <c r="S226" s="72"/>
      <c r="T226" s="72"/>
      <c r="U226" s="72"/>
      <c r="V226" s="72"/>
      <c r="W226" s="72"/>
      <c r="X226" s="72"/>
      <c r="Y226" s="72"/>
      <c r="Z226" s="72"/>
      <c r="AA226" s="72"/>
      <c r="AB226" s="72"/>
      <c r="AC226" s="72"/>
      <c r="AD226" s="72"/>
    </row>
    <row r="227" spans="2:30" s="52" customFormat="1" x14ac:dyDescent="0.25">
      <c r="B227" s="81" t="s">
        <v>319</v>
      </c>
      <c r="C227" s="82"/>
      <c r="D227" s="82"/>
      <c r="E227" s="82"/>
      <c r="F227" s="82"/>
      <c r="G227" s="82"/>
      <c r="H227" s="82"/>
      <c r="I227" s="82"/>
      <c r="J227" s="82"/>
      <c r="K227" s="82"/>
      <c r="L227" s="82"/>
      <c r="M227" s="82"/>
      <c r="N227" s="82"/>
      <c r="O227" s="83"/>
      <c r="P227" s="83"/>
      <c r="Q227" s="83"/>
      <c r="R227" s="83"/>
      <c r="S227" s="83"/>
      <c r="T227" s="83"/>
      <c r="U227" s="83"/>
      <c r="V227" s="83"/>
      <c r="W227" s="83"/>
      <c r="X227" s="83"/>
      <c r="Y227" s="83"/>
      <c r="Z227" s="83"/>
      <c r="AA227" s="83"/>
      <c r="AB227" s="83"/>
      <c r="AC227" s="83"/>
      <c r="AD227" s="83"/>
    </row>
    <row r="228" spans="2:30" s="52" customFormat="1" x14ac:dyDescent="0.25">
      <c r="B228" s="53" t="str">
        <f>B60</f>
        <v>Depreciation</v>
      </c>
      <c r="C228" s="53"/>
      <c r="D228" s="53">
        <f>D60</f>
        <v>0</v>
      </c>
      <c r="E228" s="53">
        <f>E60</f>
        <v>0</v>
      </c>
      <c r="F228" s="53">
        <f>F60</f>
        <v>0</v>
      </c>
      <c r="G228" s="53">
        <f>G60</f>
        <v>0</v>
      </c>
      <c r="H228" s="53">
        <f>H60</f>
        <v>0</v>
      </c>
      <c r="I228" s="54"/>
      <c r="J228" s="54"/>
      <c r="K228" s="54"/>
      <c r="L228" s="54"/>
      <c r="M228" s="54"/>
      <c r="N228" s="54"/>
    </row>
    <row r="229" spans="2:30" s="52" customFormat="1" x14ac:dyDescent="0.25">
      <c r="B229" s="53" t="s">
        <v>320</v>
      </c>
      <c r="C229" s="54"/>
      <c r="D229" s="56"/>
      <c r="E229" s="56" t="e">
        <f>E228/D34</f>
        <v>#DIV/0!</v>
      </c>
      <c r="F229" s="56" t="e">
        <f>F228/E34</f>
        <v>#DIV/0!</v>
      </c>
      <c r="G229" s="56" t="e">
        <f>G228/F34</f>
        <v>#DIV/0!</v>
      </c>
      <c r="H229" s="56" t="e">
        <f>H228/G34</f>
        <v>#DIV/0!</v>
      </c>
      <c r="I229" s="54"/>
      <c r="J229" s="54"/>
      <c r="K229" s="54"/>
      <c r="L229" s="54"/>
      <c r="M229" s="54"/>
      <c r="N229" s="54"/>
    </row>
    <row r="230" spans="2:30" s="52" customFormat="1" x14ac:dyDescent="0.25">
      <c r="B230" s="53" t="s">
        <v>321</v>
      </c>
      <c r="C230" s="54"/>
      <c r="D230" s="55"/>
      <c r="E230" s="55" t="e">
        <f>E229*0.1</f>
        <v>#DIV/0!</v>
      </c>
      <c r="F230" s="55" t="e">
        <f>F229*0.2</f>
        <v>#DIV/0!</v>
      </c>
      <c r="G230" s="55" t="e">
        <f>G229*0.3</f>
        <v>#DIV/0!</v>
      </c>
      <c r="H230" s="55" t="e">
        <f>H229*0.4</f>
        <v>#DIV/0!</v>
      </c>
      <c r="I230" s="56" t="e">
        <f>SUM(E230:H230)</f>
        <v>#DIV/0!</v>
      </c>
      <c r="J230" s="54"/>
      <c r="K230" s="54"/>
      <c r="L230" s="54"/>
      <c r="M230" s="54"/>
      <c r="N230" s="54"/>
    </row>
    <row r="231" spans="2:30" s="52" customFormat="1" x14ac:dyDescent="0.25">
      <c r="B231" s="53" t="s">
        <v>322</v>
      </c>
      <c r="C231" s="54"/>
      <c r="D231" s="54"/>
      <c r="E231" s="54"/>
      <c r="F231" s="54"/>
      <c r="G231" s="54"/>
      <c r="H231" s="54"/>
      <c r="I231" s="54" t="e">
        <f t="shared" ref="I231:N231" si="135">$I230*H34</f>
        <v>#DIV/0!</v>
      </c>
      <c r="J231" s="54" t="e">
        <f t="shared" si="135"/>
        <v>#DIV/0!</v>
      </c>
      <c r="K231" s="54" t="e">
        <f t="shared" si="135"/>
        <v>#DIV/0!</v>
      </c>
      <c r="L231" s="54" t="e">
        <f t="shared" si="135"/>
        <v>#DIV/0!</v>
      </c>
      <c r="M231" s="54" t="e">
        <f t="shared" si="135"/>
        <v>#DIV/0!</v>
      </c>
      <c r="N231" s="54" t="e">
        <f t="shared" si="135"/>
        <v>#DIV/0!</v>
      </c>
    </row>
    <row r="232" spans="2:30" s="52" customFormat="1" x14ac:dyDescent="0.25">
      <c r="B232" s="53"/>
      <c r="C232" s="54"/>
      <c r="D232" s="54"/>
      <c r="E232" s="54"/>
      <c r="F232" s="54"/>
      <c r="G232" s="54"/>
      <c r="H232" s="54"/>
      <c r="I232" s="54"/>
      <c r="J232" s="54"/>
      <c r="K232" s="54"/>
      <c r="L232" s="54"/>
      <c r="M232" s="54"/>
      <c r="N232" s="54"/>
    </row>
    <row r="233" spans="2:30" s="52" customFormat="1" x14ac:dyDescent="0.25">
      <c r="B233" s="53"/>
      <c r="C233" s="54"/>
      <c r="D233" s="54"/>
      <c r="E233" s="54"/>
      <c r="F233" s="54"/>
      <c r="G233" s="54"/>
      <c r="H233" s="54"/>
      <c r="I233" s="54"/>
      <c r="J233" s="54"/>
      <c r="K233" s="54"/>
      <c r="L233" s="54"/>
      <c r="M233" s="54"/>
      <c r="N233" s="54"/>
    </row>
    <row r="234" spans="2:30" s="52" customFormat="1" x14ac:dyDescent="0.25">
      <c r="B234" s="53" t="s">
        <v>215</v>
      </c>
      <c r="C234" s="54"/>
      <c r="D234" s="54">
        <f>D61</f>
        <v>0</v>
      </c>
      <c r="E234" s="54">
        <f>E61</f>
        <v>0</v>
      </c>
      <c r="F234" s="54">
        <f>F61</f>
        <v>0</v>
      </c>
      <c r="G234" s="54">
        <f>G61</f>
        <v>0</v>
      </c>
      <c r="H234" s="54">
        <f>H61</f>
        <v>0</v>
      </c>
      <c r="I234" s="54"/>
      <c r="J234" s="54"/>
      <c r="K234" s="54"/>
      <c r="L234" s="54"/>
      <c r="M234" s="54"/>
      <c r="N234" s="54"/>
    </row>
    <row r="235" spans="2:30" s="52" customFormat="1" x14ac:dyDescent="0.25">
      <c r="B235" s="53" t="s">
        <v>323</v>
      </c>
      <c r="C235" s="54"/>
      <c r="D235" s="56" t="e">
        <f>D234/D11</f>
        <v>#DIV/0!</v>
      </c>
      <c r="E235" s="56" t="e">
        <f>E234/E11</f>
        <v>#DIV/0!</v>
      </c>
      <c r="F235" s="56" t="e">
        <f>F234/F11</f>
        <v>#DIV/0!</v>
      </c>
      <c r="G235" s="56" t="e">
        <f>G234/G11</f>
        <v>#DIV/0!</v>
      </c>
      <c r="H235" s="56" t="e">
        <f>H234/H11</f>
        <v>#DIV/0!</v>
      </c>
      <c r="I235" s="53"/>
      <c r="J235" s="54"/>
      <c r="K235" s="54"/>
      <c r="L235" s="54"/>
      <c r="M235" s="54"/>
      <c r="N235" s="54"/>
    </row>
    <row r="236" spans="2:30" s="52" customFormat="1" x14ac:dyDescent="0.25">
      <c r="B236" s="53" t="s">
        <v>324</v>
      </c>
      <c r="C236" s="54"/>
      <c r="D236" s="54"/>
      <c r="E236" s="54"/>
      <c r="F236" s="54"/>
      <c r="G236" s="54"/>
      <c r="I236" s="56" t="e">
        <f>AVERAGE(D235:H235)</f>
        <v>#DIV/0!</v>
      </c>
      <c r="J236" s="54"/>
      <c r="K236" s="54"/>
      <c r="L236" s="56" t="e">
        <f>I236</f>
        <v>#DIV/0!</v>
      </c>
      <c r="M236" s="54"/>
      <c r="N236" s="54"/>
    </row>
    <row r="237" spans="2:30" s="52" customFormat="1" x14ac:dyDescent="0.25">
      <c r="B237" s="53" t="s">
        <v>325</v>
      </c>
      <c r="C237" s="54"/>
      <c r="D237" s="54"/>
      <c r="E237" s="54"/>
      <c r="G237" s="54"/>
      <c r="H237" s="54"/>
      <c r="I237" s="54" t="e">
        <f>$I236*I11</f>
        <v>#DIV/0!</v>
      </c>
      <c r="J237" s="54" t="e">
        <f>$I236*J11</f>
        <v>#DIV/0!</v>
      </c>
      <c r="K237" s="54" t="e">
        <f>$I236*K11</f>
        <v>#DIV/0!</v>
      </c>
      <c r="L237" s="54" t="e">
        <f>$L$236*L11</f>
        <v>#DIV/0!</v>
      </c>
      <c r="M237" s="54" t="e">
        <f>$L$236*M11</f>
        <v>#DIV/0!</v>
      </c>
      <c r="N237" s="54" t="e">
        <f>$L$236*N11</f>
        <v>#DIV/0!</v>
      </c>
    </row>
    <row r="238" spans="2:30" s="52" customFormat="1" x14ac:dyDescent="0.25">
      <c r="B238" s="53"/>
      <c r="C238" s="54"/>
      <c r="D238" s="54"/>
      <c r="E238" s="54"/>
      <c r="F238" s="54"/>
      <c r="G238" s="54"/>
      <c r="H238" s="54"/>
      <c r="I238" s="54"/>
      <c r="J238" s="54"/>
      <c r="K238" s="54"/>
      <c r="L238" s="54"/>
      <c r="M238" s="54"/>
      <c r="N238" s="54"/>
    </row>
    <row r="239" spans="2:30" s="52" customFormat="1" x14ac:dyDescent="0.25">
      <c r="I239" s="54"/>
      <c r="J239" s="54"/>
      <c r="K239" s="54"/>
      <c r="L239" s="54"/>
      <c r="M239" s="54"/>
      <c r="N239" s="54"/>
    </row>
    <row r="240" spans="2:30" s="52" customFormat="1" x14ac:dyDescent="0.25">
      <c r="I240" s="54"/>
      <c r="J240" s="54"/>
      <c r="K240" s="54"/>
      <c r="L240" s="54"/>
      <c r="M240" s="54"/>
      <c r="N240" s="54"/>
    </row>
    <row r="241" spans="2:14" s="52" customFormat="1" x14ac:dyDescent="0.25">
      <c r="B241" s="65" t="str">
        <f>B62</f>
        <v>Other operating cash flow</v>
      </c>
      <c r="C241" s="53"/>
      <c r="D241" s="53">
        <f>D62</f>
        <v>0</v>
      </c>
      <c r="E241" s="53">
        <f>E62</f>
        <v>0</v>
      </c>
      <c r="F241" s="53">
        <f>F62</f>
        <v>0</v>
      </c>
      <c r="G241" s="53">
        <f>G62</f>
        <v>0</v>
      </c>
      <c r="H241" s="53">
        <f>H62</f>
        <v>0</v>
      </c>
      <c r="I241" s="54"/>
      <c r="J241" s="54"/>
      <c r="K241" s="54"/>
      <c r="L241" s="54"/>
      <c r="M241" s="54"/>
      <c r="N241" s="54"/>
    </row>
    <row r="242" spans="2:14" s="52" customFormat="1" x14ac:dyDescent="0.25">
      <c r="B242" s="65" t="s">
        <v>326</v>
      </c>
      <c r="C242" s="54"/>
      <c r="D242" s="56" t="e">
        <f>D241/D11</f>
        <v>#DIV/0!</v>
      </c>
      <c r="E242" s="56" t="e">
        <f>E241/E11</f>
        <v>#DIV/0!</v>
      </c>
      <c r="F242" s="56" t="e">
        <f>F241/F11</f>
        <v>#DIV/0!</v>
      </c>
      <c r="G242" s="56" t="e">
        <f>G241/G11</f>
        <v>#DIV/0!</v>
      </c>
      <c r="H242" s="56" t="e">
        <f>H241/H11</f>
        <v>#DIV/0!</v>
      </c>
      <c r="I242" s="54"/>
      <c r="K242" s="54"/>
      <c r="L242" s="54"/>
      <c r="M242" s="54"/>
      <c r="N242" s="54"/>
    </row>
    <row r="243" spans="2:14" s="52" customFormat="1" x14ac:dyDescent="0.25">
      <c r="B243" s="65" t="s">
        <v>295</v>
      </c>
      <c r="C243" s="54"/>
      <c r="D243" s="76">
        <v>0.05</v>
      </c>
      <c r="E243" s="76">
        <v>0.25</v>
      </c>
      <c r="F243" s="76">
        <v>0.3</v>
      </c>
      <c r="G243" s="76">
        <v>0.4</v>
      </c>
      <c r="H243" s="76">
        <v>0</v>
      </c>
      <c r="I243" s="54"/>
      <c r="J243" s="55">
        <f>SUM(D243:H243)</f>
        <v>1</v>
      </c>
      <c r="K243" s="54"/>
      <c r="L243" s="54"/>
      <c r="M243" s="54"/>
      <c r="N243" s="54"/>
    </row>
    <row r="244" spans="2:14" s="52" customFormat="1" x14ac:dyDescent="0.25">
      <c r="B244" s="65" t="s">
        <v>327</v>
      </c>
      <c r="C244" s="54"/>
      <c r="D244" s="56" t="e">
        <f>D242*D243</f>
        <v>#DIV/0!</v>
      </c>
      <c r="E244" s="56" t="e">
        <f>E242*E243</f>
        <v>#DIV/0!</v>
      </c>
      <c r="F244" s="56" t="e">
        <f>F242*F243</f>
        <v>#DIV/0!</v>
      </c>
      <c r="G244" s="56" t="e">
        <f>G242*G243</f>
        <v>#DIV/0!</v>
      </c>
      <c r="H244" s="56" t="e">
        <f>H242*H243</f>
        <v>#DIV/0!</v>
      </c>
    </row>
    <row r="245" spans="2:14" s="52" customFormat="1" x14ac:dyDescent="0.25">
      <c r="B245" s="65" t="s">
        <v>328</v>
      </c>
      <c r="C245" s="54"/>
      <c r="D245" s="54"/>
      <c r="E245" s="54"/>
      <c r="F245" s="54"/>
      <c r="G245" s="54"/>
      <c r="H245" s="54"/>
      <c r="I245" s="56" t="e">
        <f>SUM(D244:H244)</f>
        <v>#DIV/0!</v>
      </c>
      <c r="K245" s="54"/>
      <c r="L245" s="54"/>
      <c r="M245" s="54"/>
      <c r="N245" s="54"/>
    </row>
    <row r="246" spans="2:14" s="52" customFormat="1" x14ac:dyDescent="0.25">
      <c r="B246" s="65" t="s">
        <v>329</v>
      </c>
      <c r="C246" s="54"/>
      <c r="D246" s="54"/>
      <c r="E246" s="54"/>
      <c r="F246" s="54"/>
      <c r="G246" s="54"/>
      <c r="H246" s="54"/>
      <c r="I246" s="54" t="e">
        <f t="shared" ref="I246:N246" si="136">$I245*I11</f>
        <v>#DIV/0!</v>
      </c>
      <c r="J246" s="54" t="e">
        <f t="shared" si="136"/>
        <v>#DIV/0!</v>
      </c>
      <c r="K246" s="54" t="e">
        <f t="shared" si="136"/>
        <v>#DIV/0!</v>
      </c>
      <c r="L246" s="54" t="e">
        <f t="shared" si="136"/>
        <v>#DIV/0!</v>
      </c>
      <c r="M246" s="54" t="e">
        <f t="shared" si="136"/>
        <v>#DIV/0!</v>
      </c>
      <c r="N246" s="54" t="e">
        <f t="shared" si="136"/>
        <v>#DIV/0!</v>
      </c>
    </row>
    <row r="247" spans="2:14" s="52" customFormat="1" x14ac:dyDescent="0.25">
      <c r="C247" s="54"/>
      <c r="D247" s="54"/>
      <c r="E247" s="54"/>
      <c r="F247" s="54"/>
      <c r="G247" s="54"/>
      <c r="H247" s="54"/>
      <c r="I247" s="54"/>
      <c r="J247" s="54"/>
      <c r="K247" s="54"/>
      <c r="L247" s="54"/>
      <c r="M247" s="54"/>
      <c r="N247" s="54"/>
    </row>
    <row r="248" spans="2:14" s="52" customFormat="1" x14ac:dyDescent="0.25">
      <c r="B248" s="53"/>
      <c r="C248" s="54"/>
      <c r="D248" s="54"/>
      <c r="E248" s="54"/>
      <c r="F248" s="54"/>
      <c r="G248" s="54"/>
      <c r="H248" s="54"/>
      <c r="I248" s="54"/>
      <c r="J248" s="54"/>
      <c r="K248" s="54"/>
      <c r="L248" s="54"/>
      <c r="M248" s="54"/>
      <c r="N248" s="54"/>
    </row>
    <row r="249" spans="2:14" s="52" customFormat="1" x14ac:dyDescent="0.25">
      <c r="B249" s="53" t="str">
        <f>B66</f>
        <v>Capital expenditures (CAPEX)</v>
      </c>
      <c r="C249" s="53"/>
      <c r="D249" s="53">
        <f>D66</f>
        <v>0</v>
      </c>
      <c r="E249" s="53">
        <f>E66</f>
        <v>0</v>
      </c>
      <c r="F249" s="53">
        <f>F66</f>
        <v>0</v>
      </c>
      <c r="G249" s="53">
        <f>G66</f>
        <v>0</v>
      </c>
      <c r="H249" s="53">
        <f>H66</f>
        <v>0</v>
      </c>
      <c r="I249" s="54"/>
      <c r="J249" s="54"/>
      <c r="K249" s="54"/>
      <c r="L249" s="54"/>
      <c r="M249" s="54"/>
      <c r="N249" s="54"/>
    </row>
    <row r="250" spans="2:14" s="52" customFormat="1" x14ac:dyDescent="0.25">
      <c r="B250" s="53" t="s">
        <v>330</v>
      </c>
      <c r="C250" s="54"/>
      <c r="D250" s="56" t="e">
        <f>D249/D11</f>
        <v>#DIV/0!</v>
      </c>
      <c r="E250" s="56" t="e">
        <f>E249/E11</f>
        <v>#DIV/0!</v>
      </c>
      <c r="F250" s="56" t="e">
        <f>F249/F11</f>
        <v>#DIV/0!</v>
      </c>
      <c r="G250" s="56" t="e">
        <f>G249/G11</f>
        <v>#DIV/0!</v>
      </c>
      <c r="H250" s="56" t="e">
        <f>H249/H11</f>
        <v>#DIV/0!</v>
      </c>
      <c r="I250" s="54"/>
      <c r="J250" s="54"/>
      <c r="K250" s="54"/>
      <c r="L250" s="54"/>
      <c r="M250" s="54"/>
      <c r="N250" s="54"/>
    </row>
    <row r="251" spans="2:14" s="52" customFormat="1" x14ac:dyDescent="0.25">
      <c r="B251" s="52" t="s">
        <v>331</v>
      </c>
      <c r="C251" s="54"/>
      <c r="D251" s="54"/>
      <c r="E251" s="56"/>
      <c r="F251" s="56"/>
      <c r="H251" s="61" t="e">
        <f>AVERAGE(D250:H250)</f>
        <v>#DIV/0!</v>
      </c>
      <c r="I251" s="56" t="e">
        <f t="shared" ref="I251:N251" si="137">H251</f>
        <v>#DIV/0!</v>
      </c>
      <c r="J251" s="56" t="e">
        <f t="shared" si="137"/>
        <v>#DIV/0!</v>
      </c>
      <c r="K251" s="56" t="e">
        <f t="shared" si="137"/>
        <v>#DIV/0!</v>
      </c>
      <c r="L251" s="56" t="e">
        <f t="shared" si="137"/>
        <v>#DIV/0!</v>
      </c>
      <c r="M251" s="56" t="e">
        <f t="shared" si="137"/>
        <v>#DIV/0!</v>
      </c>
      <c r="N251" s="56" t="e">
        <f t="shared" si="137"/>
        <v>#DIV/0!</v>
      </c>
    </row>
    <row r="252" spans="2:14" s="52" customFormat="1" x14ac:dyDescent="0.25">
      <c r="B252" s="53" t="s">
        <v>332</v>
      </c>
      <c r="C252" s="54"/>
      <c r="D252" s="54"/>
      <c r="E252" s="56"/>
      <c r="F252" s="56"/>
      <c r="G252" s="56"/>
      <c r="H252" s="56"/>
      <c r="I252" s="54" t="e">
        <f t="shared" ref="I252:N252" si="138">I251*I11</f>
        <v>#DIV/0!</v>
      </c>
      <c r="J252" s="54" t="e">
        <f t="shared" si="138"/>
        <v>#DIV/0!</v>
      </c>
      <c r="K252" s="54" t="e">
        <f t="shared" si="138"/>
        <v>#DIV/0!</v>
      </c>
      <c r="L252" s="54" t="e">
        <f t="shared" si="138"/>
        <v>#DIV/0!</v>
      </c>
      <c r="M252" s="54" t="e">
        <f t="shared" si="138"/>
        <v>#DIV/0!</v>
      </c>
      <c r="N252" s="54" t="e">
        <f t="shared" si="138"/>
        <v>#DIV/0!</v>
      </c>
    </row>
    <row r="253" spans="2:14" s="52" customFormat="1" x14ac:dyDescent="0.25">
      <c r="B253" s="53"/>
      <c r="C253" s="54"/>
      <c r="D253" s="54"/>
      <c r="E253" s="54"/>
      <c r="F253" s="54"/>
      <c r="G253" s="54"/>
      <c r="H253" s="54"/>
      <c r="I253" s="54"/>
      <c r="J253" s="54"/>
      <c r="K253" s="54"/>
      <c r="L253" s="54"/>
      <c r="M253" s="54"/>
      <c r="N253" s="54"/>
    </row>
    <row r="254" spans="2:14" s="52" customFormat="1" x14ac:dyDescent="0.25">
      <c r="B254" s="53"/>
      <c r="C254" s="54"/>
      <c r="D254" s="54"/>
      <c r="E254" s="54"/>
      <c r="F254" s="54"/>
      <c r="G254" s="54"/>
      <c r="H254" s="54"/>
      <c r="I254" s="54"/>
      <c r="J254" s="54"/>
      <c r="K254" s="54"/>
      <c r="L254" s="54"/>
      <c r="M254" s="54"/>
      <c r="N254" s="54"/>
    </row>
    <row r="255" spans="2:14" s="52" customFormat="1" x14ac:dyDescent="0.25">
      <c r="B255" s="53" t="str">
        <f>B67</f>
        <v>Other investing cash flow</v>
      </c>
      <c r="C255" s="53"/>
      <c r="D255" s="53">
        <f>D67</f>
        <v>0</v>
      </c>
      <c r="E255" s="53">
        <f>E67</f>
        <v>0</v>
      </c>
      <c r="F255" s="53">
        <f>F67</f>
        <v>0</v>
      </c>
      <c r="G255" s="53">
        <f>G67</f>
        <v>0</v>
      </c>
      <c r="H255" s="53">
        <f>H67</f>
        <v>0</v>
      </c>
      <c r="I255" s="54"/>
      <c r="J255" s="54"/>
      <c r="K255" s="54"/>
      <c r="L255" s="54"/>
      <c r="M255" s="54"/>
      <c r="N255" s="54"/>
    </row>
    <row r="256" spans="2:14" s="52" customFormat="1" x14ac:dyDescent="0.25">
      <c r="B256" s="53" t="s">
        <v>333</v>
      </c>
      <c r="C256" s="54"/>
      <c r="D256" s="56" t="e">
        <f>D255/D11</f>
        <v>#DIV/0!</v>
      </c>
      <c r="E256" s="56" t="e">
        <f>E255/E11</f>
        <v>#DIV/0!</v>
      </c>
      <c r="F256" s="56" t="e">
        <f>F255/F11</f>
        <v>#DIV/0!</v>
      </c>
      <c r="G256" s="56" t="e">
        <f>G255/G11</f>
        <v>#DIV/0!</v>
      </c>
      <c r="H256" s="56" t="e">
        <f>H255/H11</f>
        <v>#DIV/0!</v>
      </c>
      <c r="I256" s="56"/>
      <c r="J256" s="54"/>
      <c r="K256" s="54"/>
      <c r="L256" s="54"/>
      <c r="M256" s="54"/>
      <c r="N256" s="54"/>
    </row>
    <row r="257" spans="2:14" s="52" customFormat="1" x14ac:dyDescent="0.25">
      <c r="B257" s="53" t="s">
        <v>295</v>
      </c>
      <c r="C257" s="54"/>
      <c r="D257" s="55">
        <v>0.2</v>
      </c>
      <c r="E257" s="55">
        <v>0.2</v>
      </c>
      <c r="F257" s="55">
        <v>0.2</v>
      </c>
      <c r="G257" s="55">
        <v>0.2</v>
      </c>
      <c r="H257" s="55">
        <v>0.2</v>
      </c>
      <c r="I257" s="54"/>
      <c r="J257" s="55">
        <f>SUM(D257:H257)</f>
        <v>1</v>
      </c>
      <c r="K257" s="54"/>
      <c r="L257" s="54"/>
      <c r="M257" s="54"/>
      <c r="N257" s="54"/>
    </row>
    <row r="258" spans="2:14" s="52" customFormat="1" x14ac:dyDescent="0.25">
      <c r="B258" s="53" t="s">
        <v>334</v>
      </c>
      <c r="C258" s="54"/>
      <c r="D258" s="56" t="e">
        <f>D256*D257</f>
        <v>#DIV/0!</v>
      </c>
      <c r="E258" s="56" t="e">
        <f>E256*E257</f>
        <v>#DIV/0!</v>
      </c>
      <c r="F258" s="56" t="e">
        <f>F256*F257</f>
        <v>#DIV/0!</v>
      </c>
      <c r="G258" s="56" t="e">
        <f>G256*G257</f>
        <v>#DIV/0!</v>
      </c>
      <c r="H258" s="56" t="e">
        <f>H256*H257</f>
        <v>#DIV/0!</v>
      </c>
      <c r="I258" s="54"/>
      <c r="J258" s="54"/>
      <c r="K258" s="54"/>
      <c r="L258" s="54"/>
      <c r="M258" s="54"/>
      <c r="N258" s="54"/>
    </row>
    <row r="259" spans="2:14" s="52" customFormat="1" x14ac:dyDescent="0.25">
      <c r="B259" s="53" t="s">
        <v>328</v>
      </c>
      <c r="C259" s="54"/>
      <c r="D259" s="54"/>
      <c r="E259" s="54"/>
      <c r="F259" s="54"/>
      <c r="G259" s="54"/>
      <c r="H259" s="54"/>
      <c r="I259" s="56" t="e">
        <f>SUM(D258:H258)</f>
        <v>#DIV/0!</v>
      </c>
      <c r="J259" s="54"/>
      <c r="K259" s="54"/>
      <c r="L259" s="54"/>
      <c r="M259" s="54"/>
      <c r="N259" s="54"/>
    </row>
    <row r="260" spans="2:14" s="52" customFormat="1" x14ac:dyDescent="0.25">
      <c r="B260" s="53" t="s">
        <v>335</v>
      </c>
      <c r="C260" s="54"/>
      <c r="D260" s="54"/>
      <c r="E260" s="54"/>
      <c r="F260" s="54"/>
      <c r="G260" s="54"/>
      <c r="H260" s="54"/>
      <c r="I260" s="54" t="e">
        <f t="shared" ref="I260:N260" si="139">$I259*I11</f>
        <v>#DIV/0!</v>
      </c>
      <c r="J260" s="54" t="e">
        <f t="shared" si="139"/>
        <v>#DIV/0!</v>
      </c>
      <c r="K260" s="54" t="e">
        <f t="shared" si="139"/>
        <v>#DIV/0!</v>
      </c>
      <c r="L260" s="54" t="e">
        <f t="shared" si="139"/>
        <v>#DIV/0!</v>
      </c>
      <c r="M260" s="54" t="e">
        <f t="shared" si="139"/>
        <v>#DIV/0!</v>
      </c>
      <c r="N260" s="54" t="e">
        <f t="shared" si="139"/>
        <v>#DIV/0!</v>
      </c>
    </row>
    <row r="261" spans="2:14" s="52" customFormat="1" x14ac:dyDescent="0.25">
      <c r="B261" s="53"/>
      <c r="C261" s="54"/>
      <c r="D261" s="54"/>
      <c r="E261" s="54"/>
      <c r="F261" s="54"/>
      <c r="G261" s="54"/>
      <c r="H261" s="54"/>
      <c r="I261" s="54"/>
      <c r="J261" s="54"/>
      <c r="K261" s="54"/>
      <c r="L261" s="54"/>
      <c r="M261" s="54"/>
      <c r="N261" s="54"/>
    </row>
    <row r="262" spans="2:14" s="52" customFormat="1" x14ac:dyDescent="0.25">
      <c r="B262" s="53"/>
      <c r="C262" s="54"/>
      <c r="D262" s="54"/>
      <c r="E262" s="54"/>
      <c r="F262" s="54"/>
      <c r="G262" s="54"/>
      <c r="H262" s="54"/>
      <c r="I262" s="54"/>
      <c r="J262" s="54"/>
      <c r="K262" s="54"/>
      <c r="L262" s="54"/>
      <c r="M262" s="54"/>
      <c r="N262" s="54"/>
    </row>
    <row r="263" spans="2:14" s="52" customFormat="1" x14ac:dyDescent="0.25">
      <c r="B263" s="53" t="s">
        <v>313</v>
      </c>
      <c r="C263" s="54"/>
      <c r="D263" s="54"/>
      <c r="E263" s="54"/>
      <c r="F263" s="54"/>
      <c r="G263" s="54"/>
      <c r="H263" s="54"/>
      <c r="I263" s="54" t="e">
        <f t="shared" ref="I263:N263" si="140">I87</f>
        <v>#DIV/0!</v>
      </c>
      <c r="J263" s="54" t="e">
        <f t="shared" si="140"/>
        <v>#DIV/0!</v>
      </c>
      <c r="K263" s="54" t="e">
        <f t="shared" si="140"/>
        <v>#DIV/0!</v>
      </c>
      <c r="L263" s="54" t="e">
        <f t="shared" si="140"/>
        <v>#DIV/0!</v>
      </c>
      <c r="M263" s="54" t="e">
        <f t="shared" si="140"/>
        <v>#DIV/0!</v>
      </c>
      <c r="N263" s="54" t="e">
        <f t="shared" si="140"/>
        <v>#DIV/0!</v>
      </c>
    </row>
    <row r="264" spans="2:14" s="52" customFormat="1" x14ac:dyDescent="0.25">
      <c r="B264" s="53"/>
      <c r="C264" s="54"/>
      <c r="D264" s="54"/>
      <c r="E264" s="54"/>
      <c r="F264" s="54"/>
      <c r="G264" s="54"/>
      <c r="H264" s="54"/>
      <c r="I264" s="54"/>
      <c r="J264" s="54"/>
      <c r="K264" s="54"/>
      <c r="L264" s="54"/>
      <c r="M264" s="54"/>
      <c r="N264" s="54"/>
    </row>
    <row r="265" spans="2:14" s="52" customFormat="1" x14ac:dyDescent="0.25">
      <c r="B265" s="53" t="str">
        <f>B72</f>
        <v>Net equity issued (repurchased)</v>
      </c>
      <c r="C265" s="53"/>
      <c r="D265" s="53">
        <f>D72</f>
        <v>0</v>
      </c>
      <c r="E265" s="53">
        <f>E72</f>
        <v>0</v>
      </c>
      <c r="F265" s="53">
        <f>F72</f>
        <v>0</v>
      </c>
      <c r="G265" s="53">
        <f>G72</f>
        <v>0</v>
      </c>
      <c r="H265" s="53">
        <f>H72</f>
        <v>0</v>
      </c>
      <c r="I265" s="54"/>
      <c r="J265" s="54"/>
      <c r="K265" s="54"/>
      <c r="L265" s="54"/>
      <c r="M265" s="54"/>
      <c r="N265" s="54"/>
    </row>
    <row r="266" spans="2:14" s="52" customFormat="1" x14ac:dyDescent="0.25">
      <c r="B266" s="52" t="s">
        <v>336</v>
      </c>
      <c r="C266" s="54"/>
      <c r="D266" s="61" t="e">
        <f>D265/D23</f>
        <v>#DIV/0!</v>
      </c>
      <c r="E266" s="61" t="e">
        <f>E265/E23</f>
        <v>#DIV/0!</v>
      </c>
      <c r="F266" s="61" t="e">
        <f>F265/F23</f>
        <v>#DIV/0!</v>
      </c>
      <c r="G266" s="61" t="e">
        <f>G265/G23</f>
        <v>#DIV/0!</v>
      </c>
      <c r="H266" s="61" t="e">
        <f>H265/H23</f>
        <v>#DIV/0!</v>
      </c>
      <c r="K266" s="54"/>
      <c r="L266" s="54"/>
      <c r="M266" s="54"/>
      <c r="N266" s="54"/>
    </row>
    <row r="267" spans="2:14" s="52" customFormat="1" x14ac:dyDescent="0.25">
      <c r="B267" s="53" t="s">
        <v>295</v>
      </c>
      <c r="C267" s="54"/>
      <c r="D267" s="55">
        <v>0.2</v>
      </c>
      <c r="E267" s="55">
        <v>0.2</v>
      </c>
      <c r="F267" s="55">
        <v>0.2</v>
      </c>
      <c r="G267" s="55">
        <v>0.2</v>
      </c>
      <c r="H267" s="55">
        <v>0.2</v>
      </c>
      <c r="I267" s="54"/>
      <c r="J267" s="55">
        <f>SUM(D267:H267)</f>
        <v>1</v>
      </c>
      <c r="K267" s="54"/>
      <c r="L267" s="54"/>
      <c r="M267" s="54"/>
      <c r="N267" s="54"/>
    </row>
    <row r="268" spans="2:14" s="52" customFormat="1" x14ac:dyDescent="0.25">
      <c r="B268" s="53" t="s">
        <v>337</v>
      </c>
      <c r="C268" s="54"/>
      <c r="D268" s="56" t="e">
        <f>D266*D267</f>
        <v>#DIV/0!</v>
      </c>
      <c r="E268" s="56" t="e">
        <f>E266*E267</f>
        <v>#DIV/0!</v>
      </c>
      <c r="F268" s="56" t="e">
        <f>F266*F267</f>
        <v>#DIV/0!</v>
      </c>
      <c r="G268" s="56" t="e">
        <f>G266*G267</f>
        <v>#DIV/0!</v>
      </c>
      <c r="H268" s="56" t="e">
        <f>H266*H267</f>
        <v>#DIV/0!</v>
      </c>
      <c r="I268" s="54"/>
      <c r="J268" s="54"/>
      <c r="K268" s="54"/>
      <c r="L268" s="54"/>
      <c r="M268" s="54"/>
      <c r="N268" s="54"/>
    </row>
    <row r="269" spans="2:14" s="52" customFormat="1" x14ac:dyDescent="0.25">
      <c r="B269" s="52" t="s">
        <v>338</v>
      </c>
      <c r="C269" s="54"/>
      <c r="D269" s="54"/>
      <c r="E269" s="54"/>
      <c r="F269" s="54"/>
      <c r="G269" s="56" t="e">
        <f>SUM(D268:H268)</f>
        <v>#DIV/0!</v>
      </c>
      <c r="H269" s="56"/>
      <c r="I269" s="61" t="e">
        <f>G269</f>
        <v>#DIV/0!</v>
      </c>
      <c r="J269" s="61" t="e">
        <f>I269</f>
        <v>#DIV/0!</v>
      </c>
      <c r="K269" s="61" t="e">
        <f>J269</f>
        <v>#DIV/0!</v>
      </c>
      <c r="L269" s="61" t="e">
        <f>K269</f>
        <v>#DIV/0!</v>
      </c>
      <c r="M269" s="61" t="e">
        <f>L269</f>
        <v>#DIV/0!</v>
      </c>
      <c r="N269" s="61" t="e">
        <f>M269</f>
        <v>#DIV/0!</v>
      </c>
    </row>
    <row r="270" spans="2:14" s="52" customFormat="1" x14ac:dyDescent="0.25">
      <c r="B270" s="53" t="s">
        <v>339</v>
      </c>
      <c r="C270" s="54"/>
      <c r="D270" s="54"/>
      <c r="E270" s="54"/>
      <c r="F270" s="54"/>
      <c r="G270" s="54"/>
      <c r="H270" s="54"/>
      <c r="I270" s="54" t="e">
        <f t="shared" ref="I270:N270" si="141">I269*I23</f>
        <v>#DIV/0!</v>
      </c>
      <c r="J270" s="54" t="e">
        <f t="shared" si="141"/>
        <v>#DIV/0!</v>
      </c>
      <c r="K270" s="54" t="e">
        <f t="shared" si="141"/>
        <v>#DIV/0!</v>
      </c>
      <c r="L270" s="54" t="e">
        <f t="shared" si="141"/>
        <v>#DIV/0!</v>
      </c>
      <c r="M270" s="54" t="e">
        <f t="shared" si="141"/>
        <v>#DIV/0!</v>
      </c>
      <c r="N270" s="54" t="e">
        <f t="shared" si="141"/>
        <v>#DIV/0!</v>
      </c>
    </row>
    <row r="271" spans="2:14" s="52" customFormat="1" x14ac:dyDescent="0.25">
      <c r="B271" s="53"/>
      <c r="C271" s="54"/>
      <c r="D271" s="54"/>
      <c r="E271" s="54"/>
      <c r="F271" s="54"/>
      <c r="G271" s="54"/>
      <c r="H271" s="54"/>
      <c r="I271" s="54"/>
      <c r="J271" s="54"/>
      <c r="K271" s="54"/>
      <c r="L271" s="54"/>
      <c r="M271" s="54"/>
      <c r="N271" s="54"/>
    </row>
    <row r="272" spans="2:14" s="52" customFormat="1" x14ac:dyDescent="0.25">
      <c r="B272" s="53" t="str">
        <f>B73</f>
        <v>Dividends</v>
      </c>
      <c r="C272" s="53"/>
      <c r="D272" s="53">
        <f>D73</f>
        <v>0</v>
      </c>
      <c r="E272" s="53">
        <f>E73</f>
        <v>0</v>
      </c>
      <c r="F272" s="53">
        <f>F73</f>
        <v>0</v>
      </c>
      <c r="G272" s="53">
        <f>G73</f>
        <v>0</v>
      </c>
      <c r="H272" s="53">
        <f>H73</f>
        <v>0</v>
      </c>
      <c r="I272" s="54"/>
      <c r="J272" s="54"/>
      <c r="K272" s="54"/>
      <c r="L272" s="54"/>
      <c r="M272" s="54"/>
      <c r="N272" s="54"/>
    </row>
    <row r="273" spans="2:29" s="52" customFormat="1" x14ac:dyDescent="0.25">
      <c r="B273" s="53" t="s">
        <v>340</v>
      </c>
      <c r="C273" s="54"/>
      <c r="D273" s="56" t="e">
        <f>D272/D23</f>
        <v>#DIV/0!</v>
      </c>
      <c r="E273" s="56" t="e">
        <f>E272/E23</f>
        <v>#DIV/0!</v>
      </c>
      <c r="F273" s="56" t="e">
        <f>F272/F23</f>
        <v>#DIV/0!</v>
      </c>
      <c r="G273" s="56" t="e">
        <f>G272/G23</f>
        <v>#DIV/0!</v>
      </c>
      <c r="H273" s="56" t="e">
        <f>H272/H23</f>
        <v>#DIV/0!</v>
      </c>
      <c r="I273" s="53"/>
      <c r="J273" s="53"/>
      <c r="K273" s="53">
        <f>0.32*4 * H54</f>
        <v>0</v>
      </c>
      <c r="L273" s="53" t="s">
        <v>763</v>
      </c>
      <c r="M273" s="53"/>
      <c r="N273" s="53"/>
    </row>
    <row r="274" spans="2:29" s="52" customFormat="1" x14ac:dyDescent="0.25">
      <c r="B274" s="52" t="s">
        <v>341</v>
      </c>
      <c r="C274" s="54"/>
      <c r="D274" s="55"/>
      <c r="E274" s="55" t="e">
        <f>AVERAGE(D273:H273)</f>
        <v>#DIV/0!</v>
      </c>
      <c r="F274" s="64"/>
      <c r="G274" s="55"/>
      <c r="H274" s="55"/>
      <c r="J274" s="54"/>
      <c r="K274" s="54"/>
      <c r="L274" s="54"/>
      <c r="M274" s="54"/>
      <c r="N274" s="55" t="s">
        <v>759</v>
      </c>
    </row>
    <row r="275" spans="2:29" s="52" customFormat="1" x14ac:dyDescent="0.25">
      <c r="B275" s="52" t="s">
        <v>393</v>
      </c>
      <c r="D275" s="84"/>
      <c r="E275" s="64" t="e">
        <f>(E272-D272)/D272</f>
        <v>#DIV/0!</v>
      </c>
      <c r="F275" s="64" t="e">
        <f>(F272-E272)/E272</f>
        <v>#DIV/0!</v>
      </c>
      <c r="G275" s="64" t="e">
        <f>(G272-F272)/F272</f>
        <v>#DIV/0!</v>
      </c>
      <c r="H275" s="64" t="e">
        <f>(H272-G272)/G272</f>
        <v>#DIV/0!</v>
      </c>
      <c r="I275" s="55" t="e">
        <f>(I277-H272)/H272</f>
        <v>#DIV/0!</v>
      </c>
      <c r="J275" s="55" t="e">
        <f>(J277-I277)/I277</f>
        <v>#DIV/0!</v>
      </c>
      <c r="K275" s="55" t="e">
        <f t="shared" ref="K275:N275" si="142">(K277-J277)/J277</f>
        <v>#DIV/0!</v>
      </c>
      <c r="L275" s="55" t="e">
        <f t="shared" si="142"/>
        <v>#DIV/0!</v>
      </c>
      <c r="M275" s="55" t="e">
        <f t="shared" si="142"/>
        <v>#DIV/0!</v>
      </c>
      <c r="N275" s="55" t="e">
        <f t="shared" si="142"/>
        <v>#DIV/0!</v>
      </c>
    </row>
    <row r="276" spans="2:29" s="52" customFormat="1" x14ac:dyDescent="0.25">
      <c r="B276" s="53" t="s">
        <v>766</v>
      </c>
      <c r="I276" s="56" t="e">
        <f>$E$274+1.5%</f>
        <v>#DIV/0!</v>
      </c>
      <c r="J276" s="56" t="e">
        <f>$E$274 -4%</f>
        <v>#DIV/0!</v>
      </c>
      <c r="K276" s="56" t="e">
        <f>$E$274 -10%</f>
        <v>#DIV/0!</v>
      </c>
      <c r="L276" s="56" t="e">
        <f>$E$274 -17%</f>
        <v>#DIV/0!</v>
      </c>
      <c r="M276" s="56" t="e">
        <f>$E$274 -25%</f>
        <v>#DIV/0!</v>
      </c>
      <c r="N276" s="56" t="e">
        <f>$E$274 -34%</f>
        <v>#DIV/0!</v>
      </c>
    </row>
    <row r="277" spans="2:29" s="52" customFormat="1" x14ac:dyDescent="0.25">
      <c r="B277" s="52" t="s">
        <v>342</v>
      </c>
      <c r="C277" s="54"/>
      <c r="D277" s="54"/>
      <c r="E277" s="54"/>
      <c r="F277" s="54"/>
      <c r="G277" s="54"/>
      <c r="H277" s="54"/>
      <c r="I277" s="52" t="e">
        <f t="shared" ref="I277:N277" si="143">I276*I23</f>
        <v>#DIV/0!</v>
      </c>
      <c r="J277" s="52" t="e">
        <f t="shared" si="143"/>
        <v>#DIV/0!</v>
      </c>
      <c r="K277" s="52" t="e">
        <f t="shared" si="143"/>
        <v>#DIV/0!</v>
      </c>
      <c r="L277" s="52" t="e">
        <f t="shared" si="143"/>
        <v>#DIV/0!</v>
      </c>
      <c r="M277" s="52" t="e">
        <f t="shared" si="143"/>
        <v>#DIV/0!</v>
      </c>
      <c r="N277" s="52" t="e">
        <f t="shared" si="143"/>
        <v>#DIV/0!</v>
      </c>
    </row>
    <row r="278" spans="2:29" s="52" customFormat="1" x14ac:dyDescent="0.25">
      <c r="B278" s="53" t="s">
        <v>343</v>
      </c>
      <c r="C278" s="54"/>
      <c r="D278" s="54">
        <f>D74</f>
        <v>0</v>
      </c>
      <c r="E278" s="54">
        <f>E74</f>
        <v>0</v>
      </c>
      <c r="F278" s="54">
        <f>F74</f>
        <v>0</v>
      </c>
      <c r="G278" s="54">
        <f>G74</f>
        <v>0</v>
      </c>
      <c r="H278" s="54">
        <f>H74</f>
        <v>0</v>
      </c>
      <c r="I278" s="54"/>
      <c r="J278" s="54"/>
      <c r="K278" s="54"/>
      <c r="L278" s="54"/>
      <c r="M278" s="54"/>
      <c r="N278" s="54"/>
    </row>
    <row r="279" spans="2:29" s="52" customFormat="1" x14ac:dyDescent="0.25">
      <c r="B279" s="53" t="s">
        <v>344</v>
      </c>
      <c r="C279" s="54"/>
      <c r="D279" s="56" t="e">
        <f>D278/D11</f>
        <v>#DIV/0!</v>
      </c>
      <c r="E279" s="56" t="e">
        <f>E278/E11</f>
        <v>#DIV/0!</v>
      </c>
      <c r="F279" s="56" t="e">
        <f>F278/F11</f>
        <v>#DIV/0!</v>
      </c>
      <c r="G279" s="56" t="e">
        <f>G278/G11</f>
        <v>#DIV/0!</v>
      </c>
      <c r="H279" s="56" t="e">
        <f>H278/H11</f>
        <v>#DIV/0!</v>
      </c>
      <c r="I279" s="54"/>
      <c r="J279" s="54"/>
      <c r="K279" s="54"/>
      <c r="L279" s="54"/>
      <c r="M279" s="54"/>
      <c r="N279" s="54"/>
    </row>
    <row r="280" spans="2:29" s="52" customFormat="1" x14ac:dyDescent="0.25">
      <c r="B280" s="53"/>
      <c r="C280" s="54"/>
      <c r="D280" s="54"/>
      <c r="E280" s="54"/>
      <c r="F280" s="54"/>
      <c r="G280" s="54"/>
      <c r="H280" s="54"/>
      <c r="I280" s="56" t="e">
        <f>AVERAGE(D279:H279)</f>
        <v>#DIV/0!</v>
      </c>
      <c r="J280" s="54"/>
      <c r="K280" s="54"/>
      <c r="L280" s="54"/>
      <c r="M280" s="54"/>
      <c r="N280" s="54"/>
    </row>
    <row r="281" spans="2:29" s="52" customFormat="1" x14ac:dyDescent="0.25">
      <c r="B281" s="53" t="s">
        <v>345</v>
      </c>
      <c r="C281" s="54"/>
      <c r="D281" s="54"/>
      <c r="E281" s="54"/>
      <c r="F281" s="54"/>
      <c r="G281" s="54"/>
      <c r="H281" s="54"/>
      <c r="I281" s="54" t="e">
        <f t="shared" ref="I281:N281" si="144">$I280*I11</f>
        <v>#DIV/0!</v>
      </c>
      <c r="J281" s="54" t="e">
        <f t="shared" si="144"/>
        <v>#DIV/0!</v>
      </c>
      <c r="K281" s="54" t="e">
        <f t="shared" si="144"/>
        <v>#DIV/0!</v>
      </c>
      <c r="L281" s="54" t="e">
        <f t="shared" si="144"/>
        <v>#DIV/0!</v>
      </c>
      <c r="M281" s="54" t="e">
        <f t="shared" si="144"/>
        <v>#DIV/0!</v>
      </c>
      <c r="N281" s="54" t="e">
        <f t="shared" si="144"/>
        <v>#DIV/0!</v>
      </c>
    </row>
    <row r="282" spans="2:29" s="52" customFormat="1" x14ac:dyDescent="0.25">
      <c r="B282" s="53"/>
      <c r="C282" s="54"/>
      <c r="D282" s="54"/>
      <c r="E282" s="54"/>
      <c r="F282" s="54"/>
      <c r="G282" s="54"/>
      <c r="H282" s="54"/>
      <c r="I282" s="54"/>
      <c r="J282" s="54"/>
      <c r="K282" s="54"/>
      <c r="L282" s="54"/>
      <c r="M282" s="54"/>
      <c r="N282" s="54"/>
    </row>
    <row r="283" spans="2:29" s="52" customFormat="1" x14ac:dyDescent="0.25">
      <c r="B283" s="85"/>
      <c r="C283" s="86"/>
      <c r="D283" s="86"/>
      <c r="E283" s="86"/>
      <c r="F283" s="86"/>
      <c r="G283" s="86"/>
      <c r="H283" s="86"/>
      <c r="I283" s="86"/>
      <c r="J283" s="86"/>
      <c r="K283" s="86"/>
      <c r="L283" s="86"/>
      <c r="M283" s="86"/>
      <c r="N283" s="86"/>
      <c r="O283" s="87"/>
      <c r="P283" s="87"/>
      <c r="Q283" s="87"/>
      <c r="R283" s="87"/>
      <c r="S283" s="87"/>
      <c r="T283" s="87"/>
      <c r="U283" s="87"/>
      <c r="V283" s="87"/>
      <c r="W283" s="87"/>
      <c r="X283" s="87"/>
      <c r="Y283" s="87"/>
      <c r="Z283" s="87"/>
      <c r="AA283" s="87"/>
      <c r="AB283" s="87"/>
      <c r="AC283" s="87"/>
    </row>
    <row r="284" spans="2:29" s="52" customFormat="1" x14ac:dyDescent="0.25">
      <c r="B284" s="53" t="s">
        <v>313</v>
      </c>
      <c r="C284" s="54"/>
      <c r="D284" s="54"/>
      <c r="E284" s="54"/>
      <c r="F284" s="54"/>
      <c r="G284" s="54"/>
      <c r="H284" s="54"/>
      <c r="I284" s="54"/>
      <c r="J284" s="54"/>
      <c r="K284" s="54"/>
      <c r="L284" s="54"/>
      <c r="M284" s="54"/>
      <c r="N284" s="54"/>
    </row>
    <row r="285" spans="2:29" s="52" customFormat="1" x14ac:dyDescent="0.25">
      <c r="B285" s="53" t="s">
        <v>346</v>
      </c>
      <c r="C285" s="54"/>
      <c r="D285" s="54">
        <f t="shared" ref="D285:N285" si="145">D48+D51</f>
        <v>0</v>
      </c>
      <c r="E285" s="54">
        <f t="shared" si="145"/>
        <v>0</v>
      </c>
      <c r="F285" s="54">
        <f t="shared" si="145"/>
        <v>0</v>
      </c>
      <c r="G285" s="54">
        <f t="shared" si="145"/>
        <v>0</v>
      </c>
      <c r="H285" s="54">
        <f t="shared" si="145"/>
        <v>0</v>
      </c>
      <c r="I285" s="54" t="e">
        <f t="shared" si="145"/>
        <v>#DIV/0!</v>
      </c>
      <c r="J285" s="54" t="e">
        <f t="shared" si="145"/>
        <v>#DIV/0!</v>
      </c>
      <c r="K285" s="54" t="e">
        <f t="shared" si="145"/>
        <v>#DIV/0!</v>
      </c>
      <c r="L285" s="54" t="e">
        <f t="shared" si="145"/>
        <v>#DIV/0!</v>
      </c>
      <c r="M285" s="54" t="e">
        <f t="shared" si="145"/>
        <v>#DIV/0!</v>
      </c>
      <c r="N285" s="54" t="e">
        <f t="shared" si="145"/>
        <v>#DIV/0!</v>
      </c>
    </row>
    <row r="286" spans="2:29" s="52" customFormat="1" x14ac:dyDescent="0.25">
      <c r="B286" s="53" t="s">
        <v>347</v>
      </c>
      <c r="C286" s="54"/>
      <c r="D286" s="54">
        <f t="shared" ref="D286:N286" si="146">SUM(D29:D32,D34:D35)</f>
        <v>0</v>
      </c>
      <c r="E286" s="54">
        <f t="shared" si="146"/>
        <v>0</v>
      </c>
      <c r="F286" s="54">
        <f t="shared" si="146"/>
        <v>0</v>
      </c>
      <c r="G286" s="54">
        <f t="shared" si="146"/>
        <v>0</v>
      </c>
      <c r="H286" s="54">
        <f t="shared" si="146"/>
        <v>0</v>
      </c>
      <c r="I286" s="54" t="e">
        <f t="shared" si="146"/>
        <v>#DIV/0!</v>
      </c>
      <c r="J286" s="54" t="e">
        <f t="shared" si="146"/>
        <v>#DIV/0!</v>
      </c>
      <c r="K286" s="54" t="e">
        <f t="shared" si="146"/>
        <v>#DIV/0!</v>
      </c>
      <c r="L286" s="54" t="e">
        <f t="shared" si="146"/>
        <v>#DIV/0!</v>
      </c>
      <c r="M286" s="54" t="e">
        <f t="shared" si="146"/>
        <v>#DIV/0!</v>
      </c>
      <c r="N286" s="54" t="e">
        <f t="shared" si="146"/>
        <v>#DIV/0!</v>
      </c>
    </row>
    <row r="287" spans="2:29" s="52" customFormat="1" x14ac:dyDescent="0.25">
      <c r="B287" s="52" t="s">
        <v>348</v>
      </c>
      <c r="C287" s="54"/>
      <c r="D287" s="54">
        <f t="shared" ref="D287:N287" si="147">D285-D286</f>
        <v>0</v>
      </c>
      <c r="E287" s="54">
        <f t="shared" si="147"/>
        <v>0</v>
      </c>
      <c r="F287" s="54">
        <f t="shared" si="147"/>
        <v>0</v>
      </c>
      <c r="G287" s="54">
        <f t="shared" si="147"/>
        <v>0</v>
      </c>
      <c r="H287" s="54">
        <f t="shared" si="147"/>
        <v>0</v>
      </c>
      <c r="I287" s="54" t="e">
        <f t="shared" si="147"/>
        <v>#DIV/0!</v>
      </c>
      <c r="J287" s="54" t="e">
        <f t="shared" si="147"/>
        <v>#DIV/0!</v>
      </c>
      <c r="K287" s="54" t="e">
        <f t="shared" si="147"/>
        <v>#DIV/0!</v>
      </c>
      <c r="L287" s="54" t="e">
        <f t="shared" si="147"/>
        <v>#DIV/0!</v>
      </c>
      <c r="M287" s="54" t="e">
        <f t="shared" si="147"/>
        <v>#DIV/0!</v>
      </c>
      <c r="N287" s="54" t="e">
        <f t="shared" si="147"/>
        <v>#DIV/0!</v>
      </c>
    </row>
    <row r="288" spans="2:29" s="52" customFormat="1" x14ac:dyDescent="0.25"/>
    <row r="289" spans="2:24" s="52" customFormat="1" x14ac:dyDescent="0.25"/>
    <row r="290" spans="2:24" s="52" customFormat="1" x14ac:dyDescent="0.25">
      <c r="B290" s="53" t="s">
        <v>313</v>
      </c>
      <c r="C290" s="54"/>
      <c r="D290" s="54">
        <f t="shared" ref="D290:N290" si="148">D287</f>
        <v>0</v>
      </c>
      <c r="E290" s="54">
        <f t="shared" si="148"/>
        <v>0</v>
      </c>
      <c r="F290" s="54">
        <f t="shared" si="148"/>
        <v>0</v>
      </c>
      <c r="G290" s="54">
        <f t="shared" si="148"/>
        <v>0</v>
      </c>
      <c r="H290" s="54">
        <f t="shared" si="148"/>
        <v>0</v>
      </c>
      <c r="I290" s="54" t="e">
        <f t="shared" si="148"/>
        <v>#DIV/0!</v>
      </c>
      <c r="J290" s="54" t="e">
        <f t="shared" si="148"/>
        <v>#DIV/0!</v>
      </c>
      <c r="K290" s="54" t="e">
        <f t="shared" si="148"/>
        <v>#DIV/0!</v>
      </c>
      <c r="L290" s="54" t="e">
        <f t="shared" si="148"/>
        <v>#DIV/0!</v>
      </c>
      <c r="M290" s="54" t="e">
        <f t="shared" si="148"/>
        <v>#DIV/0!</v>
      </c>
      <c r="N290" s="54" t="e">
        <f t="shared" si="148"/>
        <v>#DIV/0!</v>
      </c>
    </row>
    <row r="291" spans="2:24" s="52" customFormat="1" x14ac:dyDescent="0.25">
      <c r="B291" s="53"/>
      <c r="C291" s="54"/>
      <c r="D291" s="54"/>
      <c r="E291" s="54"/>
      <c r="F291" s="54"/>
      <c r="G291" s="54"/>
      <c r="H291" s="54"/>
      <c r="I291" s="54"/>
      <c r="J291" s="54"/>
      <c r="K291" s="54"/>
      <c r="L291" s="54"/>
      <c r="M291" s="54"/>
      <c r="N291" s="54"/>
    </row>
    <row r="292" spans="2:24" s="52" customFormat="1" x14ac:dyDescent="0.25">
      <c r="B292" s="53"/>
      <c r="C292" s="54"/>
      <c r="D292" s="54"/>
      <c r="E292" s="54"/>
      <c r="F292" s="54"/>
      <c r="G292" s="54"/>
      <c r="H292" s="54"/>
      <c r="I292" s="54"/>
      <c r="J292" s="54"/>
      <c r="K292" s="54"/>
      <c r="L292" s="54"/>
      <c r="M292" s="54"/>
      <c r="N292" s="54"/>
    </row>
    <row r="293" spans="2:24" s="52" customFormat="1" x14ac:dyDescent="0.25">
      <c r="B293" s="53"/>
      <c r="C293" s="54"/>
      <c r="D293" s="6"/>
      <c r="E293" s="6"/>
      <c r="F293" s="6"/>
      <c r="G293" s="6"/>
      <c r="H293" s="6"/>
      <c r="I293" s="6"/>
      <c r="J293" s="6"/>
      <c r="K293" s="6"/>
      <c r="L293" s="6"/>
      <c r="M293" s="54"/>
      <c r="N293" s="54"/>
    </row>
    <row r="294" spans="2:24" x14ac:dyDescent="0.25">
      <c r="B294" s="53"/>
    </row>
    <row r="295" spans="2:24" x14ac:dyDescent="0.25">
      <c r="B295" s="88"/>
      <c r="T295" s="88"/>
      <c r="U295" s="6"/>
      <c r="V295" s="6"/>
      <c r="W295" s="6"/>
      <c r="X295" s="6"/>
    </row>
    <row r="296" spans="2:24" x14ac:dyDescent="0.25">
      <c r="B296" s="88"/>
      <c r="T296" s="88"/>
      <c r="U296" s="6"/>
      <c r="V296" s="6"/>
      <c r="W296" s="6"/>
      <c r="X296" s="6"/>
    </row>
    <row r="297" spans="2:24" x14ac:dyDescent="0.25">
      <c r="B297" s="88" t="s">
        <v>349</v>
      </c>
      <c r="E297" s="6">
        <f>E51</f>
        <v>0</v>
      </c>
      <c r="F297" s="6">
        <f>F51</f>
        <v>0</v>
      </c>
      <c r="G297" s="6">
        <f>G51</f>
        <v>0</v>
      </c>
      <c r="H297" s="6">
        <f>H51</f>
        <v>0</v>
      </c>
      <c r="T297" s="88"/>
      <c r="U297" s="6"/>
      <c r="V297" s="6"/>
      <c r="W297" s="6"/>
      <c r="X297" s="6"/>
    </row>
    <row r="298" spans="2:24" x14ac:dyDescent="0.25">
      <c r="B298" s="88" t="s">
        <v>350</v>
      </c>
      <c r="E298" s="6">
        <f>D51</f>
        <v>0</v>
      </c>
      <c r="F298" s="6">
        <f>E51</f>
        <v>0</v>
      </c>
      <c r="G298" s="6">
        <f>F51</f>
        <v>0</v>
      </c>
      <c r="H298" s="6">
        <f>G51</f>
        <v>0</v>
      </c>
      <c r="T298" s="88"/>
      <c r="U298" s="6"/>
      <c r="V298" s="6"/>
      <c r="W298" s="6"/>
      <c r="X298" s="6"/>
    </row>
    <row r="299" spans="2:24" x14ac:dyDescent="0.25">
      <c r="B299" s="88" t="s">
        <v>351</v>
      </c>
      <c r="D299" s="89"/>
      <c r="E299" s="89">
        <f>E23</f>
        <v>0</v>
      </c>
      <c r="F299" s="89">
        <f>F23</f>
        <v>0</v>
      </c>
      <c r="G299" s="89">
        <f>G23</f>
        <v>0</v>
      </c>
      <c r="H299" s="89">
        <f>H23</f>
        <v>0</v>
      </c>
      <c r="I299" s="89"/>
      <c r="J299" s="89"/>
      <c r="K299" s="89"/>
      <c r="L299" s="89"/>
      <c r="M299" s="89"/>
      <c r="N299" s="89"/>
      <c r="T299" s="88"/>
      <c r="U299" s="6"/>
      <c r="V299" s="6"/>
      <c r="W299" s="6"/>
      <c r="X299" s="6"/>
    </row>
    <row r="300" spans="2:24" x14ac:dyDescent="0.25">
      <c r="B300" s="88" t="s">
        <v>352</v>
      </c>
      <c r="E300" s="6">
        <f>E73</f>
        <v>0</v>
      </c>
      <c r="F300" s="6">
        <f>F73</f>
        <v>0</v>
      </c>
      <c r="G300" s="6">
        <f>G73</f>
        <v>0</v>
      </c>
      <c r="H300" s="6">
        <f>H73</f>
        <v>0</v>
      </c>
      <c r="T300" s="88"/>
      <c r="U300" s="6"/>
      <c r="V300" s="6"/>
      <c r="W300" s="6"/>
      <c r="X300" s="6"/>
    </row>
    <row r="301" spans="2:24" x14ac:dyDescent="0.25">
      <c r="B301" s="88" t="s">
        <v>353</v>
      </c>
      <c r="E301" s="6">
        <f>E72</f>
        <v>0</v>
      </c>
      <c r="F301" s="6">
        <f>F72</f>
        <v>0</v>
      </c>
      <c r="G301" s="6">
        <f>G72</f>
        <v>0</v>
      </c>
      <c r="H301" s="6">
        <f>H72</f>
        <v>0</v>
      </c>
      <c r="T301" s="88"/>
      <c r="U301" s="6"/>
      <c r="V301" s="6"/>
      <c r="W301" s="6"/>
      <c r="X301" s="56"/>
    </row>
    <row r="302" spans="2:24" x14ac:dyDescent="0.25">
      <c r="B302" s="88"/>
    </row>
    <row r="303" spans="2:24" x14ac:dyDescent="0.25">
      <c r="B303" s="88" t="s">
        <v>354</v>
      </c>
      <c r="E303" s="6">
        <f>E297-SUM(E298:E301)</f>
        <v>0</v>
      </c>
      <c r="F303" s="6">
        <f>F297-SUM(F298:F301)</f>
        <v>0</v>
      </c>
      <c r="G303" s="6">
        <f>G297-SUM(G298:G301)</f>
        <v>0</v>
      </c>
      <c r="H303" s="6">
        <f>H297-SUM(H298:H301)</f>
        <v>0</v>
      </c>
    </row>
    <row r="304" spans="2:24" x14ac:dyDescent="0.25">
      <c r="B304" s="88" t="s">
        <v>355</v>
      </c>
      <c r="E304" s="56" t="e">
        <f>E303/E11</f>
        <v>#DIV/0!</v>
      </c>
      <c r="F304" s="56" t="e">
        <f>F303/F11</f>
        <v>#DIV/0!</v>
      </c>
      <c r="G304" s="56" t="e">
        <f>G303/G11</f>
        <v>#DIV/0!</v>
      </c>
      <c r="H304" s="56" t="e">
        <f>H303/H11</f>
        <v>#DIV/0!</v>
      </c>
    </row>
    <row r="305" spans="2:29" x14ac:dyDescent="0.25">
      <c r="B305" s="88" t="s">
        <v>356</v>
      </c>
      <c r="I305" s="90" t="e">
        <f>AVERAGE(E304:H304)</f>
        <v>#DIV/0!</v>
      </c>
      <c r="J305" s="90" t="e">
        <f>I305</f>
        <v>#DIV/0!</v>
      </c>
      <c r="K305" s="90" t="e">
        <f>J305</f>
        <v>#DIV/0!</v>
      </c>
      <c r="L305" s="90" t="e">
        <f>K305</f>
        <v>#DIV/0!</v>
      </c>
      <c r="M305" s="90" t="e">
        <f>L305</f>
        <v>#DIV/0!</v>
      </c>
      <c r="N305" s="90" t="e">
        <f>M305</f>
        <v>#DIV/0!</v>
      </c>
    </row>
    <row r="306" spans="2:29" x14ac:dyDescent="0.25">
      <c r="B306" s="88" t="s">
        <v>357</v>
      </c>
      <c r="I306" s="91" t="e">
        <f t="shared" ref="I306:N306" si="149">I305*I11</f>
        <v>#DIV/0!</v>
      </c>
      <c r="J306" s="91" t="e">
        <f t="shared" si="149"/>
        <v>#DIV/0!</v>
      </c>
      <c r="K306" s="91" t="e">
        <f t="shared" si="149"/>
        <v>#DIV/0!</v>
      </c>
      <c r="L306" s="91" t="e">
        <f t="shared" si="149"/>
        <v>#DIV/0!</v>
      </c>
      <c r="M306" s="91" t="e">
        <f t="shared" si="149"/>
        <v>#DIV/0!</v>
      </c>
      <c r="N306" s="91" t="e">
        <f t="shared" si="149"/>
        <v>#DIV/0!</v>
      </c>
    </row>
    <row r="308" spans="2:29" x14ac:dyDescent="0.25">
      <c r="B308" s="92"/>
      <c r="C308" s="93"/>
      <c r="D308" s="93"/>
      <c r="E308" s="93"/>
      <c r="F308" s="93"/>
      <c r="G308" s="93"/>
      <c r="H308" s="93"/>
      <c r="I308" s="93"/>
      <c r="J308" s="93"/>
      <c r="K308" s="93"/>
      <c r="L308" s="93"/>
      <c r="M308" s="93"/>
      <c r="N308" s="93"/>
      <c r="O308" s="94"/>
      <c r="P308" s="94"/>
      <c r="Q308" s="94"/>
      <c r="R308" s="94"/>
      <c r="S308" s="94"/>
      <c r="T308" s="94"/>
      <c r="U308" s="94"/>
      <c r="V308" s="94"/>
      <c r="W308" s="94"/>
      <c r="X308" s="94"/>
      <c r="Y308" s="94"/>
      <c r="Z308" s="94"/>
      <c r="AA308" s="94"/>
      <c r="AB308" s="94"/>
      <c r="AC308" s="94"/>
    </row>
    <row r="309" spans="2:29" x14ac:dyDescent="0.25">
      <c r="B309" s="88"/>
      <c r="E309" s="91"/>
    </row>
    <row r="310" spans="2:29" x14ac:dyDescent="0.25">
      <c r="B310" s="88"/>
    </row>
    <row r="311" spans="2:29" x14ac:dyDescent="0.25">
      <c r="B311" s="88" t="s">
        <v>358</v>
      </c>
      <c r="I311" s="91">
        <f t="shared" ref="I311:N311" si="150">H51</f>
        <v>0</v>
      </c>
      <c r="J311" s="91" t="e">
        <f t="shared" si="150"/>
        <v>#DIV/0!</v>
      </c>
      <c r="K311" s="91" t="e">
        <f t="shared" si="150"/>
        <v>#DIV/0!</v>
      </c>
      <c r="L311" s="91" t="e">
        <f t="shared" si="150"/>
        <v>#DIV/0!</v>
      </c>
      <c r="M311" s="91" t="e">
        <f t="shared" si="150"/>
        <v>#DIV/0!</v>
      </c>
      <c r="N311" s="91" t="e">
        <f t="shared" si="150"/>
        <v>#DIV/0!</v>
      </c>
    </row>
    <row r="312" spans="2:29" x14ac:dyDescent="0.25">
      <c r="B312" s="88" t="s">
        <v>359</v>
      </c>
      <c r="I312" s="6" t="e">
        <f t="shared" ref="I312:N312" si="151">I23</f>
        <v>#DIV/0!</v>
      </c>
      <c r="J312" s="6" t="e">
        <f t="shared" si="151"/>
        <v>#DIV/0!</v>
      </c>
      <c r="K312" s="6" t="e">
        <f t="shared" si="151"/>
        <v>#DIV/0!</v>
      </c>
      <c r="L312" s="6" t="e">
        <f t="shared" si="151"/>
        <v>#DIV/0!</v>
      </c>
      <c r="M312" s="6" t="e">
        <f t="shared" si="151"/>
        <v>#DIV/0!</v>
      </c>
      <c r="N312" s="6" t="e">
        <f t="shared" si="151"/>
        <v>#DIV/0!</v>
      </c>
    </row>
    <row r="313" spans="2:29" x14ac:dyDescent="0.25">
      <c r="B313" s="88" t="s">
        <v>360</v>
      </c>
      <c r="I313" s="6" t="e">
        <f t="shared" ref="I313:N313" si="152">I73</f>
        <v>#DIV/0!</v>
      </c>
      <c r="J313" s="6" t="e">
        <f t="shared" si="152"/>
        <v>#DIV/0!</v>
      </c>
      <c r="K313" s="6" t="e">
        <f t="shared" si="152"/>
        <v>#DIV/0!</v>
      </c>
      <c r="L313" s="6" t="e">
        <f t="shared" si="152"/>
        <v>#DIV/0!</v>
      </c>
      <c r="M313" s="6" t="e">
        <f t="shared" si="152"/>
        <v>#DIV/0!</v>
      </c>
      <c r="N313" s="6" t="e">
        <f t="shared" si="152"/>
        <v>#DIV/0!</v>
      </c>
    </row>
    <row r="314" spans="2:29" x14ac:dyDescent="0.25">
      <c r="B314" s="88" t="s">
        <v>361</v>
      </c>
      <c r="I314" s="6" t="e">
        <f t="shared" ref="I314:N314" si="153">I72</f>
        <v>#DIV/0!</v>
      </c>
      <c r="J314" s="6" t="e">
        <f t="shared" si="153"/>
        <v>#DIV/0!</v>
      </c>
      <c r="K314" s="6" t="e">
        <f t="shared" si="153"/>
        <v>#DIV/0!</v>
      </c>
      <c r="L314" s="6" t="e">
        <f t="shared" si="153"/>
        <v>#DIV/0!</v>
      </c>
      <c r="M314" s="6" t="e">
        <f t="shared" si="153"/>
        <v>#DIV/0!</v>
      </c>
      <c r="N314" s="6" t="e">
        <f t="shared" si="153"/>
        <v>#DIV/0!</v>
      </c>
    </row>
    <row r="315" spans="2:29" x14ac:dyDescent="0.25">
      <c r="B315" s="88" t="s">
        <v>362</v>
      </c>
      <c r="I315" s="6" t="e">
        <f t="shared" ref="I315:N315" si="154">I306</f>
        <v>#DIV/0!</v>
      </c>
      <c r="J315" s="6" t="e">
        <f t="shared" si="154"/>
        <v>#DIV/0!</v>
      </c>
      <c r="K315" s="6" t="e">
        <f t="shared" si="154"/>
        <v>#DIV/0!</v>
      </c>
      <c r="L315" s="6" t="e">
        <f t="shared" si="154"/>
        <v>#DIV/0!</v>
      </c>
      <c r="M315" s="6" t="e">
        <f t="shared" si="154"/>
        <v>#DIV/0!</v>
      </c>
      <c r="N315" s="6" t="e">
        <f t="shared" si="154"/>
        <v>#DIV/0!</v>
      </c>
    </row>
    <row r="316" spans="2:29" x14ac:dyDescent="0.25">
      <c r="B316" s="53" t="s">
        <v>363</v>
      </c>
      <c r="I316" s="6" t="e">
        <f t="shared" ref="I316:N316" si="155">SUM(I311:I315)</f>
        <v>#DIV/0!</v>
      </c>
      <c r="J316" s="6" t="e">
        <f t="shared" si="155"/>
        <v>#DIV/0!</v>
      </c>
      <c r="K316" s="6" t="e">
        <f t="shared" si="155"/>
        <v>#DIV/0!</v>
      </c>
      <c r="L316" s="6" t="e">
        <f t="shared" si="155"/>
        <v>#DIV/0!</v>
      </c>
      <c r="M316" s="6" t="e">
        <f t="shared" si="155"/>
        <v>#DIV/0!</v>
      </c>
      <c r="N316" s="6" t="e">
        <f t="shared" si="155"/>
        <v>#DIV/0!</v>
      </c>
    </row>
    <row r="317" spans="2:29" x14ac:dyDescent="0.25">
      <c r="B317" s="88"/>
    </row>
    <row r="318" spans="2:29" x14ac:dyDescent="0.25">
      <c r="B318" s="88"/>
    </row>
    <row r="319" spans="2:29" x14ac:dyDescent="0.25">
      <c r="B319" s="88"/>
    </row>
    <row r="320" spans="2:29" x14ac:dyDescent="0.25">
      <c r="B320" s="88"/>
      <c r="D320" s="56"/>
      <c r="E320" s="56"/>
      <c r="F320" s="56"/>
      <c r="G320" s="56"/>
      <c r="H320" s="56"/>
      <c r="I320" s="95"/>
      <c r="J320" s="95"/>
      <c r="K320" s="95"/>
      <c r="L320" s="95"/>
      <c r="M320" s="95"/>
    </row>
    <row r="321" spans="2:2" x14ac:dyDescent="0.25">
      <c r="B321" s="88"/>
    </row>
    <row r="323" spans="2:2" x14ac:dyDescent="0.25">
      <c r="B323" s="88"/>
    </row>
    <row r="324" spans="2:2" x14ac:dyDescent="0.25">
      <c r="B324" s="88"/>
    </row>
    <row r="325" spans="2:2" x14ac:dyDescent="0.25">
      <c r="B325" s="88"/>
    </row>
    <row r="326" spans="2:2" x14ac:dyDescent="0.25">
      <c r="B326" s="88"/>
    </row>
    <row r="327" spans="2:2" x14ac:dyDescent="0.25">
      <c r="B327" s="88"/>
    </row>
    <row r="328" spans="2:2" x14ac:dyDescent="0.25">
      <c r="B328" s="53"/>
    </row>
    <row r="331" spans="2:2" x14ac:dyDescent="0.25">
      <c r="B331" s="53"/>
    </row>
    <row r="332" spans="2:2" x14ac:dyDescent="0.25">
      <c r="B332" s="53"/>
    </row>
    <row r="333" spans="2:2" x14ac:dyDescent="0.25">
      <c r="B333" s="53"/>
    </row>
    <row r="337" spans="2:14" x14ac:dyDescent="0.25">
      <c r="E337" s="90"/>
      <c r="F337" s="90"/>
      <c r="G337" s="90"/>
      <c r="H337" s="90"/>
      <c r="I337" s="90"/>
      <c r="J337" s="95"/>
      <c r="K337" s="95"/>
      <c r="L337" s="95"/>
      <c r="M337" s="95"/>
      <c r="N337" s="95"/>
    </row>
    <row r="339" spans="2:14" x14ac:dyDescent="0.25">
      <c r="B339" s="53"/>
    </row>
    <row r="340" spans="2:14" x14ac:dyDescent="0.25">
      <c r="B340" s="88"/>
    </row>
    <row r="341" spans="2:14" x14ac:dyDescent="0.25">
      <c r="B341" s="88"/>
    </row>
    <row r="342" spans="2:14" x14ac:dyDescent="0.25">
      <c r="B342" s="88"/>
    </row>
    <row r="343" spans="2:14" x14ac:dyDescent="0.25">
      <c r="B343" s="88"/>
    </row>
    <row r="344" spans="2:14" x14ac:dyDescent="0.25">
      <c r="B344" s="88"/>
    </row>
    <row r="345" spans="2:14" x14ac:dyDescent="0.25">
      <c r="B345" s="88"/>
    </row>
    <row r="346" spans="2:14" x14ac:dyDescent="0.25">
      <c r="B346" s="88"/>
      <c r="F346" s="56"/>
      <c r="G346" s="56"/>
      <c r="H346" s="56"/>
      <c r="I346" s="56"/>
      <c r="J346" s="95"/>
      <c r="K346" s="95"/>
      <c r="L346" s="95"/>
      <c r="M346" s="95"/>
      <c r="N346" s="95"/>
    </row>
    <row r="347" spans="2:14" x14ac:dyDescent="0.25">
      <c r="B347" s="88"/>
    </row>
    <row r="349" spans="2:14" x14ac:dyDescent="0.25">
      <c r="B349" s="88"/>
    </row>
    <row r="350" spans="2:14" x14ac:dyDescent="0.25">
      <c r="B350" s="88"/>
    </row>
    <row r="351" spans="2:14" x14ac:dyDescent="0.25">
      <c r="B351" s="88"/>
    </row>
    <row r="352" spans="2:14" x14ac:dyDescent="0.25">
      <c r="B352" s="88"/>
    </row>
    <row r="353" spans="2:2" x14ac:dyDescent="0.25">
      <c r="B353" s="88"/>
    </row>
    <row r="354" spans="2:2" x14ac:dyDescent="0.25">
      <c r="B354" s="53"/>
    </row>
    <row r="357" spans="2:2" x14ac:dyDescent="0.25">
      <c r="B357" s="53"/>
    </row>
    <row r="358" spans="2:2" x14ac:dyDescent="0.25">
      <c r="B358" s="53"/>
    </row>
    <row r="359" spans="2:2" x14ac:dyDescent="0.25">
      <c r="B359" s="53"/>
    </row>
  </sheetData>
  <mergeCells count="5">
    <mergeCell ref="C3:D3"/>
    <mergeCell ref="C4:D4"/>
    <mergeCell ref="C5:D5"/>
    <mergeCell ref="C6:D6"/>
    <mergeCell ref="C7:D7"/>
  </mergeCells>
  <conditionalFormatting sqref="D87:N87">
    <cfRule type="cellIs" dxfId="35" priority="13" stopIfTrue="1" operator="greaterThan">
      <formula>0</formula>
    </cfRule>
    <cfRule type="cellIs" dxfId="34" priority="14" stopIfTrue="1" operator="lessThan">
      <formula>0</formula>
    </cfRule>
  </conditionalFormatting>
  <conditionalFormatting sqref="D88:N88 D90:N90">
    <cfRule type="cellIs" dxfId="33" priority="16" stopIfTrue="1" operator="greaterThan">
      <formula>0</formula>
    </cfRule>
  </conditionalFormatting>
  <conditionalFormatting sqref="D88:N88 E90:N90">
    <cfRule type="cellIs" dxfId="32" priority="15" stopIfTrue="1" operator="equal">
      <formula>0</formula>
    </cfRule>
  </conditionalFormatting>
  <conditionalFormatting sqref="D88:N88">
    <cfRule type="cellIs" dxfId="31" priority="17" stopIfTrue="1" operator="lessThan">
      <formula>0</formula>
    </cfRule>
  </conditionalFormatting>
  <conditionalFormatting sqref="D89:N89">
    <cfRule type="cellIs" dxfId="30" priority="20" stopIfTrue="1" operator="lessThan">
      <formula>1</formula>
    </cfRule>
    <cfRule type="cellIs" dxfId="29" priority="21" stopIfTrue="1" operator="greaterThan">
      <formula>0</formula>
    </cfRule>
  </conditionalFormatting>
  <conditionalFormatting sqref="D90:N90">
    <cfRule type="cellIs" dxfId="28" priority="22" stopIfTrue="1" operator="lessThan">
      <formula>0</formula>
    </cfRule>
  </conditionalFormatting>
  <conditionalFormatting sqref="D91:N91">
    <cfRule type="cellIs" dxfId="27" priority="18" stopIfTrue="1" operator="lessThan">
      <formula>-1</formula>
    </cfRule>
    <cfRule type="cellIs" dxfId="26" priority="19" stopIfTrue="1" operator="greaterThan">
      <formula>-1</formula>
    </cfRule>
  </conditionalFormatting>
  <conditionalFormatting sqref="G210:N210">
    <cfRule type="cellIs" dxfId="25" priority="8" operator="greaterThan">
      <formula>0</formula>
    </cfRule>
    <cfRule type="cellIs" dxfId="24" priority="9" operator="lessThan">
      <formula>0</formula>
    </cfRule>
  </conditionalFormatting>
  <conditionalFormatting sqref="I96">
    <cfRule type="cellIs" dxfId="23" priority="10" operator="greaterThan">
      <formula>1</formula>
    </cfRule>
    <cfRule type="cellIs" dxfId="22" priority="11" operator="lessThan">
      <formula>1</formula>
    </cfRule>
    <cfRule type="cellIs" dxfId="21" priority="12" operator="equal">
      <formula>1</formula>
    </cfRule>
  </conditionalFormatting>
  <conditionalFormatting sqref="J177">
    <cfRule type="cellIs" dxfId="20" priority="1" operator="equal">
      <formula>1</formula>
    </cfRule>
  </conditionalFormatting>
  <conditionalFormatting sqref="J257">
    <cfRule type="cellIs" dxfId="19" priority="5" operator="equal">
      <formula>1</formula>
    </cfRule>
    <cfRule type="cellIs" dxfId="18" priority="6" operator="lessThan">
      <formula>1</formula>
    </cfRule>
    <cfRule type="cellIs" dxfId="17" priority="7" operator="greaterThan">
      <formula>1</formula>
    </cfRule>
  </conditionalFormatting>
  <conditionalFormatting sqref="J267">
    <cfRule type="cellIs" dxfId="16" priority="2" operator="equal">
      <formula>1</formula>
    </cfRule>
    <cfRule type="cellIs" dxfId="15" priority="3" operator="lessThan">
      <formula>1</formula>
    </cfRule>
    <cfRule type="cellIs" dxfId="14" priority="4" operator="greaterThan">
      <formula>1</formula>
    </cfRule>
  </conditionalFormatting>
  <pageMargins left="0.70000000000000007" right="0.70000000000000007" top="0.75" bottom="0.75" header="0.30000000000000004" footer="0.3000000000000000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D7C5-B484-4CD8-A0C6-0FA1CAF6D7BE}">
  <sheetPr>
    <tabColor rgb="FFFF0000"/>
  </sheetPr>
  <dimension ref="A1:J38"/>
  <sheetViews>
    <sheetView workbookViewId="0">
      <selection activeCell="B7" sqref="B7"/>
    </sheetView>
  </sheetViews>
  <sheetFormatPr defaultColWidth="9.140625" defaultRowHeight="15" x14ac:dyDescent="0.25"/>
  <cols>
    <col min="1" max="1" width="67.140625" style="115" bestFit="1" customWidth="1"/>
    <col min="2" max="8" width="15.85546875" style="117" bestFit="1" customWidth="1"/>
    <col min="9" max="9" width="9.140625" style="100" customWidth="1"/>
    <col min="10" max="16384" width="9.140625" style="100"/>
  </cols>
  <sheetData>
    <row r="1" spans="1:10" s="96" customFormat="1" ht="42" customHeight="1" x14ac:dyDescent="0.25">
      <c r="A1"/>
      <c r="B1"/>
      <c r="C1"/>
      <c r="D1"/>
      <c r="E1"/>
      <c r="F1"/>
      <c r="G1"/>
      <c r="H1"/>
    </row>
    <row r="2" spans="1:10" s="25" customFormat="1" ht="31.5" x14ac:dyDescent="0.25">
      <c r="A2"/>
      <c r="B2" s="97" t="s">
        <v>820</v>
      </c>
      <c r="C2" s="97" t="s">
        <v>364</v>
      </c>
      <c r="D2" s="97" t="s">
        <v>365</v>
      </c>
      <c r="E2" s="97" t="s">
        <v>366</v>
      </c>
      <c r="F2" s="97" t="s">
        <v>367</v>
      </c>
      <c r="G2" s="97" t="s">
        <v>368</v>
      </c>
      <c r="H2" s="97" t="s">
        <v>369</v>
      </c>
      <c r="I2"/>
      <c r="J2"/>
    </row>
    <row r="3" spans="1:10" ht="18.75" x14ac:dyDescent="0.25">
      <c r="A3" s="98" t="s">
        <v>370</v>
      </c>
      <c r="B3" s="99"/>
      <c r="C3" s="99"/>
      <c r="D3" s="99"/>
      <c r="E3" s="99"/>
      <c r="F3" s="99"/>
      <c r="G3" s="99"/>
      <c r="H3" s="99"/>
      <c r="I3"/>
      <c r="J3"/>
    </row>
    <row r="4" spans="1:10" x14ac:dyDescent="0.25">
      <c r="A4" s="101" t="s">
        <v>371</v>
      </c>
      <c r="B4" s="102" t="e">
        <f>fin_model!X97</f>
        <v>#DIV/0!</v>
      </c>
      <c r="C4" s="102" t="e">
        <f>fin_model!I98</f>
        <v>#DIV/0!</v>
      </c>
      <c r="D4" s="102" t="e">
        <f>fin_model!J98</f>
        <v>#DIV/0!</v>
      </c>
      <c r="E4" s="102" t="e">
        <f>fin_model!K98</f>
        <v>#DIV/0!</v>
      </c>
      <c r="F4" s="102" t="e">
        <f>fin_model!L98</f>
        <v>#DIV/0!</v>
      </c>
      <c r="G4" s="102" t="e">
        <f>fin_model!M98</f>
        <v>#DIV/0!</v>
      </c>
      <c r="H4" s="102" t="e">
        <f>fin_model!N98</f>
        <v>#DIV/0!</v>
      </c>
      <c r="I4"/>
      <c r="J4"/>
    </row>
    <row r="5" spans="1:10" x14ac:dyDescent="0.25">
      <c r="A5" s="101" t="s">
        <v>372</v>
      </c>
      <c r="B5" s="102" t="e">
        <f>fin_model!H12/fin_model!H11</f>
        <v>#DIV/0!</v>
      </c>
      <c r="C5" s="102" t="e">
        <f>fin_model!I12/fin_model!I11</f>
        <v>#DIV/0!</v>
      </c>
      <c r="D5" s="102" t="e">
        <f>fin_model!J12/fin_model!J11</f>
        <v>#DIV/0!</v>
      </c>
      <c r="E5" s="102" t="e">
        <f>fin_model!K12/fin_model!K11</f>
        <v>#DIV/0!</v>
      </c>
      <c r="F5" s="102" t="e">
        <f>fin_model!L12/fin_model!L11</f>
        <v>#DIV/0!</v>
      </c>
      <c r="G5" s="102" t="e">
        <f>fin_model!M12/fin_model!M11</f>
        <v>#DIV/0!</v>
      </c>
      <c r="H5" s="102" t="e">
        <f>fin_model!N12/fin_model!N11</f>
        <v>#DIV/0!</v>
      </c>
      <c r="I5"/>
      <c r="J5"/>
    </row>
    <row r="6" spans="1:10" x14ac:dyDescent="0.25">
      <c r="A6" s="101" t="s">
        <v>373</v>
      </c>
      <c r="B6" s="102" t="e">
        <f>fin_model!H14/fin_model!H11</f>
        <v>#DIV/0!</v>
      </c>
      <c r="C6" s="102" t="e">
        <f>fin_model!I14/fin_model!I11</f>
        <v>#DIV/0!</v>
      </c>
      <c r="D6" s="102" t="e">
        <f>fin_model!J14/fin_model!J11</f>
        <v>#DIV/0!</v>
      </c>
      <c r="E6" s="102" t="e">
        <f>fin_model!K14/fin_model!K11</f>
        <v>#DIV/0!</v>
      </c>
      <c r="F6" s="102" t="e">
        <f>fin_model!L14/fin_model!L11</f>
        <v>#DIV/0!</v>
      </c>
      <c r="G6" s="102" t="e">
        <f>fin_model!M14/fin_model!M11</f>
        <v>#DIV/0!</v>
      </c>
      <c r="H6" s="102" t="e">
        <f>fin_model!N14/fin_model!N11</f>
        <v>#DIV/0!</v>
      </c>
      <c r="I6"/>
      <c r="J6"/>
    </row>
    <row r="7" spans="1:10" x14ac:dyDescent="0.25">
      <c r="A7" s="103" t="s">
        <v>257</v>
      </c>
      <c r="B7" s="104" t="e">
        <f>fin_model!$I116</f>
        <v>#DIV/0!</v>
      </c>
      <c r="C7" s="104" t="e">
        <f>fin_model!$I116</f>
        <v>#DIV/0!</v>
      </c>
      <c r="D7" s="104" t="e">
        <f>fin_model!$I116</f>
        <v>#DIV/0!</v>
      </c>
      <c r="E7" s="104" t="e">
        <f>fin_model!$I116</f>
        <v>#DIV/0!</v>
      </c>
      <c r="F7" s="104" t="e">
        <f>fin_model!$I116</f>
        <v>#DIV/0!</v>
      </c>
      <c r="G7" s="104" t="e">
        <f>fin_model!$I116</f>
        <v>#DIV/0!</v>
      </c>
      <c r="H7" s="104" t="e">
        <f>fin_model!$I116</f>
        <v>#DIV/0!</v>
      </c>
      <c r="I7"/>
      <c r="J7"/>
    </row>
    <row r="8" spans="1:10" x14ac:dyDescent="0.25">
      <c r="A8" s="103" t="s">
        <v>374</v>
      </c>
      <c r="B8" s="104" t="e">
        <f>fin_model!H17/fin_model!H11</f>
        <v>#DIV/0!</v>
      </c>
      <c r="C8" s="104" t="e">
        <f>fin_model!I17/fin_model!I11</f>
        <v>#DIV/0!</v>
      </c>
      <c r="D8" s="104" t="e">
        <f>fin_model!J17/fin_model!J11</f>
        <v>#DIV/0!</v>
      </c>
      <c r="E8" s="104" t="e">
        <f>fin_model!K17/fin_model!K11</f>
        <v>#DIV/0!</v>
      </c>
      <c r="F8" s="104" t="e">
        <f>fin_model!L17/fin_model!L11</f>
        <v>#DIV/0!</v>
      </c>
      <c r="G8" s="104" t="e">
        <f>fin_model!M17/fin_model!M11</f>
        <v>#DIV/0!</v>
      </c>
      <c r="H8" s="104" t="e">
        <f>fin_model!N17/fin_model!N11</f>
        <v>#DIV/0!</v>
      </c>
      <c r="I8"/>
      <c r="J8"/>
    </row>
    <row r="9" spans="1:10" x14ac:dyDescent="0.25">
      <c r="A9" s="103" t="s">
        <v>375</v>
      </c>
      <c r="B9" s="104" t="e">
        <f>fin_model!H18/fin_model!H11</f>
        <v>#DIV/0!</v>
      </c>
      <c r="C9" s="104" t="e">
        <f>fin_model!I18/fin_model!I11</f>
        <v>#DIV/0!</v>
      </c>
      <c r="D9" s="104" t="e">
        <f>fin_model!J18/fin_model!J11</f>
        <v>#DIV/0!</v>
      </c>
      <c r="E9" s="104" t="e">
        <f>fin_model!K18/fin_model!K11</f>
        <v>#DIV/0!</v>
      </c>
      <c r="F9" s="104" t="e">
        <f>fin_model!L18/fin_model!L11</f>
        <v>#DIV/0!</v>
      </c>
      <c r="G9" s="104" t="e">
        <f>fin_model!M18/fin_model!M11</f>
        <v>#DIV/0!</v>
      </c>
      <c r="H9" s="104" t="e">
        <f>fin_model!N18/fin_model!N11</f>
        <v>#DIV/0!</v>
      </c>
      <c r="I9"/>
      <c r="J9"/>
    </row>
    <row r="10" spans="1:10" x14ac:dyDescent="0.25">
      <c r="A10" s="103" t="s">
        <v>376</v>
      </c>
      <c r="B10" s="104" t="e">
        <f>fin_model!$I132</f>
        <v>#DIV/0!</v>
      </c>
      <c r="C10" s="104" t="e">
        <f>fin_model!$I132</f>
        <v>#DIV/0!</v>
      </c>
      <c r="D10" s="104" t="e">
        <f>fin_model!$I132</f>
        <v>#DIV/0!</v>
      </c>
      <c r="E10" s="104" t="e">
        <f>fin_model!$I132</f>
        <v>#DIV/0!</v>
      </c>
      <c r="F10" s="104" t="e">
        <f>fin_model!$I132</f>
        <v>#DIV/0!</v>
      </c>
      <c r="G10" s="104" t="e">
        <f>fin_model!$I132</f>
        <v>#DIV/0!</v>
      </c>
      <c r="H10" s="104" t="e">
        <f>fin_model!$I132</f>
        <v>#DIV/0!</v>
      </c>
      <c r="I10"/>
      <c r="J10"/>
    </row>
    <row r="11" spans="1:10" x14ac:dyDescent="0.25">
      <c r="A11" s="103" t="s">
        <v>377</v>
      </c>
      <c r="B11" s="104" t="e">
        <f>fin_model!H22/fin_model!H11</f>
        <v>#DIV/0!</v>
      </c>
      <c r="C11" s="104" t="e">
        <f>fin_model!I22/fin_model!I11</f>
        <v>#DIV/0!</v>
      </c>
      <c r="D11" s="104" t="e">
        <f>fin_model!J22/fin_model!J11</f>
        <v>#DIV/0!</v>
      </c>
      <c r="E11" s="104" t="e">
        <f>fin_model!K22/fin_model!K11</f>
        <v>#DIV/0!</v>
      </c>
      <c r="F11" s="104" t="e">
        <f>fin_model!L22/fin_model!L11</f>
        <v>#DIV/0!</v>
      </c>
      <c r="G11" s="104" t="e">
        <f>fin_model!M22/fin_model!M11</f>
        <v>#DIV/0!</v>
      </c>
      <c r="H11" s="104" t="e">
        <f>fin_model!N22/fin_model!N11</f>
        <v>#DIV/0!</v>
      </c>
      <c r="I11"/>
      <c r="J11"/>
    </row>
    <row r="12" spans="1:10" ht="18.75" x14ac:dyDescent="0.25">
      <c r="A12" s="98" t="s">
        <v>378</v>
      </c>
      <c r="B12" s="105"/>
      <c r="C12" s="105"/>
      <c r="D12" s="105"/>
      <c r="E12" s="105"/>
      <c r="F12" s="105"/>
      <c r="G12" s="105"/>
      <c r="H12" s="105"/>
      <c r="I12"/>
      <c r="J12"/>
    </row>
    <row r="13" spans="1:10" x14ac:dyDescent="0.25">
      <c r="A13" s="106" t="s">
        <v>379</v>
      </c>
      <c r="B13" s="107" t="e">
        <f>fin_model!H29/fin_model!H11</f>
        <v>#DIV/0!</v>
      </c>
      <c r="C13" s="107" t="e">
        <f>fin_model!I29/fin_model!I11</f>
        <v>#DIV/0!</v>
      </c>
      <c r="D13" s="107" t="e">
        <f>fin_model!J29/fin_model!J11</f>
        <v>#DIV/0!</v>
      </c>
      <c r="E13" s="107" t="e">
        <f>fin_model!K29/fin_model!K11</f>
        <v>#DIV/0!</v>
      </c>
      <c r="F13" s="107" t="e">
        <f>fin_model!L29/fin_model!L11</f>
        <v>#DIV/0!</v>
      </c>
      <c r="G13" s="107" t="e">
        <f>fin_model!M29/fin_model!M11</f>
        <v>#DIV/0!</v>
      </c>
      <c r="H13" s="107" t="e">
        <f>fin_model!N29/fin_model!N11</f>
        <v>#DIV/0!</v>
      </c>
      <c r="I13"/>
      <c r="J13"/>
    </row>
    <row r="14" spans="1:10" x14ac:dyDescent="0.25">
      <c r="A14" s="106" t="s">
        <v>380</v>
      </c>
      <c r="B14" s="107" t="e">
        <f>fin_model!H30/fin_model!H11</f>
        <v>#DIV/0!</v>
      </c>
      <c r="C14" s="107" t="e">
        <f>fin_model!I30/fin_model!I11</f>
        <v>#DIV/0!</v>
      </c>
      <c r="D14" s="107" t="e">
        <f>fin_model!J30/fin_model!J11</f>
        <v>#DIV/0!</v>
      </c>
      <c r="E14" s="107" t="e">
        <f>fin_model!K30/fin_model!K11</f>
        <v>#DIV/0!</v>
      </c>
      <c r="F14" s="107" t="e">
        <f>fin_model!L30/fin_model!L11</f>
        <v>#DIV/0!</v>
      </c>
      <c r="G14" s="107" t="e">
        <f>fin_model!M30/fin_model!M11</f>
        <v>#DIV/0!</v>
      </c>
      <c r="H14" s="107" t="e">
        <f>fin_model!N30/fin_model!N11</f>
        <v>#DIV/0!</v>
      </c>
      <c r="I14"/>
      <c r="J14"/>
    </row>
    <row r="15" spans="1:10" x14ac:dyDescent="0.25">
      <c r="A15" s="106" t="s">
        <v>381</v>
      </c>
      <c r="B15" s="107" t="e">
        <f>fin_model!H31/fin_model!H12</f>
        <v>#DIV/0!</v>
      </c>
      <c r="C15" s="107" t="e">
        <f>fin_model!I31/fin_model!I12</f>
        <v>#DIV/0!</v>
      </c>
      <c r="D15" s="107" t="e">
        <f>fin_model!J31/fin_model!J12</f>
        <v>#DIV/0!</v>
      </c>
      <c r="E15" s="107" t="e">
        <f>fin_model!K31/fin_model!K12</f>
        <v>#DIV/0!</v>
      </c>
      <c r="F15" s="107" t="e">
        <f>fin_model!L31/fin_model!L12</f>
        <v>#DIV/0!</v>
      </c>
      <c r="G15" s="107" t="e">
        <f>fin_model!M31/fin_model!M12</f>
        <v>#DIV/0!</v>
      </c>
      <c r="H15" s="107" t="e">
        <f>fin_model!N31/fin_model!N12</f>
        <v>#DIV/0!</v>
      </c>
      <c r="I15"/>
      <c r="J15"/>
    </row>
    <row r="16" spans="1:10" x14ac:dyDescent="0.25">
      <c r="A16" s="106" t="s">
        <v>382</v>
      </c>
      <c r="B16" s="107" t="e">
        <f>fin_model!H32/fin_model!H11</f>
        <v>#DIV/0!</v>
      </c>
      <c r="C16" s="107" t="e">
        <f>fin_model!I32/fin_model!I11</f>
        <v>#DIV/0!</v>
      </c>
      <c r="D16" s="107" t="e">
        <f>fin_model!J32/fin_model!J11</f>
        <v>#DIV/0!</v>
      </c>
      <c r="E16" s="107" t="e">
        <f>fin_model!K32/fin_model!K11</f>
        <v>#DIV/0!</v>
      </c>
      <c r="F16" s="107" t="e">
        <f>fin_model!L32/fin_model!L11</f>
        <v>#DIV/0!</v>
      </c>
      <c r="G16" s="107" t="e">
        <f>fin_model!M32/fin_model!M11</f>
        <v>#DIV/0!</v>
      </c>
      <c r="H16" s="107" t="e">
        <f>fin_model!N32/fin_model!N11</f>
        <v>#DIV/0!</v>
      </c>
      <c r="I16"/>
      <c r="J16"/>
    </row>
    <row r="17" spans="1:10" x14ac:dyDescent="0.25">
      <c r="A17" s="106" t="s">
        <v>383</v>
      </c>
      <c r="B17" s="107" t="e">
        <f>fin_model!H60/fin_model!H11</f>
        <v>#DIV/0!</v>
      </c>
      <c r="C17" s="107" t="e">
        <f>fin_model!I60/fin_model!I11</f>
        <v>#DIV/0!</v>
      </c>
      <c r="D17" s="107" t="e">
        <f>fin_model!J60/fin_model!J11</f>
        <v>#DIV/0!</v>
      </c>
      <c r="E17" s="107" t="e">
        <f>fin_model!K60/fin_model!K11</f>
        <v>#DIV/0!</v>
      </c>
      <c r="F17" s="107" t="e">
        <f>fin_model!L60/fin_model!L11</f>
        <v>#DIV/0!</v>
      </c>
      <c r="G17" s="107" t="e">
        <f>fin_model!M60/fin_model!M11</f>
        <v>#DIV/0!</v>
      </c>
      <c r="H17" s="107" t="e">
        <f>fin_model!N60/fin_model!N11</f>
        <v>#DIV/0!</v>
      </c>
      <c r="I17"/>
      <c r="J17"/>
    </row>
    <row r="18" spans="1:10" x14ac:dyDescent="0.25">
      <c r="A18" s="106" t="s">
        <v>384</v>
      </c>
      <c r="B18" s="107" t="e">
        <f>fin_model!H66/fin_model!H11</f>
        <v>#DIV/0!</v>
      </c>
      <c r="C18" s="107" t="e">
        <f>fin_model!I66/fin_model!I11</f>
        <v>#DIV/0!</v>
      </c>
      <c r="D18" s="107" t="e">
        <f>fin_model!J66/fin_model!J11</f>
        <v>#DIV/0!</v>
      </c>
      <c r="E18" s="107" t="e">
        <f>fin_model!K66/fin_model!K11</f>
        <v>#DIV/0!</v>
      </c>
      <c r="F18" s="107" t="e">
        <f>fin_model!L66/fin_model!L11</f>
        <v>#DIV/0!</v>
      </c>
      <c r="G18" s="107" t="e">
        <f>fin_model!M66/fin_model!M11</f>
        <v>#DIV/0!</v>
      </c>
      <c r="H18" s="107" t="e">
        <f>fin_model!N66/fin_model!N11</f>
        <v>#DIV/0!</v>
      </c>
      <c r="I18"/>
      <c r="J18"/>
    </row>
    <row r="19" spans="1:10" x14ac:dyDescent="0.25">
      <c r="A19" s="106" t="s">
        <v>385</v>
      </c>
      <c r="B19" s="107" t="e">
        <f>fin_model!H35/fin_model!H11</f>
        <v>#DIV/0!</v>
      </c>
      <c r="C19" s="107" t="e">
        <f>fin_model!I35/fin_model!I11</f>
        <v>#DIV/0!</v>
      </c>
      <c r="D19" s="107" t="e">
        <f>fin_model!J35/fin_model!J11</f>
        <v>#DIV/0!</v>
      </c>
      <c r="E19" s="107" t="e">
        <f>fin_model!K35/fin_model!K11</f>
        <v>#DIV/0!</v>
      </c>
      <c r="F19" s="107" t="e">
        <f>fin_model!L35/fin_model!L11</f>
        <v>#DIV/0!</v>
      </c>
      <c r="G19" s="107" t="e">
        <f>fin_model!M35/fin_model!M11</f>
        <v>#DIV/0!</v>
      </c>
      <c r="H19" s="107" t="e">
        <f>fin_model!N35/fin_model!N11</f>
        <v>#DIV/0!</v>
      </c>
      <c r="I19"/>
      <c r="J19"/>
    </row>
    <row r="20" spans="1:10" x14ac:dyDescent="0.25">
      <c r="A20" s="106" t="s">
        <v>386</v>
      </c>
      <c r="B20" s="107" t="e">
        <f>fin_model!H40/fin_model!H12</f>
        <v>#DIV/0!</v>
      </c>
      <c r="C20" s="107" t="e">
        <f>fin_model!I40/fin_model!I12</f>
        <v>#DIV/0!</v>
      </c>
      <c r="D20" s="107" t="e">
        <f>fin_model!J40/fin_model!J12</f>
        <v>#DIV/0!</v>
      </c>
      <c r="E20" s="107" t="e">
        <f>fin_model!K40/fin_model!K12</f>
        <v>#DIV/0!</v>
      </c>
      <c r="F20" s="107" t="e">
        <f>fin_model!L40/fin_model!L12</f>
        <v>#DIV/0!</v>
      </c>
      <c r="G20" s="107" t="e">
        <f>fin_model!M40/fin_model!M12</f>
        <v>#DIV/0!</v>
      </c>
      <c r="H20" s="107" t="e">
        <f>fin_model!N40/fin_model!N12</f>
        <v>#DIV/0!</v>
      </c>
      <c r="I20"/>
      <c r="J20"/>
    </row>
    <row r="21" spans="1:10" x14ac:dyDescent="0.25">
      <c r="A21" s="106" t="s">
        <v>387</v>
      </c>
      <c r="B21" s="108">
        <f>fin_model!H41</f>
        <v>0</v>
      </c>
      <c r="C21" s="108">
        <f>fin_model!I41</f>
        <v>0</v>
      </c>
      <c r="D21" s="108">
        <f>fin_model!J41</f>
        <v>0</v>
      </c>
      <c r="E21" s="108">
        <f>fin_model!K41</f>
        <v>0</v>
      </c>
      <c r="F21" s="108">
        <f>fin_model!L41</f>
        <v>0</v>
      </c>
      <c r="G21" s="108">
        <f>fin_model!M41</f>
        <v>0</v>
      </c>
      <c r="H21" s="108">
        <f>fin_model!N41</f>
        <v>0</v>
      </c>
      <c r="I21"/>
      <c r="J21"/>
    </row>
    <row r="22" spans="1:10" x14ac:dyDescent="0.25">
      <c r="A22" s="106" t="s">
        <v>388</v>
      </c>
      <c r="B22" s="108">
        <f>fin_model!H42</f>
        <v>0</v>
      </c>
      <c r="C22" s="108">
        <f>fin_model!I42</f>
        <v>400</v>
      </c>
      <c r="D22" s="108">
        <f>fin_model!J42</f>
        <v>469.5</v>
      </c>
      <c r="E22" s="108">
        <f>fin_model!K42</f>
        <v>0</v>
      </c>
      <c r="F22" s="108">
        <f>fin_model!L42</f>
        <v>0</v>
      </c>
      <c r="G22" s="108">
        <f>fin_model!M42</f>
        <v>0</v>
      </c>
      <c r="H22" s="108">
        <f>fin_model!N42</f>
        <v>847.5</v>
      </c>
      <c r="I22"/>
      <c r="J22"/>
    </row>
    <row r="23" spans="1:10" x14ac:dyDescent="0.25">
      <c r="A23" s="106" t="s">
        <v>389</v>
      </c>
      <c r="B23" s="107" t="e">
        <f>fin_model!H43/fin_model!H11</f>
        <v>#DIV/0!</v>
      </c>
      <c r="C23" s="107" t="e">
        <f>fin_model!I43/fin_model!I11</f>
        <v>#DIV/0!</v>
      </c>
      <c r="D23" s="107" t="e">
        <f>fin_model!J43/fin_model!J11</f>
        <v>#DIV/0!</v>
      </c>
      <c r="E23" s="107" t="e">
        <f>fin_model!K43/fin_model!K11</f>
        <v>#DIV/0!</v>
      </c>
      <c r="F23" s="107" t="e">
        <f>fin_model!L43/fin_model!L11</f>
        <v>#DIV/0!</v>
      </c>
      <c r="G23" s="107" t="e">
        <f>fin_model!M43/fin_model!M11</f>
        <v>#DIV/0!</v>
      </c>
      <c r="H23" s="107" t="e">
        <f>fin_model!N43/fin_model!N11</f>
        <v>#DIV/0!</v>
      </c>
      <c r="I23"/>
      <c r="J23"/>
    </row>
    <row r="24" spans="1:10" x14ac:dyDescent="0.25">
      <c r="A24" s="106" t="s">
        <v>390</v>
      </c>
      <c r="B24" s="108">
        <f>fin_model!H45</f>
        <v>0</v>
      </c>
      <c r="C24" s="108" t="e">
        <f>fin_model!I45</f>
        <v>#DIV/0!</v>
      </c>
      <c r="D24" s="108" t="e">
        <f>fin_model!J45</f>
        <v>#DIV/0!</v>
      </c>
      <c r="E24" s="108" t="e">
        <f>fin_model!K45</f>
        <v>#DIV/0!</v>
      </c>
      <c r="F24" s="108" t="e">
        <f>fin_model!L45</f>
        <v>#DIV/0!</v>
      </c>
      <c r="G24" s="108" t="e">
        <f>fin_model!M45</f>
        <v>#DIV/0!</v>
      </c>
      <c r="H24" s="108" t="e">
        <f>fin_model!N45</f>
        <v>#DIV/0!</v>
      </c>
      <c r="I24"/>
      <c r="J24"/>
    </row>
    <row r="25" spans="1:10" x14ac:dyDescent="0.25">
      <c r="A25" s="106" t="s">
        <v>391</v>
      </c>
      <c r="B25" s="107" t="e">
        <f>fin_model!H46/fin_model!H11</f>
        <v>#DIV/0!</v>
      </c>
      <c r="C25" s="107" t="e">
        <f>fin_model!I46/fin_model!I11</f>
        <v>#DIV/0!</v>
      </c>
      <c r="D25" s="107" t="e">
        <f>fin_model!J46/fin_model!J11</f>
        <v>#DIV/0!</v>
      </c>
      <c r="E25" s="107" t="e">
        <f>fin_model!K46/fin_model!K11</f>
        <v>#DIV/0!</v>
      </c>
      <c r="F25" s="107" t="e">
        <f>fin_model!L46/fin_model!L11</f>
        <v>#DIV/0!</v>
      </c>
      <c r="G25" s="107" t="e">
        <f>fin_model!M46/fin_model!M11</f>
        <v>#DIV/0!</v>
      </c>
      <c r="H25" s="107" t="e">
        <f>fin_model!N46/fin_model!N11</f>
        <v>#DIV/0!</v>
      </c>
      <c r="I25"/>
      <c r="J25"/>
    </row>
    <row r="26" spans="1:10" x14ac:dyDescent="0.25">
      <c r="A26" s="109" t="s">
        <v>392</v>
      </c>
      <c r="B26" s="110">
        <f>fin_model!H73</f>
        <v>0</v>
      </c>
      <c r="C26" s="110" t="e">
        <f>fin_model!I73</f>
        <v>#DIV/0!</v>
      </c>
      <c r="D26" s="111"/>
      <c r="E26" s="111"/>
      <c r="F26" s="111"/>
      <c r="G26" s="111"/>
      <c r="H26" s="111"/>
      <c r="I26"/>
      <c r="J26"/>
    </row>
    <row r="27" spans="1:10" x14ac:dyDescent="0.25">
      <c r="A27" s="109" t="s">
        <v>393</v>
      </c>
      <c r="B27" s="111"/>
      <c r="C27" s="111"/>
      <c r="D27" s="112" t="e">
        <f>(fin_model!J73-fin_model!I73)/fin_model!I73</f>
        <v>#DIV/0!</v>
      </c>
      <c r="E27" s="112" t="e">
        <f>(fin_model!K73-fin_model!J73)/fin_model!J73</f>
        <v>#DIV/0!</v>
      </c>
      <c r="F27" s="112" t="e">
        <f>(fin_model!L73-fin_model!K73)/fin_model!K73</f>
        <v>#DIV/0!</v>
      </c>
      <c r="G27" s="112" t="e">
        <f>(fin_model!M73-fin_model!L73)/fin_model!L73</f>
        <v>#DIV/0!</v>
      </c>
      <c r="H27" s="112" t="e">
        <f>(fin_model!N73-fin_model!M73)/fin_model!M73</f>
        <v>#DIV/0!</v>
      </c>
      <c r="I27"/>
      <c r="J27"/>
    </row>
    <row r="28" spans="1:10" x14ac:dyDescent="0.25">
      <c r="A28" s="109" t="s">
        <v>394</v>
      </c>
      <c r="B28" s="112" t="e">
        <f>fin_model!H72/fin_model!H11</f>
        <v>#DIV/0!</v>
      </c>
      <c r="C28" s="112" t="e">
        <f>fin_model!I72/fin_model!I11</f>
        <v>#DIV/0!</v>
      </c>
      <c r="D28" s="112" t="e">
        <f>fin_model!J72/fin_model!J11</f>
        <v>#DIV/0!</v>
      </c>
      <c r="E28" s="112" t="e">
        <f>fin_model!K72/fin_model!K11</f>
        <v>#DIV/0!</v>
      </c>
      <c r="F28" s="112" t="e">
        <f>fin_model!L72/fin_model!L11</f>
        <v>#DIV/0!</v>
      </c>
      <c r="G28" s="112" t="e">
        <f>fin_model!M72/fin_model!M11</f>
        <v>#DIV/0!</v>
      </c>
      <c r="H28" s="112" t="e">
        <f>fin_model!N72/fin_model!N11</f>
        <v>#DIV/0!</v>
      </c>
      <c r="I28"/>
      <c r="J28"/>
    </row>
    <row r="29" spans="1:10" x14ac:dyDescent="0.25">
      <c r="A29" s="109" t="s">
        <v>395</v>
      </c>
      <c r="B29" s="112" t="e">
        <f>fin_model!H315/fin_model!H11</f>
        <v>#DIV/0!</v>
      </c>
      <c r="C29" s="112" t="e">
        <f>fin_model!I315/fin_model!I11</f>
        <v>#DIV/0!</v>
      </c>
      <c r="D29" s="112" t="e">
        <f>fin_model!J315/fin_model!J11</f>
        <v>#DIV/0!</v>
      </c>
      <c r="E29" s="112" t="e">
        <f>fin_model!K315/fin_model!K11</f>
        <v>#DIV/0!</v>
      </c>
      <c r="F29" s="112" t="e">
        <f>fin_model!L315/fin_model!L11</f>
        <v>#DIV/0!</v>
      </c>
      <c r="G29" s="112" t="e">
        <f>fin_model!M315/fin_model!M11</f>
        <v>#DIV/0!</v>
      </c>
      <c r="H29" s="112" t="e">
        <f>fin_model!N315/fin_model!N11</f>
        <v>#DIV/0!</v>
      </c>
      <c r="I29"/>
      <c r="J29"/>
    </row>
    <row r="30" spans="1:10" ht="18.75" x14ac:dyDescent="0.25">
      <c r="A30" s="98" t="s">
        <v>396</v>
      </c>
      <c r="B30" s="105"/>
      <c r="C30" s="105"/>
      <c r="D30" s="105"/>
      <c r="E30" s="105"/>
      <c r="F30" s="105"/>
      <c r="G30" s="105"/>
      <c r="H30" s="105"/>
      <c r="I30"/>
      <c r="J30"/>
    </row>
    <row r="31" spans="1:10" x14ac:dyDescent="0.25">
      <c r="A31" s="113" t="s">
        <v>397</v>
      </c>
      <c r="B31" s="114" t="e">
        <f>fin_model!H61/fin_model!H11</f>
        <v>#DIV/0!</v>
      </c>
      <c r="C31" s="114" t="e">
        <f>fin_model!I61/fin_model!I11</f>
        <v>#DIV/0!</v>
      </c>
      <c r="D31" s="114" t="e">
        <f>fin_model!J61/fin_model!J11</f>
        <v>#DIV/0!</v>
      </c>
      <c r="E31" s="114" t="e">
        <f>fin_model!K61/fin_model!K11</f>
        <v>#DIV/0!</v>
      </c>
      <c r="F31" s="114" t="e">
        <f>fin_model!L61/fin_model!L11</f>
        <v>#DIV/0!</v>
      </c>
      <c r="G31" s="114" t="e">
        <f>fin_model!M61/fin_model!M11</f>
        <v>#DIV/0!</v>
      </c>
      <c r="H31" s="114" t="e">
        <f>fin_model!N61/fin_model!N11</f>
        <v>#DIV/0!</v>
      </c>
      <c r="I31"/>
      <c r="J31"/>
    </row>
    <row r="32" spans="1:10" x14ac:dyDescent="0.25">
      <c r="A32" s="113" t="s">
        <v>398</v>
      </c>
      <c r="B32" s="114" t="e">
        <f>fin_model!H62/fin_model!H11</f>
        <v>#DIV/0!</v>
      </c>
      <c r="C32" s="114" t="e">
        <f>fin_model!I62/fin_model!I11</f>
        <v>#DIV/0!</v>
      </c>
      <c r="D32" s="114" t="e">
        <f>fin_model!J62/fin_model!J11</f>
        <v>#DIV/0!</v>
      </c>
      <c r="E32" s="114" t="e">
        <f>fin_model!K62/fin_model!K11</f>
        <v>#DIV/0!</v>
      </c>
      <c r="F32" s="114" t="e">
        <f>fin_model!L62/fin_model!L11</f>
        <v>#DIV/0!</v>
      </c>
      <c r="G32" s="114" t="e">
        <f>fin_model!M62/fin_model!M11</f>
        <v>#DIV/0!</v>
      </c>
      <c r="H32" s="114" t="e">
        <f>fin_model!N62/fin_model!N11</f>
        <v>#DIV/0!</v>
      </c>
      <c r="I32"/>
      <c r="J32"/>
    </row>
    <row r="33" spans="1:10" x14ac:dyDescent="0.25">
      <c r="A33" s="113" t="s">
        <v>399</v>
      </c>
      <c r="B33" s="114" t="e">
        <f>fin_model!H67/fin_model!H11</f>
        <v>#DIV/0!</v>
      </c>
      <c r="C33" s="114" t="e">
        <f>fin_model!I67/fin_model!I11</f>
        <v>#DIV/0!</v>
      </c>
      <c r="D33" s="114" t="e">
        <f>fin_model!J67/fin_model!J11</f>
        <v>#DIV/0!</v>
      </c>
      <c r="E33" s="114" t="e">
        <f>fin_model!K67/fin_model!K11</f>
        <v>#DIV/0!</v>
      </c>
      <c r="F33" s="114" t="e">
        <f>fin_model!L67/fin_model!L11</f>
        <v>#DIV/0!</v>
      </c>
      <c r="G33" s="114" t="e">
        <f>fin_model!M67/fin_model!M11</f>
        <v>#DIV/0!</v>
      </c>
      <c r="H33" s="114" t="e">
        <f>fin_model!N67/fin_model!N11</f>
        <v>#DIV/0!</v>
      </c>
      <c r="I33"/>
      <c r="J33"/>
    </row>
    <row r="34" spans="1:10" x14ac:dyDescent="0.25">
      <c r="A34" s="113" t="s">
        <v>400</v>
      </c>
      <c r="B34" s="114" t="e">
        <f>fin_model!H74/fin_model!H11</f>
        <v>#DIV/0!</v>
      </c>
      <c r="C34" s="114" t="e">
        <f>fin_model!I74/fin_model!I11</f>
        <v>#DIV/0!</v>
      </c>
      <c r="D34" s="114" t="e">
        <f>fin_model!J74/fin_model!J11</f>
        <v>#DIV/0!</v>
      </c>
      <c r="E34" s="114" t="e">
        <f>fin_model!K74/fin_model!K11</f>
        <v>#DIV/0!</v>
      </c>
      <c r="F34" s="114" t="e">
        <f>fin_model!L74/fin_model!L11</f>
        <v>#DIV/0!</v>
      </c>
      <c r="G34" s="114" t="e">
        <f>fin_model!M74/fin_model!M11</f>
        <v>#DIV/0!</v>
      </c>
      <c r="H34" s="114" t="e">
        <f>fin_model!N74/fin_model!N11</f>
        <v>#DIV/0!</v>
      </c>
      <c r="I34"/>
      <c r="J34"/>
    </row>
    <row r="35" spans="1:10" x14ac:dyDescent="0.25">
      <c r="C35" s="116"/>
      <c r="D35" s="116"/>
      <c r="E35" s="116"/>
      <c r="F35" s="116"/>
      <c r="G35" s="116"/>
      <c r="H35" s="116"/>
      <c r="I35"/>
      <c r="J35"/>
    </row>
    <row r="36" spans="1:10" x14ac:dyDescent="0.25">
      <c r="B36" s="116"/>
      <c r="C36" s="116"/>
      <c r="D36" s="116"/>
      <c r="E36" s="116"/>
      <c r="F36" s="116"/>
      <c r="G36" s="116"/>
    </row>
    <row r="37" spans="1:10" x14ac:dyDescent="0.25">
      <c r="B37" s="116"/>
      <c r="C37" s="116"/>
      <c r="D37" s="116"/>
      <c r="E37" s="116"/>
      <c r="F37" s="116"/>
      <c r="G37" s="116"/>
    </row>
    <row r="38" spans="1:10" x14ac:dyDescent="0.25">
      <c r="B38" s="116"/>
      <c r="C38" s="116"/>
      <c r="D38" s="116"/>
      <c r="E38" s="116"/>
      <c r="F38" s="116"/>
      <c r="G38" s="116"/>
    </row>
  </sheetData>
  <phoneticPr fontId="68" type="noConversion"/>
  <pageMargins left="0.70000000000000007" right="0.70000000000000007" top="0.75" bottom="0.75" header="0.30000000000000004" footer="0.30000000000000004"/>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14AB-F9A1-4EC6-88A7-0FBBE052C119}">
  <sheetPr>
    <tabColor rgb="FF757171"/>
  </sheetPr>
  <dimension ref="A1:AC46"/>
  <sheetViews>
    <sheetView zoomScaleNormal="100" workbookViewId="0">
      <selection activeCell="N24" sqref="N24"/>
    </sheetView>
  </sheetViews>
  <sheetFormatPr defaultColWidth="9.140625" defaultRowHeight="15.75" x14ac:dyDescent="0.25"/>
  <cols>
    <col min="1" max="1" width="50" style="118" bestFit="1" customWidth="1"/>
    <col min="2" max="12" width="12.42578125" style="118" customWidth="1"/>
    <col min="13" max="13" width="9.140625" style="118" customWidth="1"/>
    <col min="14" max="16" width="9.140625" style="118"/>
    <col min="17" max="17" width="0.28515625" style="118" customWidth="1"/>
    <col min="18" max="18" width="23.28515625" style="118" bestFit="1" customWidth="1"/>
    <col min="19" max="16384" width="9.140625" style="118"/>
  </cols>
  <sheetData>
    <row r="1" spans="1:18" x14ac:dyDescent="0.25">
      <c r="R1" s="497"/>
    </row>
    <row r="3" spans="1:18" ht="21" x14ac:dyDescent="0.25">
      <c r="A3" s="528" t="s">
        <v>401</v>
      </c>
      <c r="B3" s="528"/>
      <c r="C3" s="528"/>
      <c r="D3" s="528"/>
      <c r="E3" s="528"/>
      <c r="F3" s="528"/>
      <c r="G3" s="528"/>
      <c r="H3" s="528"/>
      <c r="I3" s="528"/>
      <c r="J3" s="528"/>
      <c r="K3" s="528"/>
      <c r="L3" s="528"/>
    </row>
    <row r="4" spans="1:18" ht="15.75" customHeight="1" x14ac:dyDescent="0.25">
      <c r="A4" s="119"/>
      <c r="B4" s="521" t="s">
        <v>402</v>
      </c>
      <c r="C4" s="522"/>
      <c r="D4" s="522"/>
      <c r="E4" s="522"/>
      <c r="F4" s="522"/>
      <c r="G4" s="529" t="s">
        <v>403</v>
      </c>
      <c r="H4" s="529"/>
      <c r="I4" s="529"/>
      <c r="J4" s="529"/>
      <c r="K4" s="529"/>
      <c r="L4" s="529"/>
    </row>
    <row r="5" spans="1:18" x14ac:dyDescent="0.25">
      <c r="A5" s="120"/>
      <c r="B5" s="503">
        <f>fin_model!D10</f>
        <v>2020</v>
      </c>
      <c r="C5" s="503">
        <f t="shared" ref="C5:L5" si="0">B5+1</f>
        <v>2021</v>
      </c>
      <c r="D5" s="503">
        <f t="shared" si="0"/>
        <v>2022</v>
      </c>
      <c r="E5" s="503">
        <f t="shared" si="0"/>
        <v>2023</v>
      </c>
      <c r="F5" s="503">
        <f t="shared" si="0"/>
        <v>2024</v>
      </c>
      <c r="G5" s="514">
        <f t="shared" si="0"/>
        <v>2025</v>
      </c>
      <c r="H5" s="514">
        <f t="shared" si="0"/>
        <v>2026</v>
      </c>
      <c r="I5" s="514">
        <f t="shared" si="0"/>
        <v>2027</v>
      </c>
      <c r="J5" s="514">
        <f t="shared" si="0"/>
        <v>2028</v>
      </c>
      <c r="K5" s="514">
        <f t="shared" si="0"/>
        <v>2029</v>
      </c>
      <c r="L5" s="514">
        <f t="shared" si="0"/>
        <v>2030</v>
      </c>
    </row>
    <row r="6" spans="1:18" ht="47.25" customHeight="1" x14ac:dyDescent="0.25">
      <c r="A6" s="121"/>
      <c r="B6" s="530" t="s">
        <v>404</v>
      </c>
      <c r="C6" s="530"/>
      <c r="D6" s="530"/>
      <c r="E6" s="530"/>
      <c r="F6" s="530"/>
      <c r="G6" s="530"/>
      <c r="H6" s="530"/>
      <c r="I6" s="530"/>
      <c r="J6" s="530"/>
      <c r="K6" s="530"/>
      <c r="L6" s="530"/>
    </row>
    <row r="7" spans="1:18" x14ac:dyDescent="0.25">
      <c r="A7" s="122" t="s">
        <v>405</v>
      </c>
      <c r="B7" s="478" t="e">
        <f>fin_model!D33/fin_model!D44</f>
        <v>#DIV/0!</v>
      </c>
      <c r="C7" s="478" t="e">
        <f>fin_model!E33/fin_model!E44</f>
        <v>#DIV/0!</v>
      </c>
      <c r="D7" s="478" t="e">
        <f>fin_model!F33/fin_model!F44</f>
        <v>#DIV/0!</v>
      </c>
      <c r="E7" s="478" t="e">
        <f>fin_model!G33/fin_model!G44</f>
        <v>#DIV/0!</v>
      </c>
      <c r="F7" s="478" t="e">
        <f>fin_model!H33/fin_model!H44</f>
        <v>#DIV/0!</v>
      </c>
      <c r="G7" s="480" t="e">
        <f>fin_model!I33/fin_model!I44</f>
        <v>#DIV/0!</v>
      </c>
      <c r="H7" s="480" t="e">
        <f>fin_model!J33/fin_model!J44</f>
        <v>#DIV/0!</v>
      </c>
      <c r="I7" s="480" t="e">
        <f>fin_model!K33/fin_model!K44</f>
        <v>#DIV/0!</v>
      </c>
      <c r="J7" s="480" t="e">
        <f>fin_model!L33/fin_model!L44</f>
        <v>#DIV/0!</v>
      </c>
      <c r="K7" s="480" t="e">
        <f>fin_model!M33/fin_model!M44</f>
        <v>#DIV/0!</v>
      </c>
      <c r="L7" s="480" t="e">
        <f>fin_model!N33/fin_model!N44</f>
        <v>#DIV/0!</v>
      </c>
    </row>
    <row r="8" spans="1:18" ht="15.75" customHeight="1" x14ac:dyDescent="0.25">
      <c r="A8" s="122" t="s">
        <v>406</v>
      </c>
      <c r="B8" s="478" t="e">
        <f>(fin_model!D33-fin_model!D31)/fin_model!D44</f>
        <v>#DIV/0!</v>
      </c>
      <c r="C8" s="478" t="e">
        <f>(fin_model!E33-fin_model!E31)/fin_model!E44</f>
        <v>#DIV/0!</v>
      </c>
      <c r="D8" s="478" t="e">
        <f>(fin_model!F33-fin_model!F31)/fin_model!F44</f>
        <v>#DIV/0!</v>
      </c>
      <c r="E8" s="478" t="e">
        <f>(fin_model!G33-fin_model!G31)/fin_model!G44</f>
        <v>#DIV/0!</v>
      </c>
      <c r="F8" s="478" t="e">
        <f>(fin_model!H33-fin_model!H31)/fin_model!H44</f>
        <v>#DIV/0!</v>
      </c>
      <c r="G8" s="480" t="e">
        <f>(fin_model!I33-fin_model!I31)/fin_model!I44</f>
        <v>#DIV/0!</v>
      </c>
      <c r="H8" s="480" t="e">
        <f>(fin_model!J33-fin_model!J31)/fin_model!J44</f>
        <v>#DIV/0!</v>
      </c>
      <c r="I8" s="480" t="e">
        <f>(fin_model!K33-fin_model!K31)/fin_model!K44</f>
        <v>#DIV/0!</v>
      </c>
      <c r="J8" s="480" t="e">
        <f>(fin_model!L33-fin_model!L31)/fin_model!L44</f>
        <v>#DIV/0!</v>
      </c>
      <c r="K8" s="480" t="e">
        <f>(fin_model!M33-fin_model!M31)/fin_model!M44</f>
        <v>#DIV/0!</v>
      </c>
      <c r="L8" s="480" t="e">
        <f>(fin_model!N33-fin_model!N31)/fin_model!N44</f>
        <v>#DIV/0!</v>
      </c>
    </row>
    <row r="9" spans="1:18" x14ac:dyDescent="0.25">
      <c r="A9" s="121"/>
      <c r="B9" s="525" t="s">
        <v>407</v>
      </c>
      <c r="C9" s="525"/>
      <c r="D9" s="525"/>
      <c r="E9" s="525"/>
      <c r="F9" s="525"/>
      <c r="G9" s="525"/>
      <c r="H9" s="525"/>
      <c r="I9" s="525"/>
      <c r="J9" s="525"/>
      <c r="K9" s="525"/>
      <c r="L9" s="525"/>
    </row>
    <row r="10" spans="1:18" x14ac:dyDescent="0.25">
      <c r="A10" s="122" t="s">
        <v>408</v>
      </c>
      <c r="B10" s="478" t="e">
        <f>-(fin_model!D15/fin_model!D16)</f>
        <v>#DIV/0!</v>
      </c>
      <c r="C10" s="478" t="e">
        <f>-(fin_model!E15/fin_model!E16)</f>
        <v>#DIV/0!</v>
      </c>
      <c r="D10" s="478" t="e">
        <f>-(fin_model!F15/fin_model!F16)</f>
        <v>#DIV/0!</v>
      </c>
      <c r="E10" s="478" t="e">
        <f>-(fin_model!G15/fin_model!G16)</f>
        <v>#DIV/0!</v>
      </c>
      <c r="F10" s="478" t="e">
        <f>-(fin_model!H15/fin_model!H16)</f>
        <v>#DIV/0!</v>
      </c>
      <c r="G10" s="480" t="e">
        <f>-(fin_model!I15/fin_model!I16)</f>
        <v>#DIV/0!</v>
      </c>
      <c r="H10" s="480" t="e">
        <f>-(fin_model!J15/fin_model!J16)</f>
        <v>#DIV/0!</v>
      </c>
      <c r="I10" s="480" t="e">
        <f>-(fin_model!K15/fin_model!K16)</f>
        <v>#DIV/0!</v>
      </c>
      <c r="J10" s="480" t="e">
        <f>-(fin_model!L15/fin_model!L16)</f>
        <v>#DIV/0!</v>
      </c>
      <c r="K10" s="480" t="e">
        <f>-(fin_model!M15/fin_model!M16)</f>
        <v>#DIV/0!</v>
      </c>
      <c r="L10" s="480" t="e">
        <f>-(fin_model!N15/fin_model!N16)</f>
        <v>#DIV/0!</v>
      </c>
    </row>
    <row r="11" spans="1:18" x14ac:dyDescent="0.25">
      <c r="A11" s="121"/>
      <c r="B11" s="525" t="s">
        <v>409</v>
      </c>
      <c r="C11" s="525"/>
      <c r="D11" s="525"/>
      <c r="E11" s="525"/>
      <c r="F11" s="525"/>
      <c r="G11" s="525"/>
      <c r="H11" s="525"/>
      <c r="I11" s="525"/>
      <c r="J11" s="525"/>
      <c r="K11" s="525"/>
      <c r="L11" s="525"/>
    </row>
    <row r="12" spans="1:18" x14ac:dyDescent="0.25">
      <c r="A12" s="122" t="s">
        <v>410</v>
      </c>
      <c r="B12" s="478" t="e">
        <f>SUM(fin_model!D41,fin_model!D42,fin_model!D45)/fin_model!D37</f>
        <v>#DIV/0!</v>
      </c>
      <c r="C12" s="478" t="e">
        <f>SUM(fin_model!E41,fin_model!E42,fin_model!E45)/fin_model!E37</f>
        <v>#DIV/0!</v>
      </c>
      <c r="D12" s="478" t="e">
        <f>SUM(fin_model!F41,fin_model!F42,fin_model!F45)/fin_model!F37</f>
        <v>#DIV/0!</v>
      </c>
      <c r="E12" s="478" t="e">
        <f>SUM(fin_model!G41,fin_model!G42,fin_model!G45)/fin_model!G37</f>
        <v>#DIV/0!</v>
      </c>
      <c r="F12" s="478" t="e">
        <f>SUM(fin_model!H41,fin_model!H42,fin_model!H45)/fin_model!H37</f>
        <v>#DIV/0!</v>
      </c>
      <c r="G12" s="480" t="e">
        <f>SUM(fin_model!I41,fin_model!I42,fin_model!I45)/fin_model!I37</f>
        <v>#DIV/0!</v>
      </c>
      <c r="H12" s="480" t="e">
        <f>SUM(fin_model!J41,fin_model!J42,fin_model!J45)/fin_model!J37</f>
        <v>#DIV/0!</v>
      </c>
      <c r="I12" s="480" t="e">
        <f>SUM(fin_model!K41,fin_model!K42,fin_model!K45)/fin_model!K37</f>
        <v>#DIV/0!</v>
      </c>
      <c r="J12" s="480" t="e">
        <f>SUM(fin_model!L41,fin_model!L42,fin_model!L45)/fin_model!L37</f>
        <v>#DIV/0!</v>
      </c>
      <c r="K12" s="480" t="e">
        <f>SUM(fin_model!M41,fin_model!M42,fin_model!M45)/fin_model!M37</f>
        <v>#DIV/0!</v>
      </c>
      <c r="L12" s="480" t="e">
        <f>SUM(fin_model!N41,fin_model!N42,fin_model!N45)/fin_model!N37</f>
        <v>#DIV/0!</v>
      </c>
    </row>
    <row r="13" spans="1:18" x14ac:dyDescent="0.25">
      <c r="A13" s="122" t="s">
        <v>822</v>
      </c>
      <c r="B13" s="478" t="e">
        <f>SUM(fin_model!D41,fin_model!D42,fin_model!D45)/fin_model!D51</f>
        <v>#DIV/0!</v>
      </c>
      <c r="C13" s="478" t="e">
        <f>SUM(fin_model!E41,fin_model!E42,fin_model!E45)/fin_model!E51</f>
        <v>#DIV/0!</v>
      </c>
      <c r="D13" s="478" t="e">
        <f>SUM(fin_model!F41,fin_model!F42,fin_model!F45)/fin_model!F51</f>
        <v>#DIV/0!</v>
      </c>
      <c r="E13" s="478" t="e">
        <f>SUM(fin_model!G41,fin_model!G42,fin_model!G45)/fin_model!G51</f>
        <v>#DIV/0!</v>
      </c>
      <c r="F13" s="478" t="e">
        <f>SUM(fin_model!H41,fin_model!H42,fin_model!H45)/fin_model!H51</f>
        <v>#DIV/0!</v>
      </c>
      <c r="G13" s="480" t="e">
        <f>SUM(fin_model!I41,fin_model!I42,fin_model!I45)/fin_model!I51</f>
        <v>#DIV/0!</v>
      </c>
      <c r="H13" s="480" t="e">
        <f>SUM(fin_model!J41,fin_model!J42,fin_model!J45)/fin_model!J51</f>
        <v>#DIV/0!</v>
      </c>
      <c r="I13" s="480" t="e">
        <f>SUM(fin_model!K41,fin_model!K42,fin_model!K45)/fin_model!K51</f>
        <v>#DIV/0!</v>
      </c>
      <c r="J13" s="480" t="e">
        <f>SUM(fin_model!L41,fin_model!L42,fin_model!L45)/fin_model!L51</f>
        <v>#DIV/0!</v>
      </c>
      <c r="K13" s="480" t="e">
        <f>SUM(fin_model!M41,fin_model!M42,fin_model!M45)/fin_model!M51</f>
        <v>#DIV/0!</v>
      </c>
      <c r="L13" s="480" t="e">
        <f>SUM(fin_model!N41,fin_model!N42,fin_model!N45)/fin_model!N51</f>
        <v>#DIV/0!</v>
      </c>
    </row>
    <row r="14" spans="1:18" x14ac:dyDescent="0.25">
      <c r="A14" s="121"/>
      <c r="B14" s="525" t="s">
        <v>411</v>
      </c>
      <c r="C14" s="525"/>
      <c r="D14" s="525"/>
      <c r="E14" s="525"/>
      <c r="F14" s="525"/>
      <c r="G14" s="525"/>
      <c r="H14" s="525"/>
      <c r="I14" s="525"/>
      <c r="J14" s="525"/>
      <c r="K14" s="525"/>
      <c r="L14" s="525"/>
    </row>
    <row r="15" spans="1:18" x14ac:dyDescent="0.25">
      <c r="A15" s="122" t="s">
        <v>412</v>
      </c>
      <c r="B15" s="478" t="e">
        <f>fin_model!D11/fin_model!D37</f>
        <v>#DIV/0!</v>
      </c>
      <c r="C15" s="478" t="e">
        <f>fin_model!E11/fin_model!E37</f>
        <v>#DIV/0!</v>
      </c>
      <c r="D15" s="478" t="e">
        <f>fin_model!F11/fin_model!F37</f>
        <v>#DIV/0!</v>
      </c>
      <c r="E15" s="478" t="e">
        <f>fin_model!G11/fin_model!G37</f>
        <v>#DIV/0!</v>
      </c>
      <c r="F15" s="478" t="e">
        <f>fin_model!H11/fin_model!H37</f>
        <v>#DIV/0!</v>
      </c>
      <c r="G15" s="480" t="e">
        <f>fin_model!I11/fin_model!I37</f>
        <v>#DIV/0!</v>
      </c>
      <c r="H15" s="480" t="e">
        <f>fin_model!J11/fin_model!J37</f>
        <v>#DIV/0!</v>
      </c>
      <c r="I15" s="480" t="e">
        <f>fin_model!K11/fin_model!K37</f>
        <v>#DIV/0!</v>
      </c>
      <c r="J15" s="480" t="e">
        <f>fin_model!L11/fin_model!L37</f>
        <v>#DIV/0!</v>
      </c>
      <c r="K15" s="480" t="e">
        <f>fin_model!M11/fin_model!M37</f>
        <v>#DIV/0!</v>
      </c>
      <c r="L15" s="480" t="e">
        <f>fin_model!N11/fin_model!N37</f>
        <v>#DIV/0!</v>
      </c>
    </row>
    <row r="16" spans="1:18" ht="15.6" customHeight="1" x14ac:dyDescent="0.25">
      <c r="A16" s="122" t="s">
        <v>413</v>
      </c>
      <c r="B16" s="478" t="e">
        <f>(365/(fin_model!D11/fin_model!D30))</f>
        <v>#DIV/0!</v>
      </c>
      <c r="C16" s="478" t="e">
        <f>(365/(fin_model!E11/fin_model!E30))</f>
        <v>#DIV/0!</v>
      </c>
      <c r="D16" s="478" t="e">
        <f>(365/(fin_model!F11/fin_model!F30))</f>
        <v>#DIV/0!</v>
      </c>
      <c r="E16" s="478" t="e">
        <f>(365/(fin_model!G11/fin_model!G30))</f>
        <v>#DIV/0!</v>
      </c>
      <c r="F16" s="478" t="e">
        <f>(365/(fin_model!H11/fin_model!H30))</f>
        <v>#DIV/0!</v>
      </c>
      <c r="G16" s="480" t="e">
        <f>(365/(fin_model!I11/fin_model!I30))</f>
        <v>#DIV/0!</v>
      </c>
      <c r="H16" s="480" t="e">
        <f>(365/(fin_model!J11/fin_model!J30))</f>
        <v>#DIV/0!</v>
      </c>
      <c r="I16" s="480" t="e">
        <f>(365/(fin_model!K11/fin_model!K30))</f>
        <v>#DIV/0!</v>
      </c>
      <c r="J16" s="480" t="e">
        <f>(365/(fin_model!L11/fin_model!L30))</f>
        <v>#DIV/0!</v>
      </c>
      <c r="K16" s="480" t="e">
        <f>(365/(fin_model!M11/fin_model!M30))</f>
        <v>#DIV/0!</v>
      </c>
      <c r="L16" s="480" t="e">
        <f>(365/(fin_model!N11/fin_model!N30))</f>
        <v>#DIV/0!</v>
      </c>
    </row>
    <row r="17" spans="1:18" ht="15.75" customHeight="1" x14ac:dyDescent="0.25">
      <c r="A17" s="122" t="s">
        <v>415</v>
      </c>
      <c r="B17" s="478" t="e">
        <f>-365/(fin_model!D12/fin_model!D40)</f>
        <v>#DIV/0!</v>
      </c>
      <c r="C17" s="478" t="e">
        <f>-365/(fin_model!E12/fin_model!E40)</f>
        <v>#DIV/0!</v>
      </c>
      <c r="D17" s="478" t="e">
        <f>-365/(fin_model!F12/fin_model!F40)</f>
        <v>#DIV/0!</v>
      </c>
      <c r="E17" s="478" t="e">
        <f>-365/(fin_model!G12/fin_model!G40)</f>
        <v>#DIV/0!</v>
      </c>
      <c r="F17" s="478" t="e">
        <f>-365/(fin_model!H12/fin_model!H40)</f>
        <v>#DIV/0!</v>
      </c>
      <c r="G17" s="480" t="e">
        <f>-365/(fin_model!I12/fin_model!I40)</f>
        <v>#DIV/0!</v>
      </c>
      <c r="H17" s="480" t="e">
        <f>-365/(fin_model!J12/fin_model!J40)</f>
        <v>#DIV/0!</v>
      </c>
      <c r="I17" s="480" t="e">
        <f>-365/(fin_model!K12/fin_model!K40)</f>
        <v>#DIV/0!</v>
      </c>
      <c r="J17" s="480" t="e">
        <f>-365/(fin_model!L12/fin_model!L40)</f>
        <v>#DIV/0!</v>
      </c>
      <c r="K17" s="480" t="e">
        <f>-365/(fin_model!M12/fin_model!M40)</f>
        <v>#DIV/0!</v>
      </c>
      <c r="L17" s="480" t="e">
        <f>-365/(fin_model!N12/fin_model!N40)</f>
        <v>#DIV/0!</v>
      </c>
    </row>
    <row r="18" spans="1:18" ht="31.5" customHeight="1" x14ac:dyDescent="0.25">
      <c r="A18" s="121"/>
      <c r="B18" s="518" t="s">
        <v>417</v>
      </c>
      <c r="C18" s="519"/>
      <c r="D18" s="519"/>
      <c r="E18" s="519"/>
      <c r="F18" s="519"/>
      <c r="G18" s="519"/>
      <c r="H18" s="519"/>
      <c r="I18" s="519"/>
      <c r="J18" s="519"/>
      <c r="K18" s="519"/>
      <c r="L18" s="520"/>
    </row>
    <row r="19" spans="1:18" x14ac:dyDescent="0.25">
      <c r="A19" s="118" t="s">
        <v>819</v>
      </c>
      <c r="B19" s="495" t="e">
        <f>(fin_model!D13/fin_model!D11)</f>
        <v>#DIV/0!</v>
      </c>
      <c r="C19" s="495" t="e">
        <f>(fin_model!E13/fin_model!E11)</f>
        <v>#DIV/0!</v>
      </c>
      <c r="D19" s="495" t="e">
        <f>(fin_model!F13/fin_model!F11)</f>
        <v>#DIV/0!</v>
      </c>
      <c r="E19" s="495" t="e">
        <f>(fin_model!G13/fin_model!G11)</f>
        <v>#DIV/0!</v>
      </c>
      <c r="F19" s="495" t="e">
        <f>(fin_model!H13/fin_model!H11)</f>
        <v>#DIV/0!</v>
      </c>
      <c r="G19" s="496" t="e">
        <f>(fin_model!I13/fin_model!I11)</f>
        <v>#DIV/0!</v>
      </c>
      <c r="H19" s="496" t="e">
        <f>(fin_model!J13/fin_model!J11)</f>
        <v>#DIV/0!</v>
      </c>
      <c r="I19" s="496" t="e">
        <f>(fin_model!K13/fin_model!K11)</f>
        <v>#DIV/0!</v>
      </c>
      <c r="J19" s="496" t="e">
        <f>(fin_model!L13/fin_model!L11)</f>
        <v>#DIV/0!</v>
      </c>
      <c r="K19" s="496" t="e">
        <f>(fin_model!M13/fin_model!M11)</f>
        <v>#DIV/0!</v>
      </c>
      <c r="L19" s="496" t="e">
        <f>(fin_model!N13/fin_model!N11)</f>
        <v>#DIV/0!</v>
      </c>
    </row>
    <row r="20" spans="1:18" x14ac:dyDescent="0.25">
      <c r="A20" s="122" t="s">
        <v>418</v>
      </c>
      <c r="B20" s="494" t="e">
        <f>fin_model!D15/fin_model!D11</f>
        <v>#DIV/0!</v>
      </c>
      <c r="C20" s="494" t="e">
        <f>fin_model!E15/fin_model!E11</f>
        <v>#DIV/0!</v>
      </c>
      <c r="D20" s="494" t="e">
        <f>fin_model!F15/fin_model!F11</f>
        <v>#DIV/0!</v>
      </c>
      <c r="E20" s="494" t="e">
        <f>fin_model!G15/fin_model!G11</f>
        <v>#DIV/0!</v>
      </c>
      <c r="F20" s="494" t="e">
        <f>fin_model!H15/fin_model!H11</f>
        <v>#DIV/0!</v>
      </c>
      <c r="G20" s="496" t="e">
        <f>fin_model!I15/fin_model!I11</f>
        <v>#DIV/0!</v>
      </c>
      <c r="H20" s="496" t="e">
        <f>fin_model!J15/fin_model!J11</f>
        <v>#DIV/0!</v>
      </c>
      <c r="I20" s="496" t="e">
        <f>fin_model!K15/fin_model!K11</f>
        <v>#DIV/0!</v>
      </c>
      <c r="J20" s="496" t="e">
        <f>fin_model!L15/fin_model!L11</f>
        <v>#DIV/0!</v>
      </c>
      <c r="K20" s="496" t="e">
        <f>fin_model!M15/fin_model!M11</f>
        <v>#DIV/0!</v>
      </c>
      <c r="L20" s="496" t="e">
        <f>fin_model!N15/fin_model!N11</f>
        <v>#DIV/0!</v>
      </c>
    </row>
    <row r="21" spans="1:18" x14ac:dyDescent="0.25">
      <c r="A21" s="122" t="s">
        <v>419</v>
      </c>
      <c r="B21" s="479" t="e">
        <f>fin_model!D23/fin_model!D11</f>
        <v>#DIV/0!</v>
      </c>
      <c r="C21" s="479" t="e">
        <f>fin_model!E23/fin_model!E11</f>
        <v>#DIV/0!</v>
      </c>
      <c r="D21" s="479" t="e">
        <f>fin_model!F23/fin_model!F11</f>
        <v>#DIV/0!</v>
      </c>
      <c r="E21" s="479" t="e">
        <f>fin_model!G23/fin_model!G11</f>
        <v>#DIV/0!</v>
      </c>
      <c r="F21" s="479" t="e">
        <f>fin_model!H23/fin_model!H11</f>
        <v>#DIV/0!</v>
      </c>
      <c r="G21" s="481" t="e">
        <f>fin_model!I23/fin_model!I11</f>
        <v>#DIV/0!</v>
      </c>
      <c r="H21" s="481" t="e">
        <f>fin_model!J23/fin_model!J11</f>
        <v>#DIV/0!</v>
      </c>
      <c r="I21" s="481" t="e">
        <f>fin_model!K23/fin_model!K11</f>
        <v>#DIV/0!</v>
      </c>
      <c r="J21" s="481" t="e">
        <f>fin_model!L23/fin_model!L11</f>
        <v>#DIV/0!</v>
      </c>
      <c r="K21" s="481" t="e">
        <f>fin_model!M23/fin_model!M11</f>
        <v>#DIV/0!</v>
      </c>
      <c r="L21" s="481" t="e">
        <f>fin_model!N23/fin_model!N11</f>
        <v>#DIV/0!</v>
      </c>
    </row>
    <row r="22" spans="1:18" x14ac:dyDescent="0.25">
      <c r="A22" s="122" t="s">
        <v>420</v>
      </c>
      <c r="B22" s="479" t="e">
        <f>fin_model!D23/fin_model!D37</f>
        <v>#DIV/0!</v>
      </c>
      <c r="C22" s="479" t="e">
        <f>((fin_model!E23+fin_model!F23)/2)/fin_model!E37</f>
        <v>#DIV/0!</v>
      </c>
      <c r="D22" s="479" t="e">
        <f>((fin_model!F23+fin_model!G23)/2)/fin_model!F37</f>
        <v>#DIV/0!</v>
      </c>
      <c r="E22" s="479" t="e">
        <f>((fin_model!G23+fin_model!H23)/2)/fin_model!G37</f>
        <v>#DIV/0!</v>
      </c>
      <c r="F22" s="479" t="e">
        <f>((fin_model!H23+fin_model!I23)/2)/fin_model!H37</f>
        <v>#DIV/0!</v>
      </c>
      <c r="G22" s="481" t="e">
        <f>((fin_model!I23+fin_model!H23)/2)/fin_model!I37</f>
        <v>#DIV/0!</v>
      </c>
      <c r="H22" s="481" t="e">
        <f>((fin_model!J23+fin_model!I23)/2)/fin_model!J37</f>
        <v>#DIV/0!</v>
      </c>
      <c r="I22" s="481" t="e">
        <f>((fin_model!K23+fin_model!J23)/2)/fin_model!K37</f>
        <v>#DIV/0!</v>
      </c>
      <c r="J22" s="481" t="e">
        <f>((fin_model!L23+fin_model!K23)/2)/fin_model!L37</f>
        <v>#DIV/0!</v>
      </c>
      <c r="K22" s="481" t="e">
        <f>((fin_model!M23+fin_model!L23)/2)/fin_model!M37</f>
        <v>#DIV/0!</v>
      </c>
      <c r="L22" s="481" t="e">
        <f>((fin_model!N23+fin_model!M23)/2)/fin_model!N37</f>
        <v>#DIV/0!</v>
      </c>
    </row>
    <row r="23" spans="1:18" ht="31.5" x14ac:dyDescent="0.25">
      <c r="A23" s="122" t="s">
        <v>421</v>
      </c>
      <c r="B23" s="479" t="e">
        <f>(fin_model!D15*(1-0.225))/SUM(fin_model!D41,fin_model!D42,fin_model!D45,fin_model!D51)</f>
        <v>#DIV/0!</v>
      </c>
      <c r="C23" s="479" t="e">
        <f>(fin_model!E15*(1-0.225))/SUM(fin_model!E41,fin_model!E42,fin_model!E45,fin_model!E51)</f>
        <v>#DIV/0!</v>
      </c>
      <c r="D23" s="479" t="e">
        <f>(fin_model!F15*(1-0.225))/SUM(fin_model!F41,fin_model!F42,fin_model!F45,fin_model!F51)</f>
        <v>#DIV/0!</v>
      </c>
      <c r="E23" s="479" t="e">
        <f>(fin_model!G15*(1-0.225))/SUM(fin_model!G41,fin_model!G42,fin_model!G45,fin_model!G51)</f>
        <v>#DIV/0!</v>
      </c>
      <c r="F23" s="479" t="e">
        <f>(fin_model!H15*(1-0.225))/SUM(fin_model!H41,fin_model!H42,fin_model!H45,fin_model!H51)</f>
        <v>#DIV/0!</v>
      </c>
      <c r="G23" s="481" t="e">
        <f>(fin_model!I15*(1-0.225))/SUM(fin_model!I41,fin_model!I42,fin_model!I45,fin_model!I51)</f>
        <v>#DIV/0!</v>
      </c>
      <c r="H23" s="481" t="e">
        <f>(fin_model!J15*(1-0.225))/SUM(fin_model!J41,fin_model!J42,fin_model!J45,fin_model!J51)</f>
        <v>#DIV/0!</v>
      </c>
      <c r="I23" s="481" t="e">
        <f>(fin_model!K15*(1-0.225))/SUM(fin_model!K41,fin_model!K42,fin_model!K45,fin_model!K51)</f>
        <v>#DIV/0!</v>
      </c>
      <c r="J23" s="481" t="e">
        <f>(fin_model!L15*(1-0.225))/SUM(fin_model!L41,fin_model!L42,fin_model!L45,fin_model!L51)</f>
        <v>#DIV/0!</v>
      </c>
      <c r="K23" s="481" t="e">
        <f>(fin_model!M15*(1-0.225))/SUM(fin_model!M41,fin_model!M42,fin_model!M45,fin_model!M51)</f>
        <v>#DIV/0!</v>
      </c>
      <c r="L23" s="481" t="e">
        <f>(fin_model!N15*(1-0.225))/SUM(fin_model!N41,fin_model!N42,fin_model!N45,fin_model!N51)</f>
        <v>#DIV/0!</v>
      </c>
      <c r="R23" s="266"/>
    </row>
    <row r="26" spans="1:18" x14ac:dyDescent="0.25">
      <c r="A26" s="122" t="s">
        <v>416</v>
      </c>
      <c r="B26" s="478" t="str">
        <f t="shared" ref="B26:L26" si="1">IFERROR(B28+B16-B17,"N/A")</f>
        <v>N/A</v>
      </c>
      <c r="C26" s="478" t="str">
        <f t="shared" si="1"/>
        <v>N/A</v>
      </c>
      <c r="D26" s="478" t="str">
        <f t="shared" si="1"/>
        <v>N/A</v>
      </c>
      <c r="E26" s="478" t="str">
        <f t="shared" si="1"/>
        <v>N/A</v>
      </c>
      <c r="F26" s="478" t="str">
        <f t="shared" si="1"/>
        <v>N/A</v>
      </c>
      <c r="G26" s="480" t="str">
        <f t="shared" si="1"/>
        <v>N/A</v>
      </c>
      <c r="H26" s="480" t="str">
        <f t="shared" si="1"/>
        <v>N/A</v>
      </c>
      <c r="I26" s="480" t="str">
        <f t="shared" si="1"/>
        <v>N/A</v>
      </c>
      <c r="J26" s="480" t="str">
        <f t="shared" si="1"/>
        <v>N/A</v>
      </c>
      <c r="K26" s="480" t="str">
        <f t="shared" si="1"/>
        <v>N/A</v>
      </c>
      <c r="L26" s="480" t="str">
        <f t="shared" si="1"/>
        <v>N/A</v>
      </c>
    </row>
    <row r="28" spans="1:18" ht="31.5" x14ac:dyDescent="0.25">
      <c r="A28" s="122" t="s">
        <v>414</v>
      </c>
      <c r="B28" s="478" t="str">
        <f>IFERROR(-365/(fin_model!D12/fin_model!D31), "No Inventory")</f>
        <v>No Inventory</v>
      </c>
      <c r="C28" s="478" t="str">
        <f>IFERROR(-365/(fin_model!E12/fin_model!E31), "No Inventory")</f>
        <v>No Inventory</v>
      </c>
      <c r="D28" s="478" t="str">
        <f>IFERROR(-365/(fin_model!F12/fin_model!F31), "No Inventory")</f>
        <v>No Inventory</v>
      </c>
      <c r="E28" s="478" t="str">
        <f>IFERROR(-365/(fin_model!G12/fin_model!G31), "No Inventory")</f>
        <v>No Inventory</v>
      </c>
      <c r="F28" s="478" t="str">
        <f>IFERROR(-365/(fin_model!H12/fin_model!H31), "No Inventory")</f>
        <v>No Inventory</v>
      </c>
      <c r="G28" s="480" t="str">
        <f>IFERROR(-365/(fin_model!I12/fin_model!I31), "No Inventory")</f>
        <v>No Inventory</v>
      </c>
      <c r="H28" s="480" t="str">
        <f>IFERROR(-365/(fin_model!J12/fin_model!J31), "No Inventory")</f>
        <v>No Inventory</v>
      </c>
      <c r="I28" s="480" t="str">
        <f>IFERROR(-365/(fin_model!K12/fin_model!K31), "No Inventory")</f>
        <v>No Inventory</v>
      </c>
      <c r="J28" s="480" t="str">
        <f>IFERROR(-365/(fin_model!L12/fin_model!L31), "No Inventory")</f>
        <v>No Inventory</v>
      </c>
      <c r="K28" s="480" t="str">
        <f>IFERROR(-365/(fin_model!M12/fin_model!M31), "No Inventory")</f>
        <v>No Inventory</v>
      </c>
      <c r="L28" s="480" t="str">
        <f>IFERROR(-365/(fin_model!N12/fin_model!N31), "No Inventory")</f>
        <v>No Inventory</v>
      </c>
    </row>
    <row r="34" spans="18:29" x14ac:dyDescent="0.25">
      <c r="R34" s="144"/>
      <c r="S34" s="526" t="s">
        <v>821</v>
      </c>
      <c r="T34" s="526"/>
      <c r="U34" s="526"/>
      <c r="V34" s="526"/>
      <c r="W34" s="527" t="str">
        <f>G4</f>
        <v>Forecast period</v>
      </c>
      <c r="X34" s="527"/>
      <c r="Y34" s="527"/>
      <c r="Z34" s="527"/>
      <c r="AA34" s="527"/>
      <c r="AB34" s="527"/>
    </row>
    <row r="35" spans="18:29" x14ac:dyDescent="0.25">
      <c r="R35" s="500"/>
      <c r="S35" s="504">
        <f>C5</f>
        <v>2021</v>
      </c>
      <c r="T35" s="504">
        <f>D5</f>
        <v>2022</v>
      </c>
      <c r="U35" s="504">
        <f>E5</f>
        <v>2023</v>
      </c>
      <c r="V35" s="504">
        <f>F5</f>
        <v>2024</v>
      </c>
      <c r="W35" s="509">
        <f>G5</f>
        <v>2025</v>
      </c>
      <c r="X35" s="509">
        <f>H5</f>
        <v>2026</v>
      </c>
      <c r="Y35" s="509">
        <f>I5</f>
        <v>2027</v>
      </c>
      <c r="Z35" s="509">
        <f>J5</f>
        <v>2028</v>
      </c>
      <c r="AA35" s="509">
        <f>K5</f>
        <v>2029</v>
      </c>
      <c r="AB35" s="509">
        <f>L5</f>
        <v>2030</v>
      </c>
    </row>
    <row r="36" spans="18:29" x14ac:dyDescent="0.25">
      <c r="R36" s="498"/>
      <c r="S36" s="524" t="s">
        <v>417</v>
      </c>
      <c r="T36" s="524"/>
      <c r="U36" s="524"/>
      <c r="V36" s="524"/>
      <c r="W36" s="524"/>
      <c r="X36" s="524"/>
      <c r="Y36" s="524"/>
      <c r="Z36" s="524"/>
      <c r="AA36" s="524"/>
      <c r="AB36" s="524"/>
    </row>
    <row r="37" spans="18:29" x14ac:dyDescent="0.25">
      <c r="R37" s="501" t="str">
        <f>A19</f>
        <v>Gross Margin</v>
      </c>
      <c r="S37" s="513" t="e">
        <f t="shared" ref="S37:AB39" si="2">C19</f>
        <v>#DIV/0!</v>
      </c>
      <c r="T37" s="513" t="e">
        <f t="shared" si="2"/>
        <v>#DIV/0!</v>
      </c>
      <c r="U37" s="513" t="e">
        <f t="shared" si="2"/>
        <v>#DIV/0!</v>
      </c>
      <c r="V37" s="513" t="e">
        <f t="shared" si="2"/>
        <v>#DIV/0!</v>
      </c>
      <c r="W37" s="510" t="e">
        <f t="shared" si="2"/>
        <v>#DIV/0!</v>
      </c>
      <c r="X37" s="510" t="e">
        <f t="shared" si="2"/>
        <v>#DIV/0!</v>
      </c>
      <c r="Y37" s="510" t="e">
        <f t="shared" si="2"/>
        <v>#DIV/0!</v>
      </c>
      <c r="Z37" s="510" t="e">
        <f t="shared" si="2"/>
        <v>#DIV/0!</v>
      </c>
      <c r="AA37" s="510" t="e">
        <f t="shared" si="2"/>
        <v>#DIV/0!</v>
      </c>
      <c r="AB37" s="510" t="e">
        <f t="shared" si="2"/>
        <v>#DIV/0!</v>
      </c>
    </row>
    <row r="38" spans="18:29" x14ac:dyDescent="0.25">
      <c r="R38" s="502" t="str">
        <f>A20</f>
        <v>Operating profit margin</v>
      </c>
      <c r="S38" s="505" t="e">
        <f t="shared" si="2"/>
        <v>#DIV/0!</v>
      </c>
      <c r="T38" s="505" t="e">
        <f t="shared" si="2"/>
        <v>#DIV/0!</v>
      </c>
      <c r="U38" s="505" t="e">
        <f t="shared" si="2"/>
        <v>#DIV/0!</v>
      </c>
      <c r="V38" s="505" t="e">
        <f t="shared" si="2"/>
        <v>#DIV/0!</v>
      </c>
      <c r="W38" s="510" t="e">
        <f t="shared" si="2"/>
        <v>#DIV/0!</v>
      </c>
      <c r="X38" s="510" t="e">
        <f t="shared" si="2"/>
        <v>#DIV/0!</v>
      </c>
      <c r="Y38" s="510" t="e">
        <f t="shared" si="2"/>
        <v>#DIV/0!</v>
      </c>
      <c r="Z38" s="510" t="e">
        <f t="shared" si="2"/>
        <v>#DIV/0!</v>
      </c>
      <c r="AA38" s="510" t="e">
        <f t="shared" si="2"/>
        <v>#DIV/0!</v>
      </c>
      <c r="AB38" s="510" t="e">
        <f t="shared" si="2"/>
        <v>#DIV/0!</v>
      </c>
    </row>
    <row r="39" spans="18:29" x14ac:dyDescent="0.25">
      <c r="R39" s="502" t="str">
        <f>A21</f>
        <v>Net profit margin</v>
      </c>
      <c r="S39" s="505" t="e">
        <f t="shared" si="2"/>
        <v>#DIV/0!</v>
      </c>
      <c r="T39" s="505" t="e">
        <f t="shared" si="2"/>
        <v>#DIV/0!</v>
      </c>
      <c r="U39" s="505" t="e">
        <f t="shared" si="2"/>
        <v>#DIV/0!</v>
      </c>
      <c r="V39" s="505" t="e">
        <f t="shared" si="2"/>
        <v>#DIV/0!</v>
      </c>
      <c r="W39" s="510" t="e">
        <f t="shared" si="2"/>
        <v>#DIV/0!</v>
      </c>
      <c r="X39" s="510" t="e">
        <f t="shared" si="2"/>
        <v>#DIV/0!</v>
      </c>
      <c r="Y39" s="510" t="e">
        <f t="shared" si="2"/>
        <v>#DIV/0!</v>
      </c>
      <c r="Z39" s="510" t="e">
        <f t="shared" si="2"/>
        <v>#DIV/0!</v>
      </c>
      <c r="AA39" s="510" t="e">
        <f t="shared" si="2"/>
        <v>#DIV/0!</v>
      </c>
      <c r="AB39" s="510" t="e">
        <f t="shared" si="2"/>
        <v>#DIV/0!</v>
      </c>
    </row>
    <row r="40" spans="18:29" x14ac:dyDescent="0.25">
      <c r="R40" s="499"/>
      <c r="S40" s="523" t="s">
        <v>404</v>
      </c>
      <c r="T40" s="523"/>
      <c r="U40" s="523"/>
      <c r="V40" s="523"/>
      <c r="W40" s="523"/>
      <c r="X40" s="523"/>
      <c r="Y40" s="523"/>
      <c r="Z40" s="523"/>
      <c r="AA40" s="523"/>
      <c r="AB40" s="523"/>
    </row>
    <row r="41" spans="18:29" ht="15.75" customHeight="1" x14ac:dyDescent="0.25">
      <c r="R41" s="502" t="str">
        <f>A7</f>
        <v>Current ratio</v>
      </c>
      <c r="S41" s="506" t="e">
        <f t="shared" ref="S41:AB42" si="3">C7</f>
        <v>#DIV/0!</v>
      </c>
      <c r="T41" s="506" t="e">
        <f t="shared" si="3"/>
        <v>#DIV/0!</v>
      </c>
      <c r="U41" s="506" t="e">
        <f t="shared" si="3"/>
        <v>#DIV/0!</v>
      </c>
      <c r="V41" s="506" t="e">
        <f t="shared" si="3"/>
        <v>#DIV/0!</v>
      </c>
      <c r="W41" s="511" t="e">
        <f t="shared" si="3"/>
        <v>#DIV/0!</v>
      </c>
      <c r="X41" s="511" t="e">
        <f t="shared" si="3"/>
        <v>#DIV/0!</v>
      </c>
      <c r="Y41" s="511" t="e">
        <f t="shared" si="3"/>
        <v>#DIV/0!</v>
      </c>
      <c r="Z41" s="511" t="e">
        <f t="shared" si="3"/>
        <v>#DIV/0!</v>
      </c>
      <c r="AA41" s="511" t="e">
        <f t="shared" si="3"/>
        <v>#DIV/0!</v>
      </c>
      <c r="AB41" s="511" t="e">
        <f t="shared" si="3"/>
        <v>#DIV/0!</v>
      </c>
    </row>
    <row r="42" spans="18:29" x14ac:dyDescent="0.25">
      <c r="R42" s="502" t="str">
        <f>A8</f>
        <v>Quick ratio</v>
      </c>
      <c r="S42" s="506" t="e">
        <f t="shared" si="3"/>
        <v>#DIV/0!</v>
      </c>
      <c r="T42" s="506" t="e">
        <f t="shared" si="3"/>
        <v>#DIV/0!</v>
      </c>
      <c r="U42" s="506" t="e">
        <f t="shared" si="3"/>
        <v>#DIV/0!</v>
      </c>
      <c r="V42" s="506" t="e">
        <f t="shared" si="3"/>
        <v>#DIV/0!</v>
      </c>
      <c r="W42" s="511" t="e">
        <f t="shared" si="3"/>
        <v>#DIV/0!</v>
      </c>
      <c r="X42" s="511" t="e">
        <f t="shared" si="3"/>
        <v>#DIV/0!</v>
      </c>
      <c r="Y42" s="511" t="e">
        <f t="shared" si="3"/>
        <v>#DIV/0!</v>
      </c>
      <c r="Z42" s="511" t="e">
        <f t="shared" si="3"/>
        <v>#DIV/0!</v>
      </c>
      <c r="AA42" s="511" t="e">
        <f t="shared" si="3"/>
        <v>#DIV/0!</v>
      </c>
      <c r="AB42" s="511" t="e">
        <f t="shared" si="3"/>
        <v>#DIV/0!</v>
      </c>
    </row>
    <row r="43" spans="18:29" x14ac:dyDescent="0.25">
      <c r="R43" s="499"/>
      <c r="S43" s="524" t="s">
        <v>409</v>
      </c>
      <c r="T43" s="524"/>
      <c r="U43" s="524"/>
      <c r="V43" s="524"/>
      <c r="W43" s="524"/>
      <c r="X43" s="524"/>
      <c r="Y43" s="524"/>
      <c r="Z43" s="524"/>
      <c r="AA43" s="524"/>
      <c r="AB43" s="524"/>
    </row>
    <row r="44" spans="18:29" ht="15.75" customHeight="1" x14ac:dyDescent="0.25">
      <c r="R44" s="502" t="str">
        <f>A12</f>
        <v>Debt to assets ratio</v>
      </c>
      <c r="S44" s="506" t="e">
        <f t="shared" ref="S44:AB45" si="4">C12</f>
        <v>#DIV/0!</v>
      </c>
      <c r="T44" s="506" t="e">
        <f t="shared" si="4"/>
        <v>#DIV/0!</v>
      </c>
      <c r="U44" s="506" t="e">
        <f t="shared" si="4"/>
        <v>#DIV/0!</v>
      </c>
      <c r="V44" s="506" t="e">
        <f t="shared" si="4"/>
        <v>#DIV/0!</v>
      </c>
      <c r="W44" s="511" t="e">
        <f t="shared" si="4"/>
        <v>#DIV/0!</v>
      </c>
      <c r="X44" s="511" t="e">
        <f t="shared" si="4"/>
        <v>#DIV/0!</v>
      </c>
      <c r="Y44" s="511" t="e">
        <f t="shared" si="4"/>
        <v>#DIV/0!</v>
      </c>
      <c r="Z44" s="511" t="e">
        <f t="shared" si="4"/>
        <v>#DIV/0!</v>
      </c>
      <c r="AA44" s="511" t="e">
        <f t="shared" si="4"/>
        <v>#DIV/0!</v>
      </c>
      <c r="AB44" s="511" t="e">
        <f t="shared" si="4"/>
        <v>#DIV/0!</v>
      </c>
    </row>
    <row r="45" spans="18:29" x14ac:dyDescent="0.25">
      <c r="R45" s="507" t="s">
        <v>822</v>
      </c>
      <c r="S45" s="508" t="e">
        <f t="shared" si="4"/>
        <v>#DIV/0!</v>
      </c>
      <c r="T45" s="508" t="e">
        <f t="shared" si="4"/>
        <v>#DIV/0!</v>
      </c>
      <c r="U45" s="508" t="e">
        <f t="shared" si="4"/>
        <v>#DIV/0!</v>
      </c>
      <c r="V45" s="508" t="e">
        <f t="shared" si="4"/>
        <v>#DIV/0!</v>
      </c>
      <c r="W45" s="512" t="e">
        <f t="shared" si="4"/>
        <v>#DIV/0!</v>
      </c>
      <c r="X45" s="512" t="e">
        <f t="shared" si="4"/>
        <v>#DIV/0!</v>
      </c>
      <c r="Y45" s="512" t="e">
        <f t="shared" si="4"/>
        <v>#DIV/0!</v>
      </c>
      <c r="Z45" s="512" t="e">
        <f t="shared" si="4"/>
        <v>#DIV/0!</v>
      </c>
      <c r="AA45" s="512" t="e">
        <f t="shared" si="4"/>
        <v>#DIV/0!</v>
      </c>
      <c r="AB45" s="512" t="e">
        <f t="shared" si="4"/>
        <v>#DIV/0!</v>
      </c>
    </row>
    <row r="46" spans="18:29" x14ac:dyDescent="0.25">
      <c r="AC46"/>
    </row>
  </sheetData>
  <mergeCells count="13">
    <mergeCell ref="A3:L3"/>
    <mergeCell ref="G4:L4"/>
    <mergeCell ref="B6:L6"/>
    <mergeCell ref="B9:L9"/>
    <mergeCell ref="B11:L11"/>
    <mergeCell ref="B18:L18"/>
    <mergeCell ref="B4:F4"/>
    <mergeCell ref="S40:AB40"/>
    <mergeCell ref="S43:AB43"/>
    <mergeCell ref="B14:L14"/>
    <mergeCell ref="S34:V34"/>
    <mergeCell ref="W34:AB34"/>
    <mergeCell ref="S36:AB36"/>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A576-2DCE-46AD-813E-FFC836B6FEB9}">
  <sheetPr>
    <tabColor rgb="FFBF8F00"/>
  </sheetPr>
  <dimension ref="A4:W52"/>
  <sheetViews>
    <sheetView topLeftCell="A39" workbookViewId="0">
      <selection activeCell="Q61" sqref="Q61"/>
    </sheetView>
  </sheetViews>
  <sheetFormatPr defaultRowHeight="15" x14ac:dyDescent="0.25"/>
  <cols>
    <col min="1" max="1" width="30" customWidth="1"/>
  </cols>
  <sheetData>
    <row r="4" spans="1:2" x14ac:dyDescent="0.25">
      <c r="A4" s="129" t="s">
        <v>422</v>
      </c>
    </row>
    <row r="5" spans="1:2" ht="20.25" x14ac:dyDescent="0.3">
      <c r="A5" s="423" t="s">
        <v>791</v>
      </c>
    </row>
    <row r="8" spans="1:2" ht="18" x14ac:dyDescent="0.25">
      <c r="A8" s="134" t="s">
        <v>423</v>
      </c>
    </row>
    <row r="9" spans="1:2" x14ac:dyDescent="0.25">
      <c r="A9" s="123" t="s">
        <v>424</v>
      </c>
      <c r="B9" s="123" t="s">
        <v>425</v>
      </c>
    </row>
    <row r="10" spans="1:2" x14ac:dyDescent="0.25">
      <c r="A10" s="124" t="s">
        <v>792</v>
      </c>
      <c r="B10" s="124" t="s">
        <v>793</v>
      </c>
    </row>
    <row r="11" spans="1:2" x14ac:dyDescent="0.25">
      <c r="A11" s="124"/>
    </row>
    <row r="12" spans="1:2" x14ac:dyDescent="0.25">
      <c r="A12" s="123" t="s">
        <v>426</v>
      </c>
      <c r="B12" s="123" t="s">
        <v>427</v>
      </c>
    </row>
    <row r="13" spans="1:2" x14ac:dyDescent="0.25">
      <c r="A13" s="124" t="s">
        <v>794</v>
      </c>
      <c r="B13" s="124" t="s">
        <v>795</v>
      </c>
    </row>
    <row r="14" spans="1:2" x14ac:dyDescent="0.25">
      <c r="A14" s="124"/>
    </row>
    <row r="15" spans="1:2" x14ac:dyDescent="0.25">
      <c r="A15" s="123" t="s">
        <v>796</v>
      </c>
      <c r="B15" s="123" t="s">
        <v>428</v>
      </c>
    </row>
    <row r="16" spans="1:2" x14ac:dyDescent="0.25">
      <c r="A16" s="124" t="s">
        <v>797</v>
      </c>
      <c r="B16" s="124" t="s">
        <v>798</v>
      </c>
    </row>
    <row r="17" spans="1:2" x14ac:dyDescent="0.25">
      <c r="A17" s="124"/>
    </row>
    <row r="18" spans="1:2" x14ac:dyDescent="0.25">
      <c r="A18" s="123" t="s">
        <v>429</v>
      </c>
      <c r="B18" s="123" t="s">
        <v>430</v>
      </c>
    </row>
    <row r="19" spans="1:2" x14ac:dyDescent="0.25">
      <c r="A19" s="124" t="s">
        <v>799</v>
      </c>
      <c r="B19" s="124" t="s">
        <v>800</v>
      </c>
    </row>
    <row r="20" spans="1:2" x14ac:dyDescent="0.25">
      <c r="A20" s="124"/>
    </row>
    <row r="21" spans="1:2" x14ac:dyDescent="0.25">
      <c r="A21" s="123" t="s">
        <v>431</v>
      </c>
      <c r="B21" s="123" t="s">
        <v>432</v>
      </c>
    </row>
    <row r="22" spans="1:2" x14ac:dyDescent="0.25">
      <c r="A22" s="124" t="s">
        <v>433</v>
      </c>
      <c r="B22" s="124" t="s">
        <v>801</v>
      </c>
    </row>
    <row r="23" spans="1:2" x14ac:dyDescent="0.25">
      <c r="A23" s="124"/>
    </row>
    <row r="24" spans="1:2" x14ac:dyDescent="0.25">
      <c r="A24" s="123" t="s">
        <v>434</v>
      </c>
      <c r="B24" s="123" t="s">
        <v>435</v>
      </c>
    </row>
    <row r="25" spans="1:2" x14ac:dyDescent="0.25">
      <c r="A25" s="124" t="s">
        <v>802</v>
      </c>
      <c r="B25" s="124" t="s">
        <v>803</v>
      </c>
    </row>
    <row r="26" spans="1:2" x14ac:dyDescent="0.25">
      <c r="A26" s="124"/>
    </row>
    <row r="27" spans="1:2" x14ac:dyDescent="0.25">
      <c r="A27" s="123" t="s">
        <v>436</v>
      </c>
      <c r="B27" s="124"/>
    </row>
    <row r="28" spans="1:2" x14ac:dyDescent="0.25">
      <c r="A28" s="124" t="s">
        <v>804</v>
      </c>
      <c r="B28" s="124"/>
    </row>
    <row r="29" spans="1:2" x14ac:dyDescent="0.25">
      <c r="A29" s="124"/>
    </row>
    <row r="31" spans="1:2" ht="18" x14ac:dyDescent="0.25">
      <c r="A31" s="134" t="s">
        <v>437</v>
      </c>
    </row>
    <row r="32" spans="1:2" ht="135" x14ac:dyDescent="0.25">
      <c r="A32" s="125" t="s">
        <v>805</v>
      </c>
    </row>
    <row r="33" spans="1:23" ht="135" x14ac:dyDescent="0.25">
      <c r="A33" s="125" t="s">
        <v>806</v>
      </c>
    </row>
    <row r="34" spans="1:23" ht="90" x14ac:dyDescent="0.25">
      <c r="A34" s="125" t="s">
        <v>807</v>
      </c>
    </row>
    <row r="36" spans="1:23" ht="25.5" x14ac:dyDescent="0.25">
      <c r="A36" s="135" t="s">
        <v>438</v>
      </c>
    </row>
    <row r="38" spans="1:23" x14ac:dyDescent="0.25">
      <c r="A38" s="123" t="s">
        <v>439</v>
      </c>
      <c r="B38" s="123" t="s">
        <v>440</v>
      </c>
    </row>
    <row r="39" spans="1:23" x14ac:dyDescent="0.25">
      <c r="A39" s="123" t="s">
        <v>441</v>
      </c>
      <c r="B39" s="123" t="s">
        <v>442</v>
      </c>
    </row>
    <row r="41" spans="1:23" ht="51" x14ac:dyDescent="0.25">
      <c r="A41" s="123" t="s">
        <v>443</v>
      </c>
      <c r="B41" s="130" t="s">
        <v>444</v>
      </c>
      <c r="D41" s="130" t="s">
        <v>445</v>
      </c>
      <c r="F41" s="130" t="s">
        <v>446</v>
      </c>
      <c r="H41" s="130" t="s">
        <v>447</v>
      </c>
      <c r="J41" s="130" t="s">
        <v>448</v>
      </c>
      <c r="L41" s="130" t="s">
        <v>449</v>
      </c>
      <c r="N41" s="130" t="s">
        <v>450</v>
      </c>
      <c r="P41" s="130" t="s">
        <v>451</v>
      </c>
      <c r="R41" s="130" t="s">
        <v>452</v>
      </c>
      <c r="T41" s="130" t="s">
        <v>453</v>
      </c>
      <c r="V41" s="130" t="s">
        <v>454</v>
      </c>
    </row>
    <row r="42" spans="1:23" x14ac:dyDescent="0.25">
      <c r="A42" s="124"/>
      <c r="B42" s="128"/>
      <c r="C42" s="128"/>
      <c r="D42" s="128"/>
      <c r="E42" s="128"/>
      <c r="F42" s="127"/>
      <c r="G42" s="128"/>
      <c r="H42" s="128"/>
      <c r="I42" s="128"/>
      <c r="J42" s="128"/>
      <c r="K42" s="128"/>
      <c r="L42" s="424"/>
      <c r="M42" s="128"/>
      <c r="N42" s="128"/>
      <c r="O42" s="128"/>
      <c r="P42" s="127"/>
      <c r="Q42" s="128"/>
      <c r="R42" s="424"/>
      <c r="S42" s="128"/>
      <c r="T42" s="127"/>
      <c r="U42" s="128"/>
      <c r="V42" s="128"/>
      <c r="W42" s="128"/>
    </row>
    <row r="43" spans="1:23" x14ac:dyDescent="0.25">
      <c r="A43" s="124"/>
      <c r="B43" s="128"/>
      <c r="C43" s="128"/>
      <c r="D43" s="128"/>
      <c r="E43" s="128"/>
      <c r="F43" s="127"/>
      <c r="G43" s="128"/>
      <c r="H43" s="128"/>
      <c r="I43" s="128"/>
      <c r="J43" s="128"/>
      <c r="K43" s="128"/>
      <c r="L43" s="127"/>
      <c r="M43" s="128"/>
      <c r="N43" s="128"/>
      <c r="O43" s="128"/>
      <c r="P43" s="127"/>
      <c r="Q43" s="128"/>
      <c r="R43" s="127"/>
      <c r="S43" s="128"/>
      <c r="T43" s="127"/>
      <c r="U43" s="128"/>
      <c r="V43" s="128"/>
      <c r="W43" s="128"/>
    </row>
    <row r="44" spans="1:23" x14ac:dyDescent="0.25">
      <c r="A44" s="124"/>
      <c r="B44" s="128"/>
      <c r="C44" s="128"/>
      <c r="D44" s="128"/>
      <c r="E44" s="128"/>
      <c r="F44" s="127"/>
      <c r="G44" s="128"/>
      <c r="H44" s="128"/>
      <c r="I44" s="128"/>
      <c r="J44" s="128"/>
      <c r="K44" s="128"/>
      <c r="L44" s="424"/>
      <c r="M44" s="128"/>
      <c r="N44" s="128"/>
      <c r="O44" s="128"/>
      <c r="P44" s="424"/>
      <c r="Q44" s="128"/>
      <c r="R44" s="424"/>
      <c r="S44" s="128"/>
      <c r="T44" s="127"/>
      <c r="U44" s="128"/>
      <c r="V44" s="128"/>
      <c r="W44" s="128"/>
    </row>
    <row r="45" spans="1:23" x14ac:dyDescent="0.25">
      <c r="A45" s="124"/>
      <c r="B45" s="127"/>
      <c r="C45" s="128"/>
      <c r="D45" s="127"/>
      <c r="E45" s="128"/>
      <c r="F45" s="127"/>
      <c r="G45" s="128"/>
      <c r="H45" s="128"/>
      <c r="I45" s="128"/>
      <c r="J45" s="127"/>
      <c r="K45" s="128"/>
      <c r="L45" s="424"/>
      <c r="M45" s="128"/>
      <c r="N45" s="424"/>
      <c r="O45" s="128"/>
      <c r="P45" s="424"/>
      <c r="Q45" s="128"/>
      <c r="R45" s="424"/>
      <c r="S45" s="128"/>
      <c r="T45" s="127"/>
      <c r="U45" s="128"/>
      <c r="V45" s="127"/>
      <c r="W45" s="128"/>
    </row>
    <row r="46" spans="1:23" x14ac:dyDescent="0.25">
      <c r="A46" s="124"/>
      <c r="B46" s="128"/>
      <c r="C46" s="128"/>
      <c r="D46" s="128"/>
      <c r="E46" s="128"/>
      <c r="F46" s="127"/>
      <c r="G46" s="128"/>
      <c r="H46" s="128"/>
      <c r="I46" s="128"/>
      <c r="J46" s="128"/>
      <c r="K46" s="128"/>
      <c r="L46" s="424"/>
      <c r="M46" s="128"/>
      <c r="N46" s="128"/>
      <c r="O46" s="128"/>
      <c r="P46" s="424"/>
      <c r="Q46" s="128"/>
      <c r="R46" s="424"/>
      <c r="S46" s="128"/>
      <c r="T46" s="127"/>
      <c r="U46" s="128"/>
      <c r="V46" s="128"/>
      <c r="W46" s="128"/>
    </row>
    <row r="47" spans="1:23" x14ac:dyDescent="0.25">
      <c r="A47" s="124"/>
      <c r="B47" s="128"/>
      <c r="C47" s="128"/>
      <c r="D47" s="128"/>
      <c r="E47" s="128"/>
      <c r="F47" s="127"/>
      <c r="G47" s="128"/>
      <c r="H47" s="128"/>
      <c r="I47" s="128"/>
      <c r="J47" s="128"/>
      <c r="K47" s="128"/>
      <c r="L47" s="424"/>
      <c r="M47" s="128"/>
      <c r="N47" s="128"/>
      <c r="O47" s="128"/>
      <c r="P47" s="127"/>
      <c r="Q47" s="128"/>
      <c r="R47" s="424"/>
      <c r="S47" s="128"/>
      <c r="T47" s="127"/>
      <c r="U47" s="128"/>
      <c r="V47" s="128"/>
      <c r="W47" s="128"/>
    </row>
    <row r="48" spans="1:23" x14ac:dyDescent="0.25">
      <c r="A48" s="124"/>
      <c r="B48" s="127"/>
      <c r="C48" s="128"/>
      <c r="D48" s="127"/>
      <c r="E48" s="128"/>
      <c r="F48" s="127"/>
      <c r="G48" s="128"/>
      <c r="H48" s="127"/>
      <c r="I48" s="128"/>
      <c r="J48" s="127"/>
      <c r="K48" s="128"/>
      <c r="L48" s="424"/>
      <c r="M48" s="128"/>
      <c r="N48" s="424"/>
      <c r="O48" s="128"/>
      <c r="P48" s="127"/>
      <c r="Q48" s="128"/>
      <c r="R48" s="424"/>
      <c r="S48" s="128"/>
      <c r="T48" s="127"/>
      <c r="U48" s="128"/>
      <c r="V48" s="127"/>
      <c r="W48" s="128"/>
    </row>
    <row r="49" spans="1:23" x14ac:dyDescent="0.25">
      <c r="A49" s="124"/>
      <c r="B49" s="128"/>
      <c r="C49" s="128"/>
      <c r="D49" s="128"/>
      <c r="E49" s="128"/>
      <c r="F49" s="127"/>
      <c r="G49" s="128"/>
      <c r="H49" s="128"/>
      <c r="I49" s="128"/>
      <c r="J49" s="128"/>
      <c r="K49" s="128"/>
      <c r="L49" s="424"/>
      <c r="M49" s="128"/>
      <c r="N49" s="128"/>
      <c r="O49" s="128"/>
      <c r="P49" s="127"/>
      <c r="Q49" s="128"/>
      <c r="R49" s="424"/>
      <c r="S49" s="128"/>
      <c r="T49" s="127"/>
      <c r="U49" s="128"/>
      <c r="V49" s="128"/>
      <c r="W49" s="128"/>
    </row>
    <row r="50" spans="1:23" x14ac:dyDescent="0.25">
      <c r="A50" s="124"/>
      <c r="B50" s="128"/>
      <c r="C50" s="128"/>
      <c r="D50" s="128"/>
      <c r="E50" s="128"/>
      <c r="F50" s="127"/>
      <c r="G50" s="128"/>
      <c r="H50" s="128"/>
      <c r="I50" s="128"/>
      <c r="J50" s="128"/>
      <c r="K50" s="128"/>
      <c r="L50" s="127"/>
      <c r="M50" s="128"/>
      <c r="N50" s="128"/>
      <c r="O50" s="128"/>
      <c r="P50" s="127"/>
      <c r="Q50" s="128"/>
      <c r="R50" s="127"/>
      <c r="S50" s="128"/>
      <c r="T50" s="127"/>
      <c r="U50" s="128"/>
      <c r="V50" s="128"/>
      <c r="W50" s="128"/>
    </row>
    <row r="51" spans="1:23" x14ac:dyDescent="0.25">
      <c r="A51" s="124"/>
      <c r="B51" s="127"/>
      <c r="C51" s="128"/>
      <c r="D51" s="127"/>
      <c r="E51" s="128"/>
      <c r="F51" s="127"/>
      <c r="G51" s="128"/>
      <c r="H51" s="128"/>
      <c r="I51" s="128"/>
      <c r="J51" s="127"/>
      <c r="K51" s="128"/>
      <c r="L51" s="127"/>
      <c r="M51" s="128"/>
      <c r="N51" s="127"/>
      <c r="O51" s="128"/>
      <c r="P51" s="127"/>
      <c r="Q51" s="128"/>
      <c r="R51" s="127"/>
      <c r="S51" s="128"/>
      <c r="T51" s="127"/>
      <c r="U51" s="128"/>
      <c r="V51" s="127"/>
      <c r="W51" s="128"/>
    </row>
    <row r="52" spans="1:23" x14ac:dyDescent="0.25">
      <c r="A52" s="124"/>
      <c r="B52" s="128"/>
      <c r="C52" s="128"/>
      <c r="D52" s="128"/>
      <c r="E52" s="128"/>
      <c r="F52" s="127"/>
      <c r="G52" s="128"/>
      <c r="H52" s="128"/>
      <c r="I52" s="128"/>
      <c r="J52" s="128"/>
      <c r="K52" s="128"/>
      <c r="L52" s="424"/>
      <c r="M52" s="128"/>
      <c r="N52" s="128"/>
      <c r="O52" s="128"/>
      <c r="P52" s="127"/>
      <c r="Q52" s="128"/>
      <c r="R52" s="424"/>
      <c r="S52" s="128"/>
      <c r="T52" s="127"/>
      <c r="U52" s="128"/>
      <c r="V52" s="128"/>
      <c r="W52" s="128"/>
    </row>
  </sheetData>
  <pageMargins left="0.70000000000000007" right="0.70000000000000007" top="0.75" bottom="0.75" header="0.30000000000000004" footer="0.30000000000000004"/>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139F-D6D1-4211-9718-9F5BFB976371}">
  <sheetPr>
    <tabColor rgb="FFBF8F00"/>
  </sheetPr>
  <dimension ref="A1:W36"/>
  <sheetViews>
    <sheetView topLeftCell="A6" workbookViewId="0">
      <selection activeCell="M35" sqref="M35:M36"/>
    </sheetView>
  </sheetViews>
  <sheetFormatPr defaultRowHeight="15" x14ac:dyDescent="0.25"/>
  <cols>
    <col min="1" max="1" width="45.7109375" bestFit="1" customWidth="1"/>
    <col min="2" max="10" width="9.140625" customWidth="1"/>
    <col min="11" max="11" width="12" bestFit="1" customWidth="1"/>
    <col min="12" max="12" width="9.140625" customWidth="1"/>
    <col min="13" max="13" width="15.7109375" bestFit="1" customWidth="1"/>
    <col min="14" max="14" width="9.140625" customWidth="1"/>
  </cols>
  <sheetData>
    <row r="1" spans="1:23" x14ac:dyDescent="0.25">
      <c r="A1" s="129"/>
    </row>
    <row r="2" spans="1:23" x14ac:dyDescent="0.25">
      <c r="A2" s="123" t="s">
        <v>455</v>
      </c>
    </row>
    <row r="3" spans="1:23" x14ac:dyDescent="0.25">
      <c r="A3" s="123" t="s">
        <v>439</v>
      </c>
      <c r="B3" s="123" t="s">
        <v>440</v>
      </c>
    </row>
    <row r="4" spans="1:23" x14ac:dyDescent="0.25">
      <c r="A4" s="123" t="s">
        <v>441</v>
      </c>
      <c r="B4" s="123" t="s">
        <v>456</v>
      </c>
    </row>
    <row r="6" spans="1:23" ht="51" x14ac:dyDescent="0.25">
      <c r="A6" s="123" t="s">
        <v>443</v>
      </c>
      <c r="B6" s="130" t="s">
        <v>444</v>
      </c>
      <c r="D6" s="130" t="s">
        <v>445</v>
      </c>
      <c r="F6" s="130" t="s">
        <v>446</v>
      </c>
      <c r="H6" s="130" t="s">
        <v>447</v>
      </c>
      <c r="J6" s="130" t="s">
        <v>448</v>
      </c>
      <c r="L6" s="130" t="s">
        <v>449</v>
      </c>
      <c r="N6" s="130" t="s">
        <v>450</v>
      </c>
      <c r="P6" s="130" t="s">
        <v>451</v>
      </c>
      <c r="R6" s="130" t="s">
        <v>452</v>
      </c>
      <c r="T6" s="130" t="s">
        <v>453</v>
      </c>
      <c r="V6" s="130" t="s">
        <v>454</v>
      </c>
    </row>
    <row r="7" spans="1:23" x14ac:dyDescent="0.25">
      <c r="A7" s="131"/>
      <c r="B7" s="126"/>
      <c r="C7" s="126"/>
      <c r="D7" s="126"/>
      <c r="E7" s="126"/>
      <c r="F7" s="126"/>
      <c r="G7" s="126"/>
      <c r="H7" s="126"/>
      <c r="I7" s="126"/>
      <c r="J7" s="126"/>
      <c r="K7" s="126"/>
      <c r="L7" s="126"/>
      <c r="M7" s="126"/>
      <c r="N7" s="126"/>
      <c r="O7" s="126"/>
      <c r="P7" s="126"/>
      <c r="Q7" s="126"/>
      <c r="R7" s="126"/>
      <c r="S7" s="126"/>
      <c r="T7" s="126"/>
      <c r="U7" s="126"/>
      <c r="V7" s="126"/>
      <c r="W7" s="126"/>
    </row>
    <row r="8" spans="1:23" x14ac:dyDescent="0.25">
      <c r="A8" s="131"/>
      <c r="B8" s="126"/>
      <c r="C8" s="126"/>
      <c r="D8" s="126"/>
      <c r="E8" s="126"/>
      <c r="F8" s="126"/>
      <c r="G8" s="126"/>
      <c r="H8" s="126"/>
      <c r="I8" s="126"/>
      <c r="J8" s="126"/>
      <c r="K8" s="126"/>
      <c r="L8" s="126"/>
      <c r="M8" s="126"/>
      <c r="N8" s="126"/>
      <c r="O8" s="126"/>
      <c r="P8" s="126"/>
      <c r="Q8" s="126"/>
      <c r="R8" s="126"/>
      <c r="S8" s="126"/>
      <c r="T8" s="126"/>
      <c r="U8" s="126"/>
      <c r="V8" s="126"/>
      <c r="W8" s="126"/>
    </row>
    <row r="9" spans="1:23" x14ac:dyDescent="0.25">
      <c r="A9" s="131"/>
      <c r="B9" s="126"/>
      <c r="C9" s="126"/>
      <c r="D9" s="126"/>
      <c r="E9" s="126"/>
      <c r="F9" s="126"/>
      <c r="G9" s="126"/>
      <c r="H9" s="126"/>
      <c r="I9" s="126"/>
      <c r="J9" s="126"/>
      <c r="K9" s="126"/>
      <c r="L9" s="126"/>
      <c r="M9" s="126"/>
      <c r="N9" s="126"/>
      <c r="O9" s="126"/>
      <c r="P9" s="126"/>
      <c r="Q9" s="126"/>
      <c r="R9" s="126"/>
      <c r="S9" s="126"/>
      <c r="T9" s="126"/>
      <c r="U9" s="126"/>
      <c r="V9" s="126"/>
      <c r="W9" s="126"/>
    </row>
    <row r="10" spans="1:23" x14ac:dyDescent="0.25">
      <c r="A10" s="131"/>
      <c r="B10" s="126"/>
      <c r="C10" s="126"/>
      <c r="D10" s="126"/>
      <c r="E10" s="126"/>
      <c r="F10" s="126"/>
      <c r="G10" s="126"/>
      <c r="H10" s="126"/>
      <c r="I10" s="126"/>
      <c r="J10" s="126"/>
      <c r="K10" s="126"/>
      <c r="L10" s="126"/>
      <c r="M10" s="126"/>
      <c r="N10" s="126"/>
      <c r="O10" s="126"/>
      <c r="P10" s="126"/>
      <c r="Q10" s="126"/>
      <c r="R10" s="126"/>
      <c r="S10" s="126"/>
      <c r="T10" s="126"/>
      <c r="U10" s="126"/>
      <c r="V10" s="126"/>
      <c r="W10" s="126"/>
    </row>
    <row r="11" spans="1:23" x14ac:dyDescent="0.25">
      <c r="A11" s="131"/>
      <c r="B11" s="126"/>
      <c r="C11" s="126"/>
      <c r="D11" s="126"/>
      <c r="E11" s="126"/>
      <c r="F11" s="126"/>
      <c r="G11" s="126"/>
      <c r="H11" s="126"/>
      <c r="I11" s="126"/>
      <c r="J11" s="126"/>
      <c r="K11" s="126"/>
      <c r="L11" s="126"/>
      <c r="M11" s="126"/>
      <c r="N11" s="126"/>
      <c r="O11" s="126"/>
      <c r="P11" s="126"/>
      <c r="Q11" s="126"/>
      <c r="R11" s="126"/>
      <c r="S11" s="126"/>
      <c r="T11" s="126"/>
      <c r="U11" s="126"/>
      <c r="V11" s="126"/>
      <c r="W11" s="126"/>
    </row>
    <row r="12" spans="1:23" x14ac:dyDescent="0.25">
      <c r="A12" s="131"/>
      <c r="B12" s="126"/>
      <c r="C12" s="126"/>
      <c r="D12" s="126"/>
      <c r="E12" s="126"/>
      <c r="F12" s="126"/>
      <c r="G12" s="126"/>
      <c r="H12" s="126"/>
      <c r="I12" s="126"/>
      <c r="J12" s="126"/>
      <c r="K12" s="126"/>
      <c r="L12" s="126"/>
      <c r="M12" s="126"/>
      <c r="N12" s="126"/>
      <c r="O12" s="126"/>
      <c r="P12" s="126"/>
      <c r="Q12" s="126"/>
      <c r="R12" s="126"/>
      <c r="S12" s="126"/>
      <c r="T12" s="126"/>
      <c r="U12" s="126"/>
      <c r="V12" s="126"/>
      <c r="W12" s="126"/>
    </row>
    <row r="13" spans="1:23" x14ac:dyDescent="0.25">
      <c r="A13" s="131"/>
      <c r="B13" s="126"/>
      <c r="C13" s="126"/>
      <c r="D13" s="126"/>
      <c r="E13" s="126"/>
      <c r="F13" s="126"/>
      <c r="G13" s="126"/>
      <c r="H13" s="126"/>
      <c r="I13" s="126"/>
      <c r="J13" s="126"/>
      <c r="K13" s="126"/>
      <c r="L13" s="126"/>
      <c r="M13" s="126"/>
      <c r="N13" s="126"/>
      <c r="O13" s="126"/>
      <c r="P13" s="126"/>
      <c r="Q13" s="126"/>
      <c r="R13" s="126"/>
      <c r="S13" s="126"/>
      <c r="T13" s="126"/>
      <c r="U13" s="126"/>
      <c r="V13" s="126"/>
      <c r="W13" s="126"/>
    </row>
    <row r="14" spans="1:23" x14ac:dyDescent="0.25">
      <c r="A14" s="131"/>
      <c r="B14" s="126"/>
      <c r="C14" s="126"/>
      <c r="D14" s="126"/>
      <c r="E14" s="126"/>
      <c r="F14" s="126"/>
      <c r="G14" s="126"/>
      <c r="H14" s="126"/>
      <c r="I14" s="126"/>
      <c r="J14" s="126"/>
      <c r="K14" s="126"/>
      <c r="L14" s="126"/>
      <c r="M14" s="126"/>
      <c r="N14" s="126"/>
      <c r="O14" s="126"/>
      <c r="P14" s="126"/>
      <c r="Q14" s="126"/>
      <c r="R14" s="126"/>
      <c r="S14" s="126"/>
      <c r="T14" s="126"/>
      <c r="U14" s="126"/>
      <c r="V14" s="126"/>
      <c r="W14" s="126"/>
    </row>
    <row r="15" spans="1:23" x14ac:dyDescent="0.25">
      <c r="A15" s="131"/>
      <c r="B15" s="126"/>
      <c r="C15" s="126"/>
      <c r="D15" s="126"/>
      <c r="E15" s="126"/>
      <c r="F15" s="126"/>
      <c r="G15" s="126"/>
      <c r="H15" s="126"/>
      <c r="I15" s="126"/>
      <c r="J15" s="126"/>
      <c r="K15" s="126"/>
      <c r="L15" s="126"/>
      <c r="M15" s="126"/>
      <c r="N15" s="126"/>
      <c r="O15" s="126"/>
      <c r="P15" s="126"/>
      <c r="Q15" s="126"/>
      <c r="R15" s="126"/>
      <c r="S15" s="126"/>
      <c r="T15" s="126"/>
      <c r="U15" s="126"/>
      <c r="V15" s="126"/>
      <c r="W15" s="126"/>
    </row>
    <row r="18" spans="1:23" x14ac:dyDescent="0.25">
      <c r="A18" s="131"/>
      <c r="B18" s="126"/>
      <c r="C18" s="126"/>
      <c r="D18" s="126"/>
      <c r="E18" s="126"/>
      <c r="F18" s="126"/>
      <c r="G18" s="126"/>
      <c r="H18" s="126"/>
      <c r="I18" s="126"/>
      <c r="J18" s="126"/>
      <c r="K18" s="126"/>
      <c r="L18" s="126"/>
      <c r="M18" s="126"/>
      <c r="N18" s="126"/>
      <c r="O18" s="126"/>
      <c r="P18" s="126"/>
      <c r="Q18" s="126"/>
      <c r="R18" s="126"/>
      <c r="S18" s="126"/>
      <c r="T18" s="126"/>
      <c r="U18" s="126"/>
      <c r="V18" s="126"/>
      <c r="W18" s="126"/>
    </row>
    <row r="20" spans="1:23" x14ac:dyDescent="0.25">
      <c r="A20" t="s">
        <v>457</v>
      </c>
      <c r="B20" s="132" t="e">
        <f>_xlfn.PERCENTILE.INC(B7:B15,0.25)</f>
        <v>#NUM!</v>
      </c>
      <c r="C20" s="132"/>
      <c r="D20" s="132" t="e">
        <f>_xlfn.PERCENTILE.INC(D7:D15,0.25)</f>
        <v>#NUM!</v>
      </c>
      <c r="E20" s="132"/>
      <c r="F20" s="132" t="e">
        <f>_xlfn.PERCENTILE.INC(F7:F15,0.25)</f>
        <v>#NUM!</v>
      </c>
      <c r="G20" s="132"/>
      <c r="H20" s="132" t="e">
        <f>_xlfn.PERCENTILE.INC(H7:H15,0.25)</f>
        <v>#NUM!</v>
      </c>
      <c r="I20" s="132"/>
      <c r="J20" s="132" t="e">
        <f>_xlfn.PERCENTILE.INC(J7:J15,0.25)</f>
        <v>#NUM!</v>
      </c>
      <c r="K20" s="132"/>
      <c r="L20" s="132" t="e">
        <f>_xlfn.PERCENTILE.INC(L7:L15,0.25)</f>
        <v>#NUM!</v>
      </c>
      <c r="M20" s="132"/>
      <c r="N20" s="132" t="e">
        <f>_xlfn.PERCENTILE.INC(N7:N15,0.25)</f>
        <v>#NUM!</v>
      </c>
      <c r="O20" s="132"/>
      <c r="P20" s="132" t="e">
        <f>_xlfn.PERCENTILE.INC(P7:P15,0.25)</f>
        <v>#NUM!</v>
      </c>
      <c r="Q20" s="132"/>
      <c r="R20" s="132" t="e">
        <f>_xlfn.PERCENTILE.INC(R7:R15,0.25)</f>
        <v>#NUM!</v>
      </c>
      <c r="S20" s="132"/>
      <c r="T20" s="132" t="e">
        <f>_xlfn.PERCENTILE.INC(T7:T15,0.25)</f>
        <v>#NUM!</v>
      </c>
      <c r="U20" s="132"/>
      <c r="V20" s="132" t="e">
        <f>_xlfn.PERCENTILE.INC(V7:V15,0.25)</f>
        <v>#NUM!</v>
      </c>
    </row>
    <row r="21" spans="1:23" x14ac:dyDescent="0.25">
      <c r="A21" t="s">
        <v>458</v>
      </c>
      <c r="B21" s="133" t="e">
        <f>MEDIAN(B7:B15)</f>
        <v>#NUM!</v>
      </c>
      <c r="C21" s="133"/>
      <c r="D21" s="133" t="e">
        <f>MEDIAN(D7:D15)</f>
        <v>#NUM!</v>
      </c>
      <c r="E21" s="133"/>
      <c r="F21" s="133" t="e">
        <f>MEDIAN(F7:F15)</f>
        <v>#NUM!</v>
      </c>
      <c r="G21" s="133"/>
      <c r="H21" s="133" t="e">
        <f>MEDIAN(H7:H15)</f>
        <v>#NUM!</v>
      </c>
      <c r="I21" s="133"/>
      <c r="J21" s="133" t="e">
        <f>MEDIAN(J7:J15)</f>
        <v>#NUM!</v>
      </c>
      <c r="K21" s="132"/>
      <c r="L21" s="133" t="e">
        <f>MEDIAN(L7:L15)</f>
        <v>#NUM!</v>
      </c>
      <c r="M21" s="133"/>
      <c r="N21" s="133" t="e">
        <f>MEDIAN(N7:N15)</f>
        <v>#NUM!</v>
      </c>
      <c r="O21" s="132"/>
      <c r="P21" s="133" t="e">
        <f>MEDIAN(P7:P15)</f>
        <v>#NUM!</v>
      </c>
      <c r="Q21" s="133"/>
      <c r="R21" s="133" t="e">
        <f>MEDIAN(R7:R15)</f>
        <v>#NUM!</v>
      </c>
      <c r="S21" s="133"/>
      <c r="T21" s="133" t="e">
        <f>MEDIAN(T7:T15)</f>
        <v>#NUM!</v>
      </c>
      <c r="U21" s="133"/>
      <c r="V21" s="133" t="e">
        <f>MEDIAN(V7:V15)</f>
        <v>#NUM!</v>
      </c>
      <c r="W21" s="127"/>
    </row>
    <row r="22" spans="1:23" x14ac:dyDescent="0.25">
      <c r="A22" t="s">
        <v>459</v>
      </c>
      <c r="B22" s="133" t="e">
        <f>AVERAGE(B7:B15)</f>
        <v>#DIV/0!</v>
      </c>
      <c r="C22" s="133"/>
      <c r="D22" s="133" t="e">
        <f>AVERAGE(D7:D15)</f>
        <v>#DIV/0!</v>
      </c>
      <c r="E22" s="133"/>
      <c r="F22" s="133" t="e">
        <f>AVERAGE(F7:F15)</f>
        <v>#DIV/0!</v>
      </c>
      <c r="G22" s="133"/>
      <c r="H22" s="133" t="e">
        <f>AVERAGE(H7:H15)</f>
        <v>#DIV/0!</v>
      </c>
      <c r="I22" s="133"/>
      <c r="J22" s="133" t="e">
        <f>AVERAGE(J7:J15)</f>
        <v>#DIV/0!</v>
      </c>
      <c r="K22" s="132"/>
      <c r="L22" s="133" t="e">
        <f>AVERAGE(L7:L15)</f>
        <v>#DIV/0!</v>
      </c>
      <c r="M22" s="133"/>
      <c r="N22" s="133" t="e">
        <f>AVERAGE(N7:N15)</f>
        <v>#DIV/0!</v>
      </c>
      <c r="O22" s="132"/>
      <c r="P22" s="133" t="e">
        <f>AVERAGE(P7:P15)</f>
        <v>#DIV/0!</v>
      </c>
      <c r="Q22" s="133"/>
      <c r="R22" s="133" t="e">
        <f>AVERAGE(R7:R15)</f>
        <v>#DIV/0!</v>
      </c>
      <c r="S22" s="133"/>
      <c r="T22" s="133" t="e">
        <f>AVERAGE(T7:T15)</f>
        <v>#DIV/0!</v>
      </c>
      <c r="U22" s="133"/>
      <c r="V22" s="133" t="e">
        <f>AVERAGE(V7:V15)</f>
        <v>#DIV/0!</v>
      </c>
      <c r="W22" s="127"/>
    </row>
    <row r="23" spans="1:23" x14ac:dyDescent="0.25">
      <c r="A23" t="s">
        <v>460</v>
      </c>
      <c r="B23" s="132" t="e">
        <f>_xlfn.PERCENTILE.INC(B7:B15,0.75)</f>
        <v>#NUM!</v>
      </c>
      <c r="C23" s="132"/>
      <c r="D23" s="132" t="e">
        <f>_xlfn.PERCENTILE.INC(D7:D15,0.75)</f>
        <v>#NUM!</v>
      </c>
      <c r="E23" s="132"/>
      <c r="F23" s="132" t="e">
        <f>_xlfn.PERCENTILE.INC(F7:F15,0.75)</f>
        <v>#NUM!</v>
      </c>
      <c r="G23" s="132"/>
      <c r="H23" s="132" t="e">
        <f>_xlfn.PERCENTILE.INC(H7:H15,0.75)</f>
        <v>#NUM!</v>
      </c>
      <c r="I23" s="132"/>
      <c r="J23" s="132" t="e">
        <f>_xlfn.PERCENTILE.INC(J7:J15,0.75)</f>
        <v>#NUM!</v>
      </c>
      <c r="K23" s="132"/>
      <c r="L23" s="132" t="e">
        <f>_xlfn.PERCENTILE.INC(L7:L15,0.75)</f>
        <v>#NUM!</v>
      </c>
      <c r="M23" s="132"/>
      <c r="N23" s="132" t="e">
        <f>_xlfn.PERCENTILE.INC(N7:N15,0.75)</f>
        <v>#NUM!</v>
      </c>
      <c r="O23" s="132"/>
      <c r="P23" s="132" t="e">
        <f>_xlfn.PERCENTILE.INC(P7:P15,0.75)</f>
        <v>#NUM!</v>
      </c>
      <c r="Q23" s="132"/>
      <c r="R23" s="132" t="e">
        <f>_xlfn.PERCENTILE.INC(R7:R15,0.75)</f>
        <v>#NUM!</v>
      </c>
      <c r="S23" s="132"/>
      <c r="T23" s="132" t="e">
        <f>_xlfn.PERCENTILE.INC(T7:T15,0.75)</f>
        <v>#NUM!</v>
      </c>
      <c r="U23" s="132"/>
      <c r="V23" s="132" t="e">
        <f>_xlfn.PERCENTILE.INC(V7:V15,0.75)</f>
        <v>#NUM!</v>
      </c>
    </row>
    <row r="25" spans="1:23" x14ac:dyDescent="0.25">
      <c r="A25" s="124"/>
      <c r="B25" s="124"/>
    </row>
    <row r="26" spans="1:23" x14ac:dyDescent="0.25">
      <c r="A26" s="124"/>
    </row>
    <row r="27" spans="1:23" x14ac:dyDescent="0.25">
      <c r="A27" s="123"/>
      <c r="B27" s="124"/>
    </row>
    <row r="28" spans="1:23" x14ac:dyDescent="0.25">
      <c r="A28" s="124"/>
      <c r="B28" s="124"/>
    </row>
    <row r="29" spans="1:23" x14ac:dyDescent="0.25">
      <c r="A29" s="124"/>
    </row>
    <row r="31" spans="1:23" ht="18" x14ac:dyDescent="0.25">
      <c r="A31" s="134"/>
    </row>
    <row r="32" spans="1:23" x14ac:dyDescent="0.25">
      <c r="A32" s="125"/>
    </row>
    <row r="33" spans="1:1" x14ac:dyDescent="0.25">
      <c r="A33" s="125"/>
    </row>
    <row r="34" spans="1:1" x14ac:dyDescent="0.25">
      <c r="A34" s="125"/>
    </row>
    <row r="36" spans="1:1" x14ac:dyDescent="0.25">
      <c r="A36" s="135"/>
    </row>
  </sheetData>
  <autoFilter ref="A6:R23" xr:uid="{66096780-3604-437C-AD42-82C6F04AB4D1}"/>
  <pageMargins left="0.70000000000000007" right="0.70000000000000007" top="0.75" bottom="0.75" header="0.30000000000000004" footer="0.3000000000000000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381A-828E-45EB-BDB2-45468FF0B2D4}">
  <sheetPr>
    <tabColor rgb="FFBF8F00"/>
  </sheetPr>
  <dimension ref="A1:D12"/>
  <sheetViews>
    <sheetView workbookViewId="0">
      <selection activeCell="C7" sqref="C7"/>
    </sheetView>
  </sheetViews>
  <sheetFormatPr defaultColWidth="9.140625" defaultRowHeight="15.75" x14ac:dyDescent="0.25"/>
  <cols>
    <col min="1" max="1" width="30" style="136" customWidth="1"/>
    <col min="2" max="2" width="33" style="136" bestFit="1" customWidth="1"/>
    <col min="3" max="4" width="21.5703125" style="144" customWidth="1"/>
    <col min="5" max="5" width="9.140625" style="118" customWidth="1"/>
    <col min="6" max="16384" width="9.140625" style="118"/>
  </cols>
  <sheetData>
    <row r="1" spans="1:4" x14ac:dyDescent="0.25">
      <c r="C1" s="137" t="s">
        <v>461</v>
      </c>
      <c r="D1" s="136"/>
    </row>
    <row r="2" spans="1:4" x14ac:dyDescent="0.25">
      <c r="A2" s="138" t="s">
        <v>462</v>
      </c>
      <c r="B2" s="138" t="s">
        <v>463</v>
      </c>
      <c r="C2" s="139" t="s">
        <v>464</v>
      </c>
      <c r="D2" s="139" t="s">
        <v>465</v>
      </c>
    </row>
    <row r="3" spans="1:4" x14ac:dyDescent="0.25">
      <c r="A3" s="140" t="s">
        <v>444</v>
      </c>
      <c r="B3" s="141" t="s">
        <v>405</v>
      </c>
      <c r="C3" s="142">
        <f>mergent_work!B18</f>
        <v>0</v>
      </c>
      <c r="D3" s="142" t="e">
        <f>mergent_work!B21</f>
        <v>#NUM!</v>
      </c>
    </row>
    <row r="4" spans="1:4" x14ac:dyDescent="0.25">
      <c r="A4" s="140" t="s">
        <v>445</v>
      </c>
      <c r="B4" s="141" t="s">
        <v>406</v>
      </c>
      <c r="C4" s="142">
        <f>mergent_work!D18</f>
        <v>0</v>
      </c>
      <c r="D4" s="142" t="e">
        <f>mergent_work!D21</f>
        <v>#NUM!</v>
      </c>
    </row>
    <row r="5" spans="1:4" x14ac:dyDescent="0.25">
      <c r="A5" s="140" t="s">
        <v>454</v>
      </c>
      <c r="B5" s="141" t="s">
        <v>408</v>
      </c>
      <c r="C5" s="142">
        <f>mergent_work!V18</f>
        <v>0</v>
      </c>
      <c r="D5" s="142" t="e">
        <f>mergent_work!V21</f>
        <v>#NUM!</v>
      </c>
    </row>
    <row r="6" spans="1:4" x14ac:dyDescent="0.25">
      <c r="A6" s="140" t="s">
        <v>446</v>
      </c>
      <c r="B6" s="141" t="s">
        <v>466</v>
      </c>
      <c r="C6" s="142">
        <f>mergent_work!F18</f>
        <v>0</v>
      </c>
      <c r="D6" s="142" t="e">
        <f>mergent_work!F21</f>
        <v>#NUM!</v>
      </c>
    </row>
    <row r="7" spans="1:4" x14ac:dyDescent="0.25">
      <c r="A7" s="140" t="s">
        <v>447</v>
      </c>
      <c r="B7" s="141" t="s">
        <v>467</v>
      </c>
      <c r="C7" s="142">
        <f>mergent_work!H18</f>
        <v>0</v>
      </c>
      <c r="D7" s="142" t="e">
        <f>mergent_work!H21</f>
        <v>#NUM!</v>
      </c>
    </row>
    <row r="8" spans="1:4" x14ac:dyDescent="0.25">
      <c r="A8" s="140" t="s">
        <v>452</v>
      </c>
      <c r="B8" s="141" t="s">
        <v>412</v>
      </c>
      <c r="C8" s="142">
        <f>mergent_work!R18</f>
        <v>0</v>
      </c>
      <c r="D8" s="142" t="e">
        <f>mergent_work!R21</f>
        <v>#NUM!</v>
      </c>
    </row>
    <row r="9" spans="1:4" x14ac:dyDescent="0.25">
      <c r="A9" s="140" t="s">
        <v>448</v>
      </c>
      <c r="B9" s="122" t="s">
        <v>418</v>
      </c>
      <c r="C9" s="143">
        <f>mergent_work!J18</f>
        <v>0</v>
      </c>
      <c r="D9" s="142" t="e">
        <f>mergent_work!J21</f>
        <v>#NUM!</v>
      </c>
    </row>
    <row r="10" spans="1:4" x14ac:dyDescent="0.25">
      <c r="A10" s="140" t="s">
        <v>453</v>
      </c>
      <c r="B10" s="122" t="s">
        <v>419</v>
      </c>
      <c r="C10" s="143">
        <f>mergent_work!T18</f>
        <v>0</v>
      </c>
      <c r="D10" s="143" t="e">
        <f>mergent_work!T21</f>
        <v>#NUM!</v>
      </c>
    </row>
    <row r="11" spans="1:4" x14ac:dyDescent="0.25">
      <c r="A11" s="140" t="s">
        <v>449</v>
      </c>
      <c r="B11" s="122" t="s">
        <v>420</v>
      </c>
      <c r="C11" s="143">
        <f>mergent_work!L18</f>
        <v>0</v>
      </c>
      <c r="D11" s="143" t="e">
        <f>mergent_work!L21</f>
        <v>#NUM!</v>
      </c>
    </row>
    <row r="12" spans="1:4" x14ac:dyDescent="0.25">
      <c r="A12" s="140" t="s">
        <v>450</v>
      </c>
      <c r="B12" s="122" t="s">
        <v>468</v>
      </c>
      <c r="C12" s="143">
        <f>mergent_work!N18</f>
        <v>0</v>
      </c>
      <c r="D12" s="143" t="e">
        <f>mergent_work!N21</f>
        <v>#NUM!</v>
      </c>
    </row>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200E-C735-4CF8-BEA2-4D803A9D1097}">
  <sheetPr>
    <tabColor rgb="FFF8CBAD"/>
  </sheetPr>
  <dimension ref="A1:U93"/>
  <sheetViews>
    <sheetView workbookViewId="0">
      <selection activeCell="C35" sqref="C35"/>
    </sheetView>
  </sheetViews>
  <sheetFormatPr defaultRowHeight="15" x14ac:dyDescent="0.25"/>
  <cols>
    <col min="1" max="1" width="71" customWidth="1"/>
    <col min="2" max="2" width="21.42578125" style="128" bestFit="1" customWidth="1"/>
    <col min="3" max="4" width="9.140625" customWidth="1"/>
    <col min="5" max="5" width="15.7109375" bestFit="1" customWidth="1"/>
    <col min="6" max="6" width="23.5703125" bestFit="1" customWidth="1"/>
    <col min="7" max="8" width="13.42578125" bestFit="1" customWidth="1"/>
    <col min="9" max="14" width="9" customWidth="1"/>
    <col min="15" max="15" width="9.140625" customWidth="1"/>
  </cols>
  <sheetData>
    <row r="1" spans="1:8" x14ac:dyDescent="0.25">
      <c r="A1" s="145" t="s">
        <v>469</v>
      </c>
      <c r="E1" s="146" t="s">
        <v>470</v>
      </c>
      <c r="F1" s="146"/>
      <c r="G1" s="146"/>
      <c r="H1" s="146"/>
    </row>
    <row r="2" spans="1:8" x14ac:dyDescent="0.25">
      <c r="A2" s="132" t="s">
        <v>471</v>
      </c>
      <c r="B2" s="461">
        <f>fin_model!H54</f>
        <v>0</v>
      </c>
      <c r="E2" s="147" t="s">
        <v>472</v>
      </c>
      <c r="F2" s="147" t="s">
        <v>473</v>
      </c>
      <c r="G2" s="147" t="s">
        <v>474</v>
      </c>
      <c r="H2" s="147" t="s">
        <v>475</v>
      </c>
    </row>
    <row r="3" spans="1:8" x14ac:dyDescent="0.25">
      <c r="A3" s="132" t="s">
        <v>476</v>
      </c>
      <c r="B3" s="462">
        <f>fin_model!C5</f>
        <v>0</v>
      </c>
      <c r="E3" s="148">
        <v>8.5</v>
      </c>
      <c r="F3" s="149" t="s">
        <v>477</v>
      </c>
      <c r="G3" s="150" t="s">
        <v>478</v>
      </c>
      <c r="H3" s="151">
        <v>5.8999999999999999E-3</v>
      </c>
    </row>
    <row r="4" spans="1:8" x14ac:dyDescent="0.25">
      <c r="A4" s="132" t="s">
        <v>479</v>
      </c>
      <c r="B4" s="463">
        <f>WACC!B2*WACC!B3</f>
        <v>0</v>
      </c>
      <c r="E4" s="148">
        <v>6.5</v>
      </c>
      <c r="F4" s="148">
        <v>8.5</v>
      </c>
      <c r="G4" s="150" t="s">
        <v>480</v>
      </c>
      <c r="H4" s="151">
        <v>7.0000000000000001E-3</v>
      </c>
    </row>
    <row r="5" spans="1:8" x14ac:dyDescent="0.25">
      <c r="E5" s="148">
        <v>5.5</v>
      </c>
      <c r="F5" s="148">
        <v>6.5</v>
      </c>
      <c r="G5" s="150" t="s">
        <v>481</v>
      </c>
      <c r="H5" s="151">
        <v>9.1999999999999998E-3</v>
      </c>
    </row>
    <row r="6" spans="1:8" x14ac:dyDescent="0.25">
      <c r="A6" s="145" t="s">
        <v>482</v>
      </c>
      <c r="E6" s="148">
        <v>4.25</v>
      </c>
      <c r="F6" s="148">
        <v>5.5</v>
      </c>
      <c r="G6" s="150" t="s">
        <v>483</v>
      </c>
      <c r="H6" s="151">
        <v>1.0699999999999999E-2</v>
      </c>
    </row>
    <row r="7" spans="1:8" x14ac:dyDescent="0.25">
      <c r="A7" s="132" t="s">
        <v>484</v>
      </c>
      <c r="B7" s="464">
        <f>fin_model!H41</f>
        <v>0</v>
      </c>
      <c r="E7" s="148">
        <v>3</v>
      </c>
      <c r="F7" s="148">
        <v>4.25</v>
      </c>
      <c r="G7" s="150" t="s">
        <v>485</v>
      </c>
      <c r="H7" s="151">
        <v>1.21E-2</v>
      </c>
    </row>
    <row r="8" spans="1:8" x14ac:dyDescent="0.25">
      <c r="A8" s="152" t="s">
        <v>486</v>
      </c>
      <c r="B8" s="464">
        <f>fin_model!H42</f>
        <v>0</v>
      </c>
      <c r="E8" s="148">
        <v>2.5</v>
      </c>
      <c r="F8" s="148">
        <v>3</v>
      </c>
      <c r="G8" s="150" t="s">
        <v>487</v>
      </c>
      <c r="H8" s="151">
        <v>1.47E-2</v>
      </c>
    </row>
    <row r="9" spans="1:8" x14ac:dyDescent="0.25">
      <c r="A9" s="152" t="s">
        <v>488</v>
      </c>
      <c r="B9" s="464">
        <f>fin_model!H45</f>
        <v>0</v>
      </c>
      <c r="E9" s="148">
        <v>2.25</v>
      </c>
      <c r="F9" s="148">
        <v>2.5</v>
      </c>
      <c r="G9" s="150" t="s">
        <v>489</v>
      </c>
      <c r="H9" s="151">
        <v>1.7399999999999999E-2</v>
      </c>
    </row>
    <row r="10" spans="1:8" x14ac:dyDescent="0.25">
      <c r="A10" s="132" t="s">
        <v>490</v>
      </c>
      <c r="B10" s="464">
        <f>SUM(B7:B9)</f>
        <v>0</v>
      </c>
      <c r="E10" s="148">
        <v>2</v>
      </c>
      <c r="F10" s="148">
        <v>2.25</v>
      </c>
      <c r="G10" s="150" t="s">
        <v>491</v>
      </c>
      <c r="H10" s="151">
        <v>2.2100000000000002E-2</v>
      </c>
    </row>
    <row r="11" spans="1:8" x14ac:dyDescent="0.25">
      <c r="B11" s="153"/>
      <c r="E11" s="148">
        <v>1.75</v>
      </c>
      <c r="F11" s="148">
        <v>2</v>
      </c>
      <c r="G11" s="150" t="s">
        <v>492</v>
      </c>
      <c r="H11" s="151">
        <v>3.1399999999999997E-2</v>
      </c>
    </row>
    <row r="12" spans="1:8" x14ac:dyDescent="0.25">
      <c r="A12" s="145" t="s">
        <v>493</v>
      </c>
      <c r="E12" s="148">
        <v>1.5</v>
      </c>
      <c r="F12" s="148">
        <v>1.75</v>
      </c>
      <c r="G12" s="150" t="s">
        <v>494</v>
      </c>
      <c r="H12" s="151">
        <v>3.61E-2</v>
      </c>
    </row>
    <row r="13" spans="1:8" x14ac:dyDescent="0.25">
      <c r="A13" s="132" t="s">
        <v>495</v>
      </c>
      <c r="B13" s="463">
        <f>B4+B10</f>
        <v>0</v>
      </c>
      <c r="E13" s="148">
        <v>1.25</v>
      </c>
      <c r="F13" s="148">
        <v>1.5</v>
      </c>
      <c r="G13" s="150" t="s">
        <v>496</v>
      </c>
      <c r="H13" s="151">
        <v>5.2400000000000002E-2</v>
      </c>
    </row>
    <row r="14" spans="1:8" x14ac:dyDescent="0.25">
      <c r="E14" s="148">
        <v>0.8</v>
      </c>
      <c r="F14" s="148">
        <v>1.25</v>
      </c>
      <c r="G14" s="150" t="s">
        <v>497</v>
      </c>
      <c r="H14" s="151">
        <v>8.5099999999999995E-2</v>
      </c>
    </row>
    <row r="15" spans="1:8" x14ac:dyDescent="0.25">
      <c r="A15" s="145" t="s">
        <v>295</v>
      </c>
      <c r="E15" s="148">
        <v>0.65</v>
      </c>
      <c r="F15" s="148">
        <v>0.8</v>
      </c>
      <c r="G15" s="150" t="s">
        <v>498</v>
      </c>
      <c r="H15" s="151">
        <v>0.1178</v>
      </c>
    </row>
    <row r="16" spans="1:8" x14ac:dyDescent="0.25">
      <c r="A16" s="132" t="s">
        <v>499</v>
      </c>
      <c r="B16" s="465" t="e">
        <f>B4/B13</f>
        <v>#DIV/0!</v>
      </c>
      <c r="E16" s="148">
        <v>0.2</v>
      </c>
      <c r="F16" s="148">
        <v>0.65</v>
      </c>
      <c r="G16" s="150" t="s">
        <v>500</v>
      </c>
      <c r="H16" s="151">
        <v>0.17</v>
      </c>
    </row>
    <row r="17" spans="1:21" x14ac:dyDescent="0.25">
      <c r="A17" s="132" t="s">
        <v>501</v>
      </c>
      <c r="B17" s="465" t="e">
        <f>B10/B13</f>
        <v>#DIV/0!</v>
      </c>
      <c r="E17" s="148" t="s">
        <v>502</v>
      </c>
      <c r="F17" s="148">
        <v>0.2</v>
      </c>
      <c r="G17" s="150" t="s">
        <v>503</v>
      </c>
      <c r="H17" s="151">
        <v>0.2</v>
      </c>
    </row>
    <row r="18" spans="1:21" x14ac:dyDescent="0.25">
      <c r="B18" s="477"/>
      <c r="E18" s="402" t="s">
        <v>812</v>
      </c>
    </row>
    <row r="19" spans="1:21" ht="14.45" customHeight="1" x14ac:dyDescent="0.25">
      <c r="A19" s="145" t="s">
        <v>504</v>
      </c>
      <c r="Q19" s="332"/>
      <c r="R19" s="332"/>
      <c r="S19" s="332"/>
      <c r="T19" s="332"/>
    </row>
    <row r="20" spans="1:21" ht="14.45" customHeight="1" x14ac:dyDescent="0.25">
      <c r="A20" s="132" t="s">
        <v>505</v>
      </c>
      <c r="B20" s="466">
        <v>0.22500000000000001</v>
      </c>
      <c r="C20" t="s">
        <v>506</v>
      </c>
      <c r="P20" s="332"/>
      <c r="Q20" s="332"/>
      <c r="R20" s="332"/>
      <c r="S20" s="332"/>
      <c r="T20" s="332"/>
    </row>
    <row r="21" spans="1:21" ht="14.45" customHeight="1" x14ac:dyDescent="0.25">
      <c r="F21" s="154"/>
      <c r="P21" s="531" t="s">
        <v>754</v>
      </c>
      <c r="Q21" s="531"/>
      <c r="R21" s="531"/>
      <c r="S21" s="531"/>
      <c r="T21" s="531"/>
    </row>
    <row r="22" spans="1:21" ht="15.6" customHeight="1" x14ac:dyDescent="0.25">
      <c r="A22" s="145" t="s">
        <v>507</v>
      </c>
      <c r="F22" s="154"/>
      <c r="P22" s="531"/>
      <c r="Q22" s="531"/>
      <c r="R22" s="531"/>
      <c r="S22" s="531"/>
      <c r="T22" s="531"/>
    </row>
    <row r="23" spans="1:21" x14ac:dyDescent="0.25">
      <c r="A23" s="132" t="s">
        <v>508</v>
      </c>
      <c r="B23" s="464">
        <f>fin_model!H19-fin_model!H16</f>
        <v>0</v>
      </c>
      <c r="F23" s="154"/>
      <c r="P23" s="532"/>
      <c r="Q23" s="532"/>
      <c r="R23" s="532"/>
      <c r="S23" s="532"/>
      <c r="T23" s="532"/>
      <c r="U23" s="405"/>
    </row>
    <row r="24" spans="1:21" x14ac:dyDescent="0.25">
      <c r="A24" s="132" t="s">
        <v>509</v>
      </c>
      <c r="B24" s="464">
        <f>-fin_model!H16</f>
        <v>0</v>
      </c>
      <c r="F24" s="154"/>
      <c r="H24" s="155"/>
      <c r="P24" s="405"/>
      <c r="Q24" s="405"/>
      <c r="R24" s="406" t="s">
        <v>730</v>
      </c>
      <c r="S24" s="405">
        <f>SUM(S27:S65)</f>
        <v>2788.9</v>
      </c>
      <c r="T24" s="405">
        <f>SUM(T27:T65)</f>
        <v>69.985320000000002</v>
      </c>
      <c r="U24" s="405"/>
    </row>
    <row r="25" spans="1:21" x14ac:dyDescent="0.25">
      <c r="A25" s="132" t="s">
        <v>510</v>
      </c>
      <c r="B25" s="467" t="e">
        <f>B23/B24</f>
        <v>#DIV/0!</v>
      </c>
      <c r="D25" s="156"/>
      <c r="F25" s="154"/>
      <c r="R25" s="128" t="s">
        <v>731</v>
      </c>
      <c r="S25">
        <f>(T24/S24)</f>
        <v>2.5094237871562265E-2</v>
      </c>
    </row>
    <row r="26" spans="1:21" x14ac:dyDescent="0.25">
      <c r="A26" s="132" t="s">
        <v>511</v>
      </c>
      <c r="B26" s="465">
        <v>5.8999999999999999E-3</v>
      </c>
      <c r="F26" s="154"/>
      <c r="P26" s="345" t="s">
        <v>512</v>
      </c>
      <c r="Q26" s="345"/>
      <c r="R26" s="345" t="s">
        <v>757</v>
      </c>
      <c r="S26" s="345" t="s">
        <v>728</v>
      </c>
      <c r="T26" s="345" t="s">
        <v>729</v>
      </c>
      <c r="U26" s="345"/>
    </row>
    <row r="27" spans="1:21" x14ac:dyDescent="0.25">
      <c r="A27" s="132" t="s">
        <v>513</v>
      </c>
      <c r="B27" s="468">
        <v>4.5699999999999998E-2</v>
      </c>
      <c r="C27" s="402" t="s">
        <v>809</v>
      </c>
      <c r="F27" s="154"/>
      <c r="H27" s="155"/>
      <c r="P27">
        <v>2024</v>
      </c>
      <c r="R27" s="404"/>
      <c r="T27">
        <f>R27*S27</f>
        <v>0</v>
      </c>
    </row>
    <row r="28" spans="1:21" x14ac:dyDescent="0.25">
      <c r="A28" s="132" t="s">
        <v>514</v>
      </c>
      <c r="B28" s="469">
        <f>B27+B26</f>
        <v>5.16E-2</v>
      </c>
      <c r="C28" t="s">
        <v>752</v>
      </c>
      <c r="F28" s="154"/>
      <c r="H28" s="155"/>
      <c r="I28" s="128"/>
      <c r="P28">
        <f t="shared" ref="P28:P65" si="0">P27+1</f>
        <v>2025</v>
      </c>
      <c r="R28" s="416">
        <v>2.9700000000000001E-2</v>
      </c>
      <c r="S28">
        <v>400</v>
      </c>
      <c r="T28">
        <f>R28*S28</f>
        <v>11.88</v>
      </c>
    </row>
    <row r="29" spans="1:21" x14ac:dyDescent="0.25">
      <c r="A29" s="132" t="s">
        <v>516</v>
      </c>
      <c r="B29" s="470">
        <f>ROUND(C29,4)</f>
        <v>2.5100000000000001E-2</v>
      </c>
      <c r="C29" s="476">
        <f>S25</f>
        <v>2.5094237871562265E-2</v>
      </c>
      <c r="F29" s="154"/>
      <c r="H29" s="155"/>
      <c r="I29" s="128"/>
      <c r="J29" s="155"/>
      <c r="P29">
        <f t="shared" si="0"/>
        <v>2026</v>
      </c>
      <c r="R29" s="416">
        <v>1.7999999999999999E-2</v>
      </c>
      <c r="S29">
        <v>469.5</v>
      </c>
      <c r="T29">
        <f t="shared" ref="T29:T65" si="1">R29*S29</f>
        <v>8.4509999999999987</v>
      </c>
    </row>
    <row r="30" spans="1:21" x14ac:dyDescent="0.25">
      <c r="D30" t="s">
        <v>515</v>
      </c>
      <c r="F30" s="154"/>
      <c r="H30" s="155"/>
      <c r="I30" s="128"/>
      <c r="N30" s="155"/>
      <c r="P30">
        <f t="shared" si="0"/>
        <v>2027</v>
      </c>
      <c r="R30" s="417"/>
      <c r="T30">
        <f t="shared" si="1"/>
        <v>0</v>
      </c>
    </row>
    <row r="31" spans="1:21" x14ac:dyDescent="0.25">
      <c r="A31" s="145" t="s">
        <v>517</v>
      </c>
      <c r="F31" s="154"/>
      <c r="H31" s="155"/>
      <c r="I31" s="128"/>
      <c r="P31">
        <f t="shared" si="0"/>
        <v>2028</v>
      </c>
      <c r="R31" s="416"/>
      <c r="T31">
        <f t="shared" si="1"/>
        <v>0</v>
      </c>
    </row>
    <row r="32" spans="1:21" x14ac:dyDescent="0.25">
      <c r="A32" s="132" t="s">
        <v>513</v>
      </c>
      <c r="B32" s="471">
        <f>B27</f>
        <v>4.5699999999999998E-2</v>
      </c>
      <c r="F32" s="154"/>
      <c r="H32" s="155"/>
      <c r="I32" s="128"/>
      <c r="J32" s="155"/>
      <c r="P32">
        <f t="shared" si="0"/>
        <v>2029</v>
      </c>
      <c r="R32" s="416"/>
      <c r="T32">
        <f t="shared" si="1"/>
        <v>0</v>
      </c>
    </row>
    <row r="33" spans="1:20" x14ac:dyDescent="0.25">
      <c r="A33" s="132" t="s">
        <v>518</v>
      </c>
      <c r="B33" s="472">
        <v>1.57</v>
      </c>
      <c r="C33" t="s">
        <v>753</v>
      </c>
      <c r="H33" s="155"/>
      <c r="I33" s="128"/>
      <c r="J33" s="155"/>
      <c r="P33">
        <f t="shared" si="0"/>
        <v>2030</v>
      </c>
      <c r="R33" s="416">
        <v>1.7399999999999999E-2</v>
      </c>
      <c r="S33">
        <v>847.5</v>
      </c>
      <c r="T33">
        <f t="shared" si="1"/>
        <v>14.746499999999999</v>
      </c>
    </row>
    <row r="34" spans="1:20" x14ac:dyDescent="0.25">
      <c r="A34" s="132" t="s">
        <v>519</v>
      </c>
      <c r="B34" s="466">
        <v>0.05</v>
      </c>
      <c r="C34" s="403" t="s">
        <v>824</v>
      </c>
      <c r="H34" s="155"/>
      <c r="I34" s="128"/>
      <c r="J34" s="127"/>
      <c r="P34">
        <f t="shared" si="0"/>
        <v>2031</v>
      </c>
      <c r="R34" s="416"/>
      <c r="T34">
        <f t="shared" si="1"/>
        <v>0</v>
      </c>
    </row>
    <row r="35" spans="1:20" x14ac:dyDescent="0.25">
      <c r="A35" s="132" t="s">
        <v>520</v>
      </c>
      <c r="B35" s="473">
        <f>B32+(B33*B34)</f>
        <v>0.1242</v>
      </c>
      <c r="F35" s="154"/>
      <c r="H35" s="155"/>
      <c r="I35" s="128"/>
      <c r="P35">
        <f t="shared" si="0"/>
        <v>2032</v>
      </c>
      <c r="R35" s="416"/>
      <c r="T35">
        <f t="shared" si="1"/>
        <v>0</v>
      </c>
    </row>
    <row r="36" spans="1:20" x14ac:dyDescent="0.25">
      <c r="A36" s="132" t="s">
        <v>521</v>
      </c>
      <c r="B36" s="474">
        <f>ROUND(B35,4)</f>
        <v>0.1242</v>
      </c>
      <c r="F36" s="154"/>
      <c r="H36" s="155"/>
      <c r="I36" s="128"/>
      <c r="J36" s="155"/>
      <c r="P36">
        <f t="shared" si="0"/>
        <v>2033</v>
      </c>
      <c r="R36" s="416"/>
      <c r="T36">
        <f t="shared" si="1"/>
        <v>0</v>
      </c>
    </row>
    <row r="37" spans="1:20" x14ac:dyDescent="0.25">
      <c r="F37" s="154"/>
      <c r="H37" s="155"/>
      <c r="I37" s="128"/>
      <c r="P37">
        <f t="shared" si="0"/>
        <v>2034</v>
      </c>
      <c r="R37" s="416"/>
      <c r="T37">
        <f t="shared" si="1"/>
        <v>0</v>
      </c>
    </row>
    <row r="38" spans="1:20" x14ac:dyDescent="0.25">
      <c r="A38" s="158" t="s">
        <v>522</v>
      </c>
      <c r="F38" s="154"/>
      <c r="I38" s="128"/>
      <c r="J38" s="159"/>
      <c r="P38">
        <f t="shared" si="0"/>
        <v>2035</v>
      </c>
      <c r="R38" s="416"/>
      <c r="T38">
        <f t="shared" si="1"/>
        <v>0</v>
      </c>
    </row>
    <row r="39" spans="1:20" x14ac:dyDescent="0.25">
      <c r="A39" s="132" t="s">
        <v>499</v>
      </c>
      <c r="B39" s="471" t="e">
        <f>B16</f>
        <v>#DIV/0!</v>
      </c>
      <c r="I39" s="128"/>
      <c r="J39" s="159"/>
      <c r="P39">
        <f t="shared" si="0"/>
        <v>2036</v>
      </c>
      <c r="R39" s="416"/>
      <c r="T39">
        <f t="shared" si="1"/>
        <v>0</v>
      </c>
    </row>
    <row r="40" spans="1:20" x14ac:dyDescent="0.25">
      <c r="A40" s="132" t="s">
        <v>521</v>
      </c>
      <c r="B40" s="471">
        <f>B36</f>
        <v>0.1242</v>
      </c>
      <c r="I40" s="128"/>
      <c r="P40">
        <f t="shared" si="0"/>
        <v>2037</v>
      </c>
      <c r="R40" s="416"/>
      <c r="T40">
        <f t="shared" si="1"/>
        <v>0</v>
      </c>
    </row>
    <row r="41" spans="1:20" x14ac:dyDescent="0.25">
      <c r="A41" s="132" t="s">
        <v>501</v>
      </c>
      <c r="B41" s="471" t="e">
        <f>B17</f>
        <v>#DIV/0!</v>
      </c>
      <c r="P41">
        <f t="shared" si="0"/>
        <v>2038</v>
      </c>
      <c r="R41" s="416"/>
      <c r="T41">
        <f t="shared" si="1"/>
        <v>0</v>
      </c>
    </row>
    <row r="42" spans="1:20" x14ac:dyDescent="0.25">
      <c r="A42" s="132" t="s">
        <v>523</v>
      </c>
      <c r="B42" s="471">
        <f>1-B20</f>
        <v>0.77500000000000002</v>
      </c>
      <c r="P42">
        <f t="shared" si="0"/>
        <v>2039</v>
      </c>
      <c r="R42" s="416"/>
      <c r="T42">
        <f t="shared" si="1"/>
        <v>0</v>
      </c>
    </row>
    <row r="43" spans="1:20" x14ac:dyDescent="0.25">
      <c r="A43" s="132" t="s">
        <v>516</v>
      </c>
      <c r="B43" s="471">
        <f>B29</f>
        <v>2.5100000000000001E-2</v>
      </c>
      <c r="P43">
        <f t="shared" si="0"/>
        <v>2040</v>
      </c>
      <c r="R43" s="416"/>
      <c r="T43">
        <f t="shared" si="1"/>
        <v>0</v>
      </c>
    </row>
    <row r="44" spans="1:20" x14ac:dyDescent="0.25">
      <c r="A44" s="132" t="s">
        <v>524</v>
      </c>
      <c r="B44" s="469" t="e">
        <f>((B4/B13)*B36)+((B10/B13)*(1-B20)*B29)</f>
        <v>#DIV/0!</v>
      </c>
      <c r="I44" s="155"/>
      <c r="P44">
        <f t="shared" si="0"/>
        <v>2041</v>
      </c>
      <c r="R44" s="416"/>
      <c r="T44">
        <f t="shared" si="1"/>
        <v>0</v>
      </c>
    </row>
    <row r="45" spans="1:20" x14ac:dyDescent="0.25">
      <c r="A45" s="160" t="s">
        <v>525</v>
      </c>
      <c r="B45" s="475" t="e">
        <f>ROUND(B44,4)</f>
        <v>#DIV/0!</v>
      </c>
      <c r="C45" t="s">
        <v>526</v>
      </c>
      <c r="I45" s="155"/>
      <c r="P45">
        <f t="shared" si="0"/>
        <v>2042</v>
      </c>
      <c r="R45" s="416"/>
      <c r="T45">
        <f t="shared" si="1"/>
        <v>0</v>
      </c>
    </row>
    <row r="46" spans="1:20" x14ac:dyDescent="0.25">
      <c r="P46">
        <f t="shared" si="0"/>
        <v>2043</v>
      </c>
      <c r="R46" s="416"/>
      <c r="T46">
        <f t="shared" si="1"/>
        <v>0</v>
      </c>
    </row>
    <row r="47" spans="1:20" x14ac:dyDescent="0.25">
      <c r="P47">
        <f t="shared" si="0"/>
        <v>2044</v>
      </c>
      <c r="R47" s="416">
        <v>3.3799999999999997E-2</v>
      </c>
      <c r="S47">
        <v>723.9</v>
      </c>
      <c r="T47">
        <f t="shared" si="1"/>
        <v>24.467819999999996</v>
      </c>
    </row>
    <row r="48" spans="1:20" x14ac:dyDescent="0.25">
      <c r="P48">
        <f t="shared" si="0"/>
        <v>2045</v>
      </c>
      <c r="R48" s="416"/>
      <c r="T48">
        <f t="shared" si="1"/>
        <v>0</v>
      </c>
    </row>
    <row r="49" spans="1:20" x14ac:dyDescent="0.25">
      <c r="P49">
        <f t="shared" si="0"/>
        <v>2046</v>
      </c>
      <c r="R49" s="416"/>
      <c r="T49">
        <f t="shared" si="1"/>
        <v>0</v>
      </c>
    </row>
    <row r="50" spans="1:20" x14ac:dyDescent="0.25">
      <c r="P50">
        <f t="shared" si="0"/>
        <v>2047</v>
      </c>
      <c r="R50" s="416"/>
      <c r="T50">
        <f t="shared" si="1"/>
        <v>0</v>
      </c>
    </row>
    <row r="51" spans="1:20" x14ac:dyDescent="0.25">
      <c r="P51">
        <f t="shared" si="0"/>
        <v>2048</v>
      </c>
      <c r="R51" s="416"/>
      <c r="T51">
        <f t="shared" si="1"/>
        <v>0</v>
      </c>
    </row>
    <row r="52" spans="1:20" x14ac:dyDescent="0.25">
      <c r="P52">
        <f t="shared" si="0"/>
        <v>2049</v>
      </c>
      <c r="R52" s="416"/>
      <c r="T52">
        <f t="shared" si="1"/>
        <v>0</v>
      </c>
    </row>
    <row r="53" spans="1:20" x14ac:dyDescent="0.25">
      <c r="A53" s="484" t="str">
        <f t="shared" ref="A53:B56" si="2">A1</f>
        <v>Market value of equity</v>
      </c>
      <c r="P53">
        <f t="shared" si="0"/>
        <v>2050</v>
      </c>
      <c r="R53" s="416"/>
      <c r="T53">
        <f t="shared" si="1"/>
        <v>0</v>
      </c>
    </row>
    <row r="54" spans="1:20" x14ac:dyDescent="0.25">
      <c r="A54" s="485" t="str">
        <f t="shared" si="2"/>
        <v>Weighted average basic shares outstanding (in millions, end of historical period)</v>
      </c>
      <c r="B54" s="486">
        <f>B2</f>
        <v>0</v>
      </c>
      <c r="P54">
        <f t="shared" si="0"/>
        <v>2051</v>
      </c>
      <c r="R54" s="416">
        <v>0.03</v>
      </c>
      <c r="S54">
        <v>348</v>
      </c>
      <c r="T54">
        <f>R54*S54</f>
        <v>10.44</v>
      </c>
    </row>
    <row r="55" spans="1:20" x14ac:dyDescent="0.25">
      <c r="A55" s="485" t="str">
        <f t="shared" si="2"/>
        <v>Price (as of valuation date)</v>
      </c>
      <c r="B55" s="487">
        <f t="shared" si="2"/>
        <v>0</v>
      </c>
      <c r="P55">
        <f t="shared" si="0"/>
        <v>2052</v>
      </c>
      <c r="R55" s="416"/>
      <c r="T55">
        <f>R55*S55</f>
        <v>0</v>
      </c>
    </row>
    <row r="56" spans="1:20" x14ac:dyDescent="0.25">
      <c r="A56" s="485" t="str">
        <f t="shared" si="2"/>
        <v>Market value of equity ($ millions)</v>
      </c>
      <c r="B56" s="488">
        <f t="shared" si="2"/>
        <v>0</v>
      </c>
      <c r="P56">
        <f t="shared" si="0"/>
        <v>2053</v>
      </c>
      <c r="R56" s="416"/>
      <c r="T56">
        <f t="shared" si="1"/>
        <v>0</v>
      </c>
    </row>
    <row r="57" spans="1:20" x14ac:dyDescent="0.25">
      <c r="A57" s="484" t="str">
        <f t="shared" ref="A57:B61" si="3">A6</f>
        <v>Market value of debt</v>
      </c>
      <c r="B57" s="483"/>
      <c r="P57">
        <f t="shared" si="0"/>
        <v>2054</v>
      </c>
      <c r="R57" s="416"/>
      <c r="T57">
        <f t="shared" si="1"/>
        <v>0</v>
      </c>
    </row>
    <row r="58" spans="1:20" x14ac:dyDescent="0.25">
      <c r="A58" s="485" t="str">
        <f t="shared" si="3"/>
        <v>Short-term debt (at end of historical period)</v>
      </c>
      <c r="B58" s="483">
        <f t="shared" si="3"/>
        <v>0</v>
      </c>
      <c r="P58">
        <f t="shared" si="0"/>
        <v>2055</v>
      </c>
      <c r="R58" s="416"/>
      <c r="T58">
        <f t="shared" si="1"/>
        <v>0</v>
      </c>
    </row>
    <row r="59" spans="1:20" x14ac:dyDescent="0.25">
      <c r="A59" s="485" t="str">
        <f t="shared" si="3"/>
        <v>Current portion of long-term debt (at end of historical period)</v>
      </c>
      <c r="B59" s="483">
        <f t="shared" si="3"/>
        <v>0</v>
      </c>
      <c r="P59">
        <f t="shared" si="0"/>
        <v>2056</v>
      </c>
      <c r="R59" s="416"/>
      <c r="T59">
        <f t="shared" si="1"/>
        <v>0</v>
      </c>
    </row>
    <row r="60" spans="1:20" x14ac:dyDescent="0.25">
      <c r="A60" s="485" t="str">
        <f t="shared" si="3"/>
        <v>Long-term debt in long-term liabilities (at end of historical period)</v>
      </c>
      <c r="B60" s="483">
        <f t="shared" si="3"/>
        <v>0</v>
      </c>
      <c r="P60">
        <f t="shared" si="0"/>
        <v>2057</v>
      </c>
      <c r="R60" s="416"/>
      <c r="T60">
        <f t="shared" si="1"/>
        <v>0</v>
      </c>
    </row>
    <row r="61" spans="1:20" x14ac:dyDescent="0.25">
      <c r="A61" s="485" t="str">
        <f t="shared" si="3"/>
        <v>Market value of debt ($ millions)</v>
      </c>
      <c r="B61" s="483">
        <f t="shared" si="3"/>
        <v>0</v>
      </c>
      <c r="P61">
        <f t="shared" si="0"/>
        <v>2058</v>
      </c>
      <c r="R61" s="416"/>
      <c r="T61">
        <f t="shared" si="1"/>
        <v>0</v>
      </c>
    </row>
    <row r="62" spans="1:20" x14ac:dyDescent="0.25">
      <c r="A62" s="484" t="str">
        <f t="shared" ref="A62:B63" si="4">A12</f>
        <v>Market value of debt &amp; equity</v>
      </c>
      <c r="B62" s="483"/>
      <c r="L62" t="s">
        <v>729</v>
      </c>
      <c r="P62">
        <f t="shared" si="0"/>
        <v>2059</v>
      </c>
      <c r="R62" s="416"/>
      <c r="T62">
        <f t="shared" si="1"/>
        <v>0</v>
      </c>
    </row>
    <row r="63" spans="1:20" x14ac:dyDescent="0.25">
      <c r="A63" s="485" t="str">
        <f t="shared" si="4"/>
        <v>Market value of debt &amp; equity ($ millions)</v>
      </c>
      <c r="B63" s="483">
        <f t="shared" si="4"/>
        <v>0</v>
      </c>
      <c r="L63">
        <f>T28</f>
        <v>11.88</v>
      </c>
      <c r="P63">
        <f t="shared" si="0"/>
        <v>2060</v>
      </c>
      <c r="R63" s="416"/>
      <c r="T63">
        <f t="shared" si="1"/>
        <v>0</v>
      </c>
    </row>
    <row r="64" spans="1:20" x14ac:dyDescent="0.25">
      <c r="A64" s="484" t="str">
        <f t="shared" ref="A64:B66" si="5">A15</f>
        <v>Weights</v>
      </c>
      <c r="B64" s="483"/>
      <c r="L64">
        <f>T29</f>
        <v>8.4509999999999987</v>
      </c>
      <c r="P64">
        <f t="shared" si="0"/>
        <v>2061</v>
      </c>
      <c r="R64" s="416"/>
      <c r="T64">
        <f t="shared" si="1"/>
        <v>0</v>
      </c>
    </row>
    <row r="65" spans="1:20" x14ac:dyDescent="0.25">
      <c r="A65" s="485" t="str">
        <f t="shared" si="5"/>
        <v>Equity weight</v>
      </c>
      <c r="B65" s="490" t="e">
        <f t="shared" si="5"/>
        <v>#DIV/0!</v>
      </c>
      <c r="L65">
        <f>T33</f>
        <v>14.746499999999999</v>
      </c>
      <c r="P65">
        <f t="shared" si="0"/>
        <v>2062</v>
      </c>
      <c r="R65" s="416"/>
      <c r="T65">
        <f t="shared" si="1"/>
        <v>0</v>
      </c>
    </row>
    <row r="66" spans="1:20" x14ac:dyDescent="0.25">
      <c r="A66" s="485" t="str">
        <f t="shared" si="5"/>
        <v>Debt weight</v>
      </c>
      <c r="B66" s="490" t="e">
        <f t="shared" si="5"/>
        <v>#DIV/0!</v>
      </c>
      <c r="L66">
        <f>T47</f>
        <v>24.467819999999996</v>
      </c>
    </row>
    <row r="67" spans="1:20" x14ac:dyDescent="0.25">
      <c r="A67" s="484" t="str">
        <f t="shared" ref="A67" si="6">A22</f>
        <v>Expected return of debt</v>
      </c>
      <c r="B67" s="483"/>
      <c r="L67">
        <f>T54</f>
        <v>10.44</v>
      </c>
    </row>
    <row r="68" spans="1:20" x14ac:dyDescent="0.25">
      <c r="A68" s="406" t="str">
        <f t="shared" ref="A68:C69" si="7">R24</f>
        <v>Sums of weighted interest and $ amount</v>
      </c>
      <c r="B68" s="405">
        <f t="shared" si="7"/>
        <v>2788.9</v>
      </c>
      <c r="C68" s="405">
        <f t="shared" si="7"/>
        <v>69.985320000000002</v>
      </c>
    </row>
    <row r="69" spans="1:20" x14ac:dyDescent="0.25">
      <c r="A69" s="128" t="str">
        <f t="shared" si="7"/>
        <v>Weighted int / $ amount</v>
      </c>
      <c r="B69">
        <f t="shared" si="7"/>
        <v>2.5094237871562265E-2</v>
      </c>
      <c r="C69">
        <f t="shared" si="7"/>
        <v>0</v>
      </c>
    </row>
    <row r="70" spans="1:20" x14ac:dyDescent="0.25">
      <c r="A70" s="485"/>
      <c r="B70" s="483"/>
    </row>
    <row r="71" spans="1:20" x14ac:dyDescent="0.25">
      <c r="A71" s="485"/>
      <c r="B71" s="483"/>
    </row>
    <row r="72" spans="1:20" x14ac:dyDescent="0.25">
      <c r="A72" s="485"/>
      <c r="B72" s="483"/>
    </row>
    <row r="73" spans="1:20" x14ac:dyDescent="0.25">
      <c r="A73" s="485"/>
      <c r="B73" s="491"/>
    </row>
    <row r="74" spans="1:20" x14ac:dyDescent="0.25">
      <c r="A74" s="485"/>
      <c r="B74" s="491"/>
    </row>
    <row r="75" spans="1:20" x14ac:dyDescent="0.25">
      <c r="A75" s="484" t="str">
        <f>A19</f>
        <v>Tax rate</v>
      </c>
      <c r="B75" s="483"/>
    </row>
    <row r="76" spans="1:20" x14ac:dyDescent="0.25">
      <c r="A76" s="485" t="str">
        <f>A20</f>
        <v>Tax rate (rounded to 2 decimal places)</v>
      </c>
      <c r="B76" s="483">
        <f>B20</f>
        <v>0.22500000000000001</v>
      </c>
    </row>
    <row r="77" spans="1:20" x14ac:dyDescent="0.25">
      <c r="A77" s="484"/>
      <c r="B77" s="483"/>
    </row>
    <row r="78" spans="1:20" x14ac:dyDescent="0.25">
      <c r="A78" s="485"/>
      <c r="B78" s="489"/>
    </row>
    <row r="79" spans="1:20" x14ac:dyDescent="0.25">
      <c r="A79" s="484" t="s">
        <v>818</v>
      </c>
      <c r="B79" s="483"/>
    </row>
    <row r="80" spans="1:20" x14ac:dyDescent="0.25">
      <c r="A80" s="485" t="str">
        <f t="shared" ref="A80:B82" si="8">A32</f>
        <v>Risk-free rate</v>
      </c>
      <c r="B80" s="490">
        <f t="shared" si="8"/>
        <v>4.5699999999999998E-2</v>
      </c>
    </row>
    <row r="81" spans="1:2" x14ac:dyDescent="0.25">
      <c r="A81" s="485" t="str">
        <f t="shared" si="8"/>
        <v>Beta</v>
      </c>
      <c r="B81" s="483">
        <f t="shared" si="8"/>
        <v>1.57</v>
      </c>
    </row>
    <row r="82" spans="1:2" x14ac:dyDescent="0.25">
      <c r="A82" s="485" t="str">
        <f t="shared" si="8"/>
        <v>Market premium</v>
      </c>
      <c r="B82" s="490">
        <f t="shared" si="8"/>
        <v>0.05</v>
      </c>
    </row>
    <row r="83" spans="1:2" x14ac:dyDescent="0.25">
      <c r="A83" s="485" t="s">
        <v>816</v>
      </c>
      <c r="B83" s="490">
        <f>B35</f>
        <v>0.1242</v>
      </c>
    </row>
    <row r="84" spans="1:2" x14ac:dyDescent="0.25">
      <c r="A84" s="485" t="str">
        <f>A36</f>
        <v>Expected return of firm's equity (rounded)</v>
      </c>
      <c r="B84" s="490">
        <f>B36</f>
        <v>0.1242</v>
      </c>
    </row>
    <row r="85" spans="1:2" x14ac:dyDescent="0.25">
      <c r="A85" s="484" t="s">
        <v>546</v>
      </c>
      <c r="B85" s="483"/>
    </row>
    <row r="86" spans="1:2" x14ac:dyDescent="0.25">
      <c r="A86" s="485" t="str">
        <f>A39</f>
        <v>Equity weight</v>
      </c>
      <c r="B86" s="490" t="e">
        <f>B39</f>
        <v>#DIV/0!</v>
      </c>
    </row>
    <row r="87" spans="1:2" x14ac:dyDescent="0.25">
      <c r="A87" s="485" t="s">
        <v>816</v>
      </c>
      <c r="B87" s="490">
        <f>B40</f>
        <v>0.1242</v>
      </c>
    </row>
    <row r="88" spans="1:2" x14ac:dyDescent="0.25">
      <c r="A88" s="485" t="str">
        <f>A41</f>
        <v>Debt weight</v>
      </c>
      <c r="B88" s="490" t="e">
        <f>B41</f>
        <v>#DIV/0!</v>
      </c>
    </row>
    <row r="89" spans="1:2" x14ac:dyDescent="0.25">
      <c r="A89" s="485" t="s">
        <v>504</v>
      </c>
      <c r="B89" s="492">
        <f>1-B42</f>
        <v>0.22499999999999998</v>
      </c>
    </row>
    <row r="90" spans="1:2" x14ac:dyDescent="0.25">
      <c r="A90" s="485" t="s">
        <v>817</v>
      </c>
      <c r="B90" s="490">
        <f>B43</f>
        <v>2.5100000000000001E-2</v>
      </c>
    </row>
    <row r="91" spans="1:2" x14ac:dyDescent="0.25">
      <c r="A91" s="484" t="s">
        <v>546</v>
      </c>
      <c r="B91" s="493" t="e">
        <f>B44</f>
        <v>#DIV/0!</v>
      </c>
    </row>
    <row r="92" spans="1:2" x14ac:dyDescent="0.25">
      <c r="A92" s="485"/>
      <c r="B92" s="483"/>
    </row>
    <row r="93" spans="1:2" x14ac:dyDescent="0.25">
      <c r="A93" s="485"/>
      <c r="B93" s="483"/>
    </row>
  </sheetData>
  <mergeCells count="1">
    <mergeCell ref="P21:T23"/>
  </mergeCells>
  <hyperlinks>
    <hyperlink ref="C27" r:id="rId1" display="(20 year treasury bond return)" xr:uid="{7356F0AF-AECD-4239-8294-B0E36D052A4E}"/>
    <hyperlink ref="C34" r:id="rId2" display="https://www.kroll.com/en/insights/publications/cost-of-capital/recommended-us-equity-risk-premium-and-corresponding-risk-free-rates" xr:uid="{E807910F-03FC-46E0-B7A6-C40EEC7879AE}"/>
    <hyperlink ref="E18" r:id="rId3" display="Source: https://pages.stern.nyu.edu/~adamodar/New_Home_Page/datafile/ratings.html (data as of 1/24, obtained 1/7/24)" xr:uid="{4602BFEE-21DB-47B5-AAB8-F3A24896F0FF}"/>
  </hyperlinks>
  <pageMargins left="0.70000000000000007" right="0.70000000000000007" top="0.75" bottom="0.75" header="0.30000000000000004" footer="0.3000000000000000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E4F9-5319-4BDC-A1AF-46C60A1DD789}">
  <sheetPr>
    <tabColor rgb="FFBDD7EE"/>
  </sheetPr>
  <dimension ref="B1:J159"/>
  <sheetViews>
    <sheetView workbookViewId="0">
      <selection activeCell="C21" sqref="C21"/>
    </sheetView>
  </sheetViews>
  <sheetFormatPr defaultRowHeight="15.75" x14ac:dyDescent="0.25"/>
  <cols>
    <col min="1" max="1" width="1.85546875" customWidth="1"/>
    <col min="2" max="2" width="78.28515625" style="118" bestFit="1" customWidth="1"/>
    <col min="3" max="3" width="14.28515625" style="128" customWidth="1"/>
    <col min="4" max="14" width="14.28515625" customWidth="1"/>
    <col min="15" max="15" width="9.140625" customWidth="1"/>
  </cols>
  <sheetData>
    <row r="1" spans="2:9" s="161" customFormat="1" x14ac:dyDescent="0.25">
      <c r="B1" s="162" t="s">
        <v>527</v>
      </c>
      <c r="C1" s="163" t="s">
        <v>528</v>
      </c>
      <c r="D1" s="163" t="s">
        <v>529</v>
      </c>
      <c r="E1" s="163" t="s">
        <v>530</v>
      </c>
      <c r="F1" s="163" t="s">
        <v>531</v>
      </c>
      <c r="G1" s="163" t="s">
        <v>532</v>
      </c>
      <c r="H1" s="163" t="s">
        <v>533</v>
      </c>
      <c r="I1" s="163" t="s">
        <v>534</v>
      </c>
    </row>
    <row r="2" spans="2:9" s="161" customFormat="1" x14ac:dyDescent="0.25">
      <c r="B2" s="162" t="s">
        <v>535</v>
      </c>
      <c r="C2" s="164"/>
      <c r="D2" s="165"/>
      <c r="E2" s="165"/>
      <c r="F2" s="165"/>
      <c r="G2" s="165"/>
      <c r="H2" s="165"/>
      <c r="I2" s="165"/>
    </row>
    <row r="3" spans="2:9" s="166" customFormat="1" x14ac:dyDescent="0.25">
      <c r="B3" s="167" t="s">
        <v>536</v>
      </c>
      <c r="C3" s="168" t="e">
        <f>(fin_model!I19-fin_model!I16)*(1-WACC!$B20)</f>
        <v>#DIV/0!</v>
      </c>
      <c r="D3" s="168" t="e">
        <f>(fin_model!J19-fin_model!J16)*(1-WACC!$B20)</f>
        <v>#DIV/0!</v>
      </c>
      <c r="E3" s="168" t="e">
        <f>(fin_model!K19-fin_model!K16)*(1-WACC!$B20)</f>
        <v>#DIV/0!</v>
      </c>
      <c r="F3" s="168" t="e">
        <f>(fin_model!L19-fin_model!L16)*(1-WACC!$B20)</f>
        <v>#DIV/0!</v>
      </c>
      <c r="G3" s="168" t="e">
        <f>(fin_model!M19-fin_model!M16)*(1-WACC!$B20)</f>
        <v>#DIV/0!</v>
      </c>
      <c r="H3" s="168" t="e">
        <f>(fin_model!N19-fin_model!N16)*(1-WACC!$B20)</f>
        <v>#DIV/0!</v>
      </c>
    </row>
    <row r="4" spans="2:9" s="166" customFormat="1" x14ac:dyDescent="0.25">
      <c r="B4" s="167" t="s">
        <v>214</v>
      </c>
      <c r="C4" s="168" t="e">
        <f>fin_model!I60</f>
        <v>#DIV/0!</v>
      </c>
      <c r="D4" s="168" t="e">
        <f>fin_model!J60</f>
        <v>#DIV/0!</v>
      </c>
      <c r="E4" s="168" t="e">
        <f>fin_model!K60</f>
        <v>#DIV/0!</v>
      </c>
      <c r="F4" s="168" t="e">
        <f>fin_model!L60</f>
        <v>#DIV/0!</v>
      </c>
      <c r="G4" s="168" t="e">
        <f>fin_model!M60</f>
        <v>#DIV/0!</v>
      </c>
      <c r="H4" s="168" t="e">
        <f>fin_model!N60</f>
        <v>#DIV/0!</v>
      </c>
    </row>
    <row r="5" spans="2:9" s="166" customFormat="1" x14ac:dyDescent="0.25">
      <c r="B5" s="167" t="s">
        <v>215</v>
      </c>
      <c r="C5" s="168" t="e">
        <f>fin_model!I61</f>
        <v>#DIV/0!</v>
      </c>
      <c r="D5" s="168" t="e">
        <f>fin_model!J61</f>
        <v>#DIV/0!</v>
      </c>
      <c r="E5" s="168" t="e">
        <f>fin_model!K61</f>
        <v>#DIV/0!</v>
      </c>
      <c r="F5" s="168" t="e">
        <f>fin_model!L61</f>
        <v>#DIV/0!</v>
      </c>
      <c r="G5" s="168" t="e">
        <f>fin_model!M61</f>
        <v>#DIV/0!</v>
      </c>
      <c r="H5" s="168" t="e">
        <f>fin_model!N61</f>
        <v>#DIV/0!</v>
      </c>
    </row>
    <row r="6" spans="2:9" s="166" customFormat="1" x14ac:dyDescent="0.25">
      <c r="B6" s="167" t="s">
        <v>537</v>
      </c>
      <c r="C6" s="168" t="e">
        <f>fin_model!I62</f>
        <v>#DIV/0!</v>
      </c>
      <c r="D6" s="168" t="e">
        <f>fin_model!J62</f>
        <v>#DIV/0!</v>
      </c>
      <c r="E6" s="168" t="e">
        <f>fin_model!K62</f>
        <v>#DIV/0!</v>
      </c>
      <c r="F6" s="168" t="e">
        <f>fin_model!L62</f>
        <v>#DIV/0!</v>
      </c>
      <c r="G6" s="168" t="e">
        <f>fin_model!M62</f>
        <v>#DIV/0!</v>
      </c>
      <c r="H6" s="168" t="e">
        <f>fin_model!N62</f>
        <v>#DIV/0!</v>
      </c>
    </row>
    <row r="7" spans="2:9" s="166" customFormat="1" x14ac:dyDescent="0.25">
      <c r="B7" s="167" t="s">
        <v>219</v>
      </c>
      <c r="C7" s="168" t="e">
        <f>fin_model!I66</f>
        <v>#DIV/0!</v>
      </c>
      <c r="D7" s="168" t="e">
        <f>fin_model!J66</f>
        <v>#DIV/0!</v>
      </c>
      <c r="E7" s="168" t="e">
        <f>fin_model!K66</f>
        <v>#DIV/0!</v>
      </c>
      <c r="F7" s="168" t="e">
        <f>fin_model!L66</f>
        <v>#DIV/0!</v>
      </c>
      <c r="G7" s="168" t="e">
        <f>fin_model!M66</f>
        <v>#DIV/0!</v>
      </c>
      <c r="H7" s="168" t="e">
        <f>fin_model!N66</f>
        <v>#DIV/0!</v>
      </c>
    </row>
    <row r="8" spans="2:9" s="166" customFormat="1" x14ac:dyDescent="0.25">
      <c r="B8" s="169" t="s">
        <v>538</v>
      </c>
      <c r="C8" s="170" t="e">
        <f>SUM(C3:C7)</f>
        <v>#DIV/0!</v>
      </c>
      <c r="D8" s="170" t="e">
        <f t="shared" ref="D8:H8" si="0">SUM(D3:D7)</f>
        <v>#DIV/0!</v>
      </c>
      <c r="E8" s="170" t="e">
        <f t="shared" si="0"/>
        <v>#DIV/0!</v>
      </c>
      <c r="F8" s="170" t="e">
        <f t="shared" si="0"/>
        <v>#DIV/0!</v>
      </c>
      <c r="G8" s="170" t="e">
        <f t="shared" si="0"/>
        <v>#DIV/0!</v>
      </c>
      <c r="H8" s="170" t="e">
        <f t="shared" si="0"/>
        <v>#DIV/0!</v>
      </c>
      <c r="I8" s="171"/>
    </row>
    <row r="9" spans="2:9" s="166" customFormat="1" x14ac:dyDescent="0.25">
      <c r="B9" s="167" t="s">
        <v>539</v>
      </c>
      <c r="C9" s="172"/>
      <c r="D9" s="171"/>
      <c r="E9" s="171"/>
      <c r="F9" s="171"/>
      <c r="G9" s="171"/>
      <c r="H9" s="171"/>
      <c r="I9" s="173" t="e">
        <f>D53</f>
        <v>#DIV/0!</v>
      </c>
    </row>
    <row r="10" spans="2:9" s="166" customFormat="1" x14ac:dyDescent="0.25">
      <c r="B10" s="174" t="s">
        <v>540</v>
      </c>
      <c r="C10" s="175"/>
      <c r="D10" s="176"/>
      <c r="E10" s="176"/>
      <c r="F10" s="176"/>
      <c r="G10" s="176"/>
      <c r="H10" s="176"/>
      <c r="I10" s="173" t="e">
        <f>C61</f>
        <v>#DIV/0!</v>
      </c>
    </row>
    <row r="11" spans="2:9" s="166" customFormat="1" x14ac:dyDescent="0.25">
      <c r="B11" s="177"/>
      <c r="C11" s="175"/>
      <c r="D11" s="176"/>
      <c r="E11" s="176"/>
      <c r="F11" s="176"/>
      <c r="G11" s="176"/>
      <c r="H11" s="176"/>
      <c r="I11" s="176"/>
    </row>
    <row r="12" spans="2:9" s="166" customFormat="1" x14ac:dyDescent="0.25">
      <c r="B12" s="177" t="s">
        <v>539</v>
      </c>
      <c r="C12" s="175"/>
      <c r="D12" s="178"/>
      <c r="E12" s="178"/>
      <c r="F12" s="178"/>
      <c r="G12" s="178"/>
      <c r="H12" s="178"/>
      <c r="I12" s="176"/>
    </row>
    <row r="13" spans="2:9" s="166" customFormat="1" x14ac:dyDescent="0.25">
      <c r="B13" s="179" t="s">
        <v>541</v>
      </c>
      <c r="C13" s="180">
        <v>1</v>
      </c>
      <c r="D13" s="181">
        <v>2</v>
      </c>
      <c r="E13" s="181">
        <v>3</v>
      </c>
      <c r="F13" s="181">
        <v>4</v>
      </c>
      <c r="G13" s="181">
        <v>5</v>
      </c>
      <c r="H13" s="181">
        <v>6</v>
      </c>
      <c r="I13" s="181">
        <v>6</v>
      </c>
    </row>
    <row r="14" spans="2:9" s="166" customFormat="1" x14ac:dyDescent="0.25">
      <c r="B14" s="174" t="s">
        <v>542</v>
      </c>
      <c r="C14" s="168" t="e">
        <f>C8/(1+$C$22)^(C13)</f>
        <v>#DIV/0!</v>
      </c>
      <c r="D14" s="168" t="e">
        <f>D8/(1+$C$22)^D13</f>
        <v>#DIV/0!</v>
      </c>
      <c r="E14" s="168" t="e">
        <f>E8/(1+$C$22)^E13</f>
        <v>#DIV/0!</v>
      </c>
      <c r="F14" s="168" t="e">
        <f>F8/(1+$C$22)^F13</f>
        <v>#DIV/0!</v>
      </c>
      <c r="G14" s="168" t="e">
        <f>G8/(1+$C$22)^G13</f>
        <v>#DIV/0!</v>
      </c>
      <c r="H14" s="168" t="e">
        <f>H8/(1+$C$22)^H13</f>
        <v>#DIV/0!</v>
      </c>
      <c r="I14" s="168" t="e">
        <f>I9/(1+C22)^I13</f>
        <v>#DIV/0!</v>
      </c>
    </row>
    <row r="15" spans="2:9" s="166" customFormat="1" x14ac:dyDescent="0.25">
      <c r="B15" s="182"/>
      <c r="C15" s="175"/>
      <c r="D15" s="178"/>
      <c r="E15" s="178"/>
      <c r="F15" s="178"/>
      <c r="G15" s="178"/>
      <c r="H15" s="178"/>
      <c r="I15" s="183"/>
    </row>
    <row r="16" spans="2:9" s="166" customFormat="1" x14ac:dyDescent="0.25">
      <c r="B16" s="177" t="s">
        <v>540</v>
      </c>
      <c r="C16" s="175"/>
      <c r="D16" s="178"/>
      <c r="E16" s="178"/>
      <c r="F16" s="178"/>
      <c r="G16" s="178"/>
      <c r="H16" s="178"/>
      <c r="I16" s="176"/>
    </row>
    <row r="17" spans="2:10" s="166" customFormat="1" x14ac:dyDescent="0.25">
      <c r="B17" s="179" t="s">
        <v>541</v>
      </c>
      <c r="C17" s="180">
        <v>1</v>
      </c>
      <c r="D17" s="181">
        <v>2</v>
      </c>
      <c r="E17" s="181">
        <v>3</v>
      </c>
      <c r="F17" s="181">
        <v>4</v>
      </c>
      <c r="G17" s="181">
        <v>5</v>
      </c>
      <c r="H17" s="181">
        <v>6</v>
      </c>
      <c r="I17" s="181">
        <v>6</v>
      </c>
    </row>
    <row r="18" spans="2:10" s="166" customFormat="1" x14ac:dyDescent="0.25">
      <c r="B18" s="174" t="s">
        <v>543</v>
      </c>
      <c r="C18" s="168" t="e">
        <f>C8/(1+$C$22)^(C13)</f>
        <v>#DIV/0!</v>
      </c>
      <c r="D18" s="168" t="e">
        <f>D8/(1+$C$22)^D13</f>
        <v>#DIV/0!</v>
      </c>
      <c r="E18" s="168" t="e">
        <f>E8/(1+$C$22)^E13</f>
        <v>#DIV/0!</v>
      </c>
      <c r="F18" s="168" t="e">
        <f>F8/(1+$C$22)^F13</f>
        <v>#DIV/0!</v>
      </c>
      <c r="G18" s="168" t="e">
        <f>G8/(1+$C$22)^G13</f>
        <v>#DIV/0!</v>
      </c>
      <c r="H18" s="168" t="e">
        <f>H8/(1+$C$22)^H13</f>
        <v>#DIV/0!</v>
      </c>
      <c r="I18" s="168" t="e">
        <f>I10/(1+C22)^I17</f>
        <v>#DIV/0!</v>
      </c>
      <c r="J18" s="178"/>
    </row>
    <row r="19" spans="2:10" s="166" customFormat="1" x14ac:dyDescent="0.25">
      <c r="B19" s="184"/>
      <c r="C19" s="172"/>
    </row>
    <row r="20" spans="2:10" s="166" customFormat="1" x14ac:dyDescent="0.25">
      <c r="B20" s="162" t="s">
        <v>544</v>
      </c>
      <c r="C20" s="172"/>
      <c r="D20" s="172"/>
    </row>
    <row r="21" spans="2:10" s="166" customFormat="1" x14ac:dyDescent="0.25">
      <c r="B21" s="174" t="s">
        <v>545</v>
      </c>
      <c r="C21" s="185">
        <v>0.01</v>
      </c>
      <c r="D21" s="186"/>
      <c r="E21" s="187"/>
    </row>
    <row r="22" spans="2:10" s="166" customFormat="1" x14ac:dyDescent="0.25">
      <c r="B22" s="167" t="s">
        <v>546</v>
      </c>
      <c r="C22" s="188" t="e">
        <f>WACC!B45</f>
        <v>#DIV/0!</v>
      </c>
      <c r="D22" s="189"/>
    </row>
    <row r="23" spans="2:10" s="166" customFormat="1" x14ac:dyDescent="0.25">
      <c r="B23" s="167" t="s">
        <v>547</v>
      </c>
      <c r="C23" s="188">
        <f>WACC!B36</f>
        <v>0.1242</v>
      </c>
      <c r="D23" s="190"/>
    </row>
    <row r="24" spans="2:10" s="166" customFormat="1" x14ac:dyDescent="0.25">
      <c r="B24" s="174" t="s">
        <v>548</v>
      </c>
      <c r="C24" s="191">
        <v>8</v>
      </c>
      <c r="E24" s="407" t="s">
        <v>549</v>
      </c>
      <c r="F24" s="408" t="s">
        <v>755</v>
      </c>
    </row>
    <row r="25" spans="2:10" s="166" customFormat="1" x14ac:dyDescent="0.25">
      <c r="B25" s="182"/>
      <c r="C25" s="193"/>
      <c r="D25" s="194"/>
    </row>
    <row r="26" spans="2:10" s="166" customFormat="1" x14ac:dyDescent="0.25">
      <c r="B26" s="174" t="s">
        <v>550</v>
      </c>
      <c r="C26" s="195">
        <f>fin_model!C7</f>
        <v>0</v>
      </c>
      <c r="D26" s="196"/>
    </row>
    <row r="27" spans="2:10" s="166" customFormat="1" x14ac:dyDescent="0.25">
      <c r="B27" s="174" t="s">
        <v>174</v>
      </c>
      <c r="C27" s="195">
        <f>fin_model!C6</f>
        <v>0</v>
      </c>
      <c r="D27" s="196"/>
    </row>
    <row r="28" spans="2:10" s="166" customFormat="1" x14ac:dyDescent="0.25">
      <c r="B28" s="182"/>
      <c r="C28" s="197"/>
      <c r="D28" s="196"/>
    </row>
    <row r="29" spans="2:10" s="166" customFormat="1" x14ac:dyDescent="0.25">
      <c r="B29" s="177" t="s">
        <v>539</v>
      </c>
      <c r="C29" s="197"/>
      <c r="D29" s="196"/>
    </row>
    <row r="30" spans="2:10" s="166" customFormat="1" x14ac:dyDescent="0.25">
      <c r="B30" s="174" t="s">
        <v>551</v>
      </c>
      <c r="C30" s="168" t="e">
        <f>SUM(C14:I14)</f>
        <v>#DIV/0!</v>
      </c>
      <c r="D30" s="178"/>
    </row>
    <row r="31" spans="2:10" s="166" customFormat="1" x14ac:dyDescent="0.25">
      <c r="B31" s="174" t="s">
        <v>552</v>
      </c>
      <c r="C31" s="168">
        <f>C67</f>
        <v>0</v>
      </c>
      <c r="D31" s="178"/>
    </row>
    <row r="32" spans="2:10" s="166" customFormat="1" x14ac:dyDescent="0.25">
      <c r="B32" s="174" t="s">
        <v>553</v>
      </c>
      <c r="C32" s="168" t="e">
        <f>C30-C31</f>
        <v>#DIV/0!</v>
      </c>
      <c r="D32" s="178"/>
    </row>
    <row r="33" spans="2:4" s="166" customFormat="1" x14ac:dyDescent="0.25">
      <c r="B33" s="198" t="s">
        <v>471</v>
      </c>
      <c r="C33" s="199">
        <f>fin_model!H54</f>
        <v>0</v>
      </c>
      <c r="D33" s="200"/>
    </row>
    <row r="34" spans="2:4" s="166" customFormat="1" x14ac:dyDescent="0.25">
      <c r="B34" s="174" t="s">
        <v>554</v>
      </c>
      <c r="C34" s="201" t="e">
        <f>C32/C33</f>
        <v>#DIV/0!</v>
      </c>
      <c r="D34" s="202"/>
    </row>
    <row r="35" spans="2:4" s="166" customFormat="1" x14ac:dyDescent="0.25">
      <c r="B35" s="174" t="s">
        <v>555</v>
      </c>
      <c r="C35" s="203">
        <f>YEARFRAC(C27,C26)</f>
        <v>0</v>
      </c>
      <c r="D35" s="204"/>
    </row>
    <row r="36" spans="2:4" s="166" customFormat="1" x14ac:dyDescent="0.25">
      <c r="B36" s="174" t="s">
        <v>556</v>
      </c>
      <c r="C36" s="201" t="e">
        <f>C34*(1+C23)^C35</f>
        <v>#DIV/0!</v>
      </c>
      <c r="D36" s="205"/>
    </row>
    <row r="37" spans="2:4" s="166" customFormat="1" x14ac:dyDescent="0.25">
      <c r="B37" s="182"/>
      <c r="C37" s="206"/>
      <c r="D37" s="205"/>
    </row>
    <row r="38" spans="2:4" s="166" customFormat="1" x14ac:dyDescent="0.25">
      <c r="B38" s="177" t="s">
        <v>540</v>
      </c>
      <c r="C38" s="197"/>
      <c r="D38" s="196"/>
    </row>
    <row r="39" spans="2:4" s="166" customFormat="1" x14ac:dyDescent="0.25">
      <c r="B39" s="174" t="s">
        <v>551</v>
      </c>
      <c r="C39" s="168" t="e">
        <f>SUM(C18:I18)</f>
        <v>#DIV/0!</v>
      </c>
      <c r="D39" s="178"/>
    </row>
    <row r="40" spans="2:4" s="166" customFormat="1" x14ac:dyDescent="0.25">
      <c r="B40" s="174" t="s">
        <v>552</v>
      </c>
      <c r="C40" s="168">
        <f>C31</f>
        <v>0</v>
      </c>
      <c r="D40" s="178"/>
    </row>
    <row r="41" spans="2:4" s="166" customFormat="1" x14ac:dyDescent="0.25">
      <c r="B41" s="174" t="s">
        <v>553</v>
      </c>
      <c r="C41" s="168" t="e">
        <f>C39-C40</f>
        <v>#DIV/0!</v>
      </c>
      <c r="D41" s="178"/>
    </row>
    <row r="42" spans="2:4" s="166" customFormat="1" x14ac:dyDescent="0.25">
      <c r="B42" s="198" t="s">
        <v>471</v>
      </c>
      <c r="C42" s="199">
        <f>C33</f>
        <v>0</v>
      </c>
      <c r="D42" s="200"/>
    </row>
    <row r="43" spans="2:4" s="166" customFormat="1" x14ac:dyDescent="0.25">
      <c r="B43" s="174" t="s">
        <v>554</v>
      </c>
      <c r="C43" s="207" t="e">
        <f>C41/C42</f>
        <v>#DIV/0!</v>
      </c>
      <c r="D43" s="202"/>
    </row>
    <row r="44" spans="2:4" s="166" customFormat="1" x14ac:dyDescent="0.25">
      <c r="B44" s="174" t="s">
        <v>555</v>
      </c>
      <c r="C44" s="203">
        <f>C35</f>
        <v>0</v>
      </c>
      <c r="D44" s="204"/>
    </row>
    <row r="45" spans="2:4" s="166" customFormat="1" x14ac:dyDescent="0.25">
      <c r="B45" s="174" t="s">
        <v>556</v>
      </c>
      <c r="C45" s="201" t="e">
        <f>C43*(1+C23)^C44</f>
        <v>#DIV/0!</v>
      </c>
      <c r="D45" s="205"/>
    </row>
    <row r="46" spans="2:4" s="161" customFormat="1" x14ac:dyDescent="0.25">
      <c r="B46" s="184"/>
      <c r="C46" s="208"/>
    </row>
    <row r="47" spans="2:4" s="161" customFormat="1" x14ac:dyDescent="0.25">
      <c r="B47" s="184"/>
      <c r="C47" s="208"/>
    </row>
    <row r="48" spans="2:4" s="161" customFormat="1" x14ac:dyDescent="0.25">
      <c r="B48" s="184"/>
      <c r="C48" s="208" t="s">
        <v>533</v>
      </c>
    </row>
    <row r="49" spans="2:4" s="161" customFormat="1" x14ac:dyDescent="0.25">
      <c r="B49" s="184" t="s">
        <v>538</v>
      </c>
      <c r="C49" s="208" t="e">
        <f>H8</f>
        <v>#DIV/0!</v>
      </c>
    </row>
    <row r="50" spans="2:4" s="161" customFormat="1" x14ac:dyDescent="0.25">
      <c r="B50" s="184" t="s">
        <v>557</v>
      </c>
      <c r="C50" s="209">
        <f>1+C21</f>
        <v>1.01</v>
      </c>
    </row>
    <row r="51" spans="2:4" s="161" customFormat="1" x14ac:dyDescent="0.25">
      <c r="B51" s="184" t="s">
        <v>558</v>
      </c>
      <c r="C51" s="208"/>
      <c r="D51" s="161" t="e">
        <f>C49*C50</f>
        <v>#DIV/0!</v>
      </c>
    </row>
    <row r="52" spans="2:4" s="161" customFormat="1" x14ac:dyDescent="0.25">
      <c r="B52" s="184" t="s">
        <v>559</v>
      </c>
      <c r="C52" s="208"/>
      <c r="D52" s="210" t="e">
        <f>C22-C21</f>
        <v>#DIV/0!</v>
      </c>
    </row>
    <row r="53" spans="2:4" s="161" customFormat="1" x14ac:dyDescent="0.25">
      <c r="B53" s="184" t="s">
        <v>560</v>
      </c>
      <c r="C53" s="208"/>
      <c r="D53" s="161" t="e">
        <f>D51/D52</f>
        <v>#DIV/0!</v>
      </c>
    </row>
    <row r="54" spans="2:4" s="161" customFormat="1" x14ac:dyDescent="0.25">
      <c r="B54" s="184"/>
      <c r="C54" s="208"/>
    </row>
    <row r="55" spans="2:4" s="161" customFormat="1" x14ac:dyDescent="0.25">
      <c r="B55" s="184"/>
      <c r="C55" s="208"/>
    </row>
    <row r="56" spans="2:4" s="161" customFormat="1" x14ac:dyDescent="0.25">
      <c r="B56" s="184" t="s">
        <v>561</v>
      </c>
      <c r="C56" s="211" t="e">
        <f>fin_model!N15</f>
        <v>#DIV/0!</v>
      </c>
    </row>
    <row r="57" spans="2:4" s="161" customFormat="1" x14ac:dyDescent="0.25">
      <c r="B57" s="184" t="s">
        <v>562</v>
      </c>
      <c r="C57" s="211" t="e">
        <f>H4</f>
        <v>#DIV/0!</v>
      </c>
    </row>
    <row r="58" spans="2:4" s="161" customFormat="1" x14ac:dyDescent="0.25">
      <c r="B58" s="184" t="s">
        <v>563</v>
      </c>
      <c r="C58" s="212" t="e">
        <f>H5</f>
        <v>#DIV/0!</v>
      </c>
    </row>
    <row r="59" spans="2:4" s="161" customFormat="1" x14ac:dyDescent="0.25">
      <c r="B59" s="184" t="s">
        <v>564</v>
      </c>
      <c r="C59" s="211" t="e">
        <f>SUM(C56:C58)</f>
        <v>#DIV/0!</v>
      </c>
    </row>
    <row r="60" spans="2:4" s="161" customFormat="1" x14ac:dyDescent="0.25">
      <c r="B60" s="184" t="s">
        <v>565</v>
      </c>
      <c r="C60" s="212">
        <f>C24</f>
        <v>8</v>
      </c>
    </row>
    <row r="61" spans="2:4" s="161" customFormat="1" x14ac:dyDescent="0.25">
      <c r="B61" s="184" t="s">
        <v>566</v>
      </c>
      <c r="C61" s="213" t="e">
        <f>C59*C60</f>
        <v>#DIV/0!</v>
      </c>
    </row>
    <row r="62" spans="2:4" s="161" customFormat="1" x14ac:dyDescent="0.25">
      <c r="B62" s="184"/>
      <c r="C62" s="213"/>
    </row>
    <row r="63" spans="2:4" s="161" customFormat="1" x14ac:dyDescent="0.25">
      <c r="B63" s="184" t="s">
        <v>567</v>
      </c>
      <c r="C63" s="213">
        <f>fin_model!G41</f>
        <v>0</v>
      </c>
    </row>
    <row r="64" spans="2:4" s="161" customFormat="1" x14ac:dyDescent="0.25">
      <c r="B64" s="184" t="s">
        <v>568</v>
      </c>
      <c r="C64" s="208">
        <f>fin_model!G42</f>
        <v>0</v>
      </c>
    </row>
    <row r="65" spans="2:3" s="161" customFormat="1" x14ac:dyDescent="0.25">
      <c r="B65" s="184" t="s">
        <v>569</v>
      </c>
      <c r="C65" s="208">
        <f>fin_model!G45</f>
        <v>0</v>
      </c>
    </row>
    <row r="66" spans="2:3" s="161" customFormat="1" x14ac:dyDescent="0.25">
      <c r="B66" s="184" t="s">
        <v>570</v>
      </c>
      <c r="C66" s="208">
        <f>fin_model!G28</f>
        <v>0</v>
      </c>
    </row>
    <row r="67" spans="2:3" s="161" customFormat="1" x14ac:dyDescent="0.25">
      <c r="B67" s="184" t="s">
        <v>571</v>
      </c>
      <c r="C67" s="208">
        <f>SUM(C63:C65)-C66</f>
        <v>0</v>
      </c>
    </row>
    <row r="68" spans="2:3" s="161" customFormat="1" x14ac:dyDescent="0.25">
      <c r="B68" s="184"/>
      <c r="C68" s="208"/>
    </row>
    <row r="69" spans="2:3" s="161" customFormat="1" x14ac:dyDescent="0.25">
      <c r="B69" s="184"/>
      <c r="C69" s="208"/>
    </row>
    <row r="70" spans="2:3" s="161" customFormat="1" x14ac:dyDescent="0.25">
      <c r="B70" s="184" t="s">
        <v>572</v>
      </c>
      <c r="C70" s="208">
        <f>fin_model!C5*fin_model!G54+'DCF_-_FCFF_341'!C67</f>
        <v>0</v>
      </c>
    </row>
    <row r="71" spans="2:3" s="161" customFormat="1" x14ac:dyDescent="0.25">
      <c r="B71" s="184"/>
      <c r="C71" s="208"/>
    </row>
    <row r="72" spans="2:3" s="161" customFormat="1" x14ac:dyDescent="0.25">
      <c r="B72" s="184"/>
      <c r="C72" s="208"/>
    </row>
    <row r="73" spans="2:3" s="161" customFormat="1" x14ac:dyDescent="0.25">
      <c r="B73" s="184"/>
      <c r="C73" s="208"/>
    </row>
    <row r="74" spans="2:3" s="161" customFormat="1" x14ac:dyDescent="0.25">
      <c r="B74" s="184"/>
      <c r="C74" s="208"/>
    </row>
    <row r="75" spans="2:3" s="161" customFormat="1" x14ac:dyDescent="0.25">
      <c r="B75" s="184"/>
      <c r="C75" s="208"/>
    </row>
    <row r="76" spans="2:3" s="161" customFormat="1" x14ac:dyDescent="0.25">
      <c r="B76" s="184"/>
      <c r="C76" s="208"/>
    </row>
    <row r="77" spans="2:3" s="161" customFormat="1" x14ac:dyDescent="0.25">
      <c r="B77" s="184"/>
      <c r="C77" s="208"/>
    </row>
    <row r="78" spans="2:3" s="161" customFormat="1" x14ac:dyDescent="0.25">
      <c r="B78" s="184"/>
      <c r="C78" s="208"/>
    </row>
    <row r="79" spans="2:3" s="161" customFormat="1" x14ac:dyDescent="0.25">
      <c r="B79" s="184"/>
      <c r="C79" s="208"/>
    </row>
    <row r="80" spans="2:3" s="161" customFormat="1" x14ac:dyDescent="0.25">
      <c r="B80" s="184"/>
      <c r="C80" s="208"/>
    </row>
    <row r="81" spans="2:3" s="161" customFormat="1" x14ac:dyDescent="0.25">
      <c r="B81" s="184"/>
      <c r="C81" s="208"/>
    </row>
    <row r="82" spans="2:3" s="161" customFormat="1" x14ac:dyDescent="0.25">
      <c r="B82" s="184"/>
      <c r="C82" s="208"/>
    </row>
    <row r="83" spans="2:3" s="161" customFormat="1" x14ac:dyDescent="0.25">
      <c r="B83" s="184"/>
      <c r="C83" s="208"/>
    </row>
    <row r="84" spans="2:3" s="161" customFormat="1" x14ac:dyDescent="0.25">
      <c r="B84" s="184"/>
      <c r="C84" s="208"/>
    </row>
    <row r="85" spans="2:3" s="161" customFormat="1" x14ac:dyDescent="0.25">
      <c r="B85" s="184"/>
      <c r="C85" s="208"/>
    </row>
    <row r="86" spans="2:3" s="161" customFormat="1" x14ac:dyDescent="0.25">
      <c r="B86" s="184"/>
      <c r="C86" s="208"/>
    </row>
    <row r="87" spans="2:3" s="161" customFormat="1" x14ac:dyDescent="0.25">
      <c r="B87" s="184"/>
      <c r="C87" s="208"/>
    </row>
    <row r="88" spans="2:3" s="161" customFormat="1" x14ac:dyDescent="0.25">
      <c r="B88" s="184"/>
      <c r="C88" s="208"/>
    </row>
    <row r="89" spans="2:3" s="161" customFormat="1" x14ac:dyDescent="0.25">
      <c r="B89" s="184"/>
      <c r="C89" s="208"/>
    </row>
    <row r="90" spans="2:3" s="161" customFormat="1" x14ac:dyDescent="0.25">
      <c r="B90" s="184"/>
      <c r="C90" s="208"/>
    </row>
    <row r="91" spans="2:3" s="161" customFormat="1" x14ac:dyDescent="0.25">
      <c r="B91" s="184"/>
      <c r="C91" s="208"/>
    </row>
    <row r="92" spans="2:3" s="161" customFormat="1" x14ac:dyDescent="0.25">
      <c r="B92" s="184"/>
      <c r="C92" s="208"/>
    </row>
    <row r="93" spans="2:3" s="161" customFormat="1" x14ac:dyDescent="0.25">
      <c r="B93" s="184"/>
      <c r="C93" s="208"/>
    </row>
    <row r="94" spans="2:3" s="161" customFormat="1" x14ac:dyDescent="0.25">
      <c r="B94" s="184"/>
      <c r="C94" s="208"/>
    </row>
    <row r="95" spans="2:3" s="161" customFormat="1" x14ac:dyDescent="0.25">
      <c r="B95" s="184"/>
      <c r="C95" s="208"/>
    </row>
    <row r="96" spans="2:3" s="161" customFormat="1" x14ac:dyDescent="0.25">
      <c r="B96" s="184"/>
      <c r="C96" s="208"/>
    </row>
    <row r="97" spans="2:3" s="161" customFormat="1" x14ac:dyDescent="0.25">
      <c r="B97" s="184"/>
      <c r="C97" s="208"/>
    </row>
    <row r="98" spans="2:3" s="161" customFormat="1" x14ac:dyDescent="0.25">
      <c r="B98" s="184"/>
      <c r="C98" s="208"/>
    </row>
    <row r="99" spans="2:3" s="161" customFormat="1" x14ac:dyDescent="0.25">
      <c r="B99" s="184"/>
      <c r="C99" s="208"/>
    </row>
    <row r="100" spans="2:3" s="161" customFormat="1" x14ac:dyDescent="0.25">
      <c r="B100" s="184"/>
      <c r="C100" s="208"/>
    </row>
    <row r="101" spans="2:3" s="161" customFormat="1" x14ac:dyDescent="0.25">
      <c r="B101" s="184"/>
      <c r="C101" s="208"/>
    </row>
    <row r="102" spans="2:3" s="161" customFormat="1" x14ac:dyDescent="0.25">
      <c r="B102" s="184"/>
      <c r="C102" s="208"/>
    </row>
    <row r="103" spans="2:3" s="161" customFormat="1" x14ac:dyDescent="0.25">
      <c r="B103" s="184"/>
      <c r="C103" s="208"/>
    </row>
    <row r="104" spans="2:3" s="161" customFormat="1" x14ac:dyDescent="0.25">
      <c r="B104" s="184"/>
      <c r="C104" s="208"/>
    </row>
    <row r="105" spans="2:3" s="161" customFormat="1" x14ac:dyDescent="0.25">
      <c r="B105" s="184"/>
      <c r="C105" s="208"/>
    </row>
    <row r="106" spans="2:3" s="161" customFormat="1" x14ac:dyDescent="0.25">
      <c r="B106" s="184"/>
      <c r="C106" s="208"/>
    </row>
    <row r="107" spans="2:3" s="161" customFormat="1" x14ac:dyDescent="0.25">
      <c r="B107" s="184"/>
      <c r="C107" s="208"/>
    </row>
    <row r="108" spans="2:3" s="161" customFormat="1" x14ac:dyDescent="0.25">
      <c r="B108" s="184"/>
      <c r="C108" s="208"/>
    </row>
    <row r="109" spans="2:3" s="161" customFormat="1" x14ac:dyDescent="0.25">
      <c r="B109" s="184"/>
      <c r="C109" s="208"/>
    </row>
    <row r="110" spans="2:3" s="161" customFormat="1" x14ac:dyDescent="0.25">
      <c r="B110" s="184"/>
      <c r="C110" s="208"/>
    </row>
    <row r="111" spans="2:3" s="161" customFormat="1" x14ac:dyDescent="0.25">
      <c r="B111" s="184"/>
      <c r="C111" s="208"/>
    </row>
    <row r="112" spans="2:3" s="161" customFormat="1" x14ac:dyDescent="0.25">
      <c r="B112" s="184"/>
      <c r="C112" s="208"/>
    </row>
    <row r="113" spans="2:3" s="161" customFormat="1" x14ac:dyDescent="0.25">
      <c r="B113" s="184"/>
      <c r="C113" s="208"/>
    </row>
    <row r="114" spans="2:3" s="161" customFormat="1" x14ac:dyDescent="0.25">
      <c r="B114" s="184"/>
      <c r="C114" s="208"/>
    </row>
    <row r="115" spans="2:3" s="161" customFormat="1" x14ac:dyDescent="0.25">
      <c r="B115" s="184"/>
      <c r="C115" s="208"/>
    </row>
    <row r="116" spans="2:3" s="161" customFormat="1" x14ac:dyDescent="0.25">
      <c r="B116" s="184"/>
      <c r="C116" s="208"/>
    </row>
    <row r="117" spans="2:3" s="161" customFormat="1" x14ac:dyDescent="0.25">
      <c r="B117" s="184"/>
      <c r="C117" s="208"/>
    </row>
    <row r="118" spans="2:3" s="161" customFormat="1" x14ac:dyDescent="0.25">
      <c r="B118" s="184"/>
      <c r="C118" s="208"/>
    </row>
    <row r="119" spans="2:3" s="161" customFormat="1" x14ac:dyDescent="0.25">
      <c r="B119" s="184"/>
      <c r="C119" s="208"/>
    </row>
    <row r="120" spans="2:3" s="161" customFormat="1" x14ac:dyDescent="0.25">
      <c r="B120" s="184"/>
      <c r="C120" s="208"/>
    </row>
    <row r="121" spans="2:3" s="161" customFormat="1" x14ac:dyDescent="0.25">
      <c r="B121" s="184"/>
      <c r="C121" s="208"/>
    </row>
    <row r="122" spans="2:3" s="161" customFormat="1" x14ac:dyDescent="0.25">
      <c r="B122" s="184"/>
      <c r="C122" s="208"/>
    </row>
    <row r="123" spans="2:3" s="161" customFormat="1" x14ac:dyDescent="0.25">
      <c r="B123" s="184"/>
      <c r="C123" s="208"/>
    </row>
    <row r="124" spans="2:3" s="161" customFormat="1" x14ac:dyDescent="0.25">
      <c r="B124" s="184"/>
      <c r="C124" s="208"/>
    </row>
    <row r="125" spans="2:3" s="161" customFormat="1" x14ac:dyDescent="0.25">
      <c r="B125" s="184"/>
      <c r="C125" s="208"/>
    </row>
    <row r="126" spans="2:3" s="161" customFormat="1" x14ac:dyDescent="0.25">
      <c r="B126" s="184"/>
      <c r="C126" s="208"/>
    </row>
    <row r="127" spans="2:3" s="161" customFormat="1" x14ac:dyDescent="0.25">
      <c r="B127" s="184"/>
      <c r="C127" s="208"/>
    </row>
    <row r="128" spans="2:3" s="161" customFormat="1" x14ac:dyDescent="0.25">
      <c r="B128" s="184"/>
      <c r="C128" s="208"/>
    </row>
    <row r="129" spans="2:3" s="161" customFormat="1" x14ac:dyDescent="0.25">
      <c r="B129" s="184"/>
      <c r="C129" s="208"/>
    </row>
    <row r="130" spans="2:3" s="161" customFormat="1" x14ac:dyDescent="0.25">
      <c r="B130" s="184"/>
      <c r="C130" s="208"/>
    </row>
    <row r="131" spans="2:3" s="161" customFormat="1" x14ac:dyDescent="0.25">
      <c r="B131" s="184"/>
      <c r="C131" s="208"/>
    </row>
    <row r="132" spans="2:3" s="161" customFormat="1" x14ac:dyDescent="0.25">
      <c r="B132" s="184"/>
      <c r="C132" s="208"/>
    </row>
    <row r="133" spans="2:3" s="161" customFormat="1" x14ac:dyDescent="0.25">
      <c r="B133" s="184"/>
      <c r="C133" s="208"/>
    </row>
    <row r="134" spans="2:3" s="161" customFormat="1" x14ac:dyDescent="0.25">
      <c r="B134" s="184"/>
      <c r="C134" s="208"/>
    </row>
    <row r="135" spans="2:3" s="161" customFormat="1" x14ac:dyDescent="0.25">
      <c r="B135" s="184"/>
      <c r="C135" s="208"/>
    </row>
    <row r="136" spans="2:3" s="161" customFormat="1" x14ac:dyDescent="0.25">
      <c r="B136" s="184"/>
      <c r="C136" s="208"/>
    </row>
    <row r="137" spans="2:3" s="161" customFormat="1" x14ac:dyDescent="0.25">
      <c r="B137" s="184"/>
      <c r="C137" s="208"/>
    </row>
    <row r="138" spans="2:3" s="161" customFormat="1" x14ac:dyDescent="0.25">
      <c r="B138" s="184"/>
      <c r="C138" s="208"/>
    </row>
    <row r="139" spans="2:3" s="161" customFormat="1" x14ac:dyDescent="0.25">
      <c r="B139" s="184"/>
      <c r="C139" s="208"/>
    </row>
    <row r="140" spans="2:3" s="161" customFormat="1" x14ac:dyDescent="0.25">
      <c r="B140" s="184"/>
      <c r="C140" s="208"/>
    </row>
    <row r="141" spans="2:3" s="161" customFormat="1" x14ac:dyDescent="0.25">
      <c r="B141" s="184"/>
      <c r="C141" s="208"/>
    </row>
    <row r="142" spans="2:3" s="161" customFormat="1" x14ac:dyDescent="0.25">
      <c r="B142" s="184"/>
      <c r="C142" s="208"/>
    </row>
    <row r="143" spans="2:3" s="161" customFormat="1" x14ac:dyDescent="0.25">
      <c r="B143" s="184"/>
      <c r="C143" s="208"/>
    </row>
    <row r="144" spans="2:3" s="161" customFormat="1" x14ac:dyDescent="0.25">
      <c r="B144" s="184"/>
      <c r="C144" s="208"/>
    </row>
    <row r="145" spans="2:3" s="161" customFormat="1" x14ac:dyDescent="0.25">
      <c r="B145" s="184"/>
      <c r="C145" s="208"/>
    </row>
    <row r="146" spans="2:3" s="161" customFormat="1" x14ac:dyDescent="0.25">
      <c r="B146" s="184"/>
      <c r="C146" s="208"/>
    </row>
    <row r="147" spans="2:3" s="161" customFormat="1" x14ac:dyDescent="0.25">
      <c r="B147" s="184"/>
      <c r="C147" s="208"/>
    </row>
    <row r="148" spans="2:3" s="161" customFormat="1" x14ac:dyDescent="0.25">
      <c r="B148" s="184"/>
      <c r="C148" s="208"/>
    </row>
    <row r="149" spans="2:3" s="161" customFormat="1" x14ac:dyDescent="0.25">
      <c r="B149" s="184"/>
      <c r="C149" s="208"/>
    </row>
    <row r="150" spans="2:3" s="161" customFormat="1" x14ac:dyDescent="0.25">
      <c r="B150" s="184"/>
      <c r="C150" s="208"/>
    </row>
    <row r="151" spans="2:3" s="161" customFormat="1" x14ac:dyDescent="0.25">
      <c r="B151" s="184"/>
      <c r="C151" s="208"/>
    </row>
    <row r="152" spans="2:3" s="161" customFormat="1" x14ac:dyDescent="0.25">
      <c r="B152" s="184"/>
      <c r="C152" s="208"/>
    </row>
    <row r="153" spans="2:3" s="161" customFormat="1" x14ac:dyDescent="0.25">
      <c r="B153" s="184"/>
      <c r="C153" s="208"/>
    </row>
    <row r="154" spans="2:3" s="161" customFormat="1" x14ac:dyDescent="0.25">
      <c r="B154" s="184"/>
      <c r="C154" s="208"/>
    </row>
    <row r="155" spans="2:3" s="161" customFormat="1" x14ac:dyDescent="0.25">
      <c r="B155" s="184"/>
      <c r="C155" s="208"/>
    </row>
    <row r="156" spans="2:3" s="161" customFormat="1" x14ac:dyDescent="0.25">
      <c r="B156" s="184"/>
      <c r="C156" s="208"/>
    </row>
    <row r="157" spans="2:3" s="161" customFormat="1" x14ac:dyDescent="0.25">
      <c r="B157" s="184"/>
      <c r="C157" s="208"/>
    </row>
    <row r="158" spans="2:3" s="161" customFormat="1" x14ac:dyDescent="0.25">
      <c r="B158" s="184"/>
      <c r="C158" s="208"/>
    </row>
    <row r="159" spans="2:3" s="161" customFormat="1" x14ac:dyDescent="0.25">
      <c r="B159" s="184"/>
      <c r="C159" s="208"/>
    </row>
  </sheetData>
  <hyperlinks>
    <hyperlink ref="E24" r:id="rId1" xr:uid="{3BF058AC-8907-4401-87B0-F20BC62BDBF1}"/>
    <hyperlink ref="F24" r:id="rId2" xr:uid="{C1C06693-209C-4265-BD96-C3DD3D72DFDD}"/>
  </hyperlinks>
  <pageMargins left="0.70000000000000007" right="0.70000000000000007" top="0.75" bottom="0.75" header="0.30000000000000004" footer="0.3000000000000000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7CA8-AA78-43C4-B698-BA6E6FBAA296}">
  <sheetPr>
    <tabColor rgb="FFBDD7EE"/>
  </sheetPr>
  <dimension ref="B1:U89"/>
  <sheetViews>
    <sheetView topLeftCell="A25" workbookViewId="0">
      <selection activeCell="E45" sqref="E45"/>
    </sheetView>
  </sheetViews>
  <sheetFormatPr defaultRowHeight="15.75" x14ac:dyDescent="0.25"/>
  <cols>
    <col min="1" max="1" width="1.85546875" customWidth="1"/>
    <col min="2" max="2" width="78.28515625" style="118" bestFit="1" customWidth="1"/>
    <col min="3" max="3" width="14.28515625" style="128" customWidth="1"/>
    <col min="4" max="9" width="14.28515625" customWidth="1"/>
    <col min="10" max="11" width="9.85546875" customWidth="1"/>
    <col min="12" max="12" width="10" customWidth="1"/>
    <col min="13" max="13" width="9.85546875" customWidth="1"/>
    <col min="14" max="14" width="10.140625" customWidth="1"/>
    <col min="15" max="15" width="9.140625" customWidth="1"/>
  </cols>
  <sheetData>
    <row r="1" spans="2:9" s="161" customFormat="1" x14ac:dyDescent="0.25">
      <c r="B1" s="162" t="s">
        <v>527</v>
      </c>
      <c r="C1" s="163" t="s">
        <v>528</v>
      </c>
      <c r="D1" s="163" t="s">
        <v>529</v>
      </c>
      <c r="E1" s="163" t="s">
        <v>530</v>
      </c>
      <c r="F1" s="163" t="s">
        <v>531</v>
      </c>
      <c r="G1" s="163" t="s">
        <v>532</v>
      </c>
      <c r="H1" s="163" t="s">
        <v>533</v>
      </c>
      <c r="I1" s="163" t="s">
        <v>534</v>
      </c>
    </row>
    <row r="2" spans="2:9" s="161" customFormat="1" x14ac:dyDescent="0.25">
      <c r="B2" s="162" t="s">
        <v>535</v>
      </c>
      <c r="C2" s="164"/>
      <c r="D2" s="165"/>
      <c r="E2" s="165"/>
      <c r="F2" s="165"/>
      <c r="G2" s="165"/>
      <c r="H2" s="165"/>
      <c r="I2" s="165"/>
    </row>
    <row r="3" spans="2:9" s="166" customFormat="1" x14ac:dyDescent="0.25">
      <c r="B3" s="167" t="s">
        <v>536</v>
      </c>
      <c r="C3" s="168" t="e">
        <f>'DCF_-_FCFF_341'!C3</f>
        <v>#DIV/0!</v>
      </c>
      <c r="D3" s="168" t="e">
        <f>'DCF_-_FCFF_341'!D3</f>
        <v>#DIV/0!</v>
      </c>
      <c r="E3" s="168" t="e">
        <f>'DCF_-_FCFF_341'!E3</f>
        <v>#DIV/0!</v>
      </c>
      <c r="F3" s="168" t="e">
        <f>'DCF_-_FCFF_341'!F3</f>
        <v>#DIV/0!</v>
      </c>
      <c r="G3" s="168" t="e">
        <f>'DCF_-_FCFF_341'!G3</f>
        <v>#DIV/0!</v>
      </c>
      <c r="H3" s="168" t="e">
        <f>'DCF_-_FCFF_341'!H3</f>
        <v>#DIV/0!</v>
      </c>
    </row>
    <row r="4" spans="2:9" s="166" customFormat="1" x14ac:dyDescent="0.25">
      <c r="B4" s="167" t="s">
        <v>214</v>
      </c>
      <c r="C4" s="168" t="e">
        <f>'DCF_-_FCFF_341'!C4</f>
        <v>#DIV/0!</v>
      </c>
      <c r="D4" s="168" t="e">
        <f>'DCF_-_FCFF_341'!D4</f>
        <v>#DIV/0!</v>
      </c>
      <c r="E4" s="168" t="e">
        <f>'DCF_-_FCFF_341'!E4</f>
        <v>#DIV/0!</v>
      </c>
      <c r="F4" s="168" t="e">
        <f>'DCF_-_FCFF_341'!F4</f>
        <v>#DIV/0!</v>
      </c>
      <c r="G4" s="168" t="e">
        <f>'DCF_-_FCFF_341'!G4</f>
        <v>#DIV/0!</v>
      </c>
      <c r="H4" s="168" t="e">
        <f>'DCF_-_FCFF_341'!H4</f>
        <v>#DIV/0!</v>
      </c>
    </row>
    <row r="5" spans="2:9" s="166" customFormat="1" x14ac:dyDescent="0.25">
      <c r="B5" s="167" t="s">
        <v>215</v>
      </c>
      <c r="C5" s="168" t="e">
        <f>'DCF_-_FCFF_341'!C5</f>
        <v>#DIV/0!</v>
      </c>
      <c r="D5" s="168" t="e">
        <f>'DCF_-_FCFF_341'!D5</f>
        <v>#DIV/0!</v>
      </c>
      <c r="E5" s="168" t="e">
        <f>'DCF_-_FCFF_341'!E5</f>
        <v>#DIV/0!</v>
      </c>
      <c r="F5" s="168" t="e">
        <f>'DCF_-_FCFF_341'!F5</f>
        <v>#DIV/0!</v>
      </c>
      <c r="G5" s="168" t="e">
        <f>'DCF_-_FCFF_341'!G5</f>
        <v>#DIV/0!</v>
      </c>
      <c r="H5" s="168" t="e">
        <f>'DCF_-_FCFF_341'!H5</f>
        <v>#DIV/0!</v>
      </c>
    </row>
    <row r="6" spans="2:9" s="166" customFormat="1" x14ac:dyDescent="0.25">
      <c r="B6" s="167" t="s">
        <v>537</v>
      </c>
      <c r="C6" s="168" t="e">
        <f>'DCF_-_FCFF_341'!C6</f>
        <v>#DIV/0!</v>
      </c>
      <c r="D6" s="168" t="e">
        <f>'DCF_-_FCFF_341'!D6</f>
        <v>#DIV/0!</v>
      </c>
      <c r="E6" s="168" t="e">
        <f>'DCF_-_FCFF_341'!E6</f>
        <v>#DIV/0!</v>
      </c>
      <c r="F6" s="168" t="e">
        <f>'DCF_-_FCFF_341'!F6</f>
        <v>#DIV/0!</v>
      </c>
      <c r="G6" s="168" t="e">
        <f>'DCF_-_FCFF_341'!G6</f>
        <v>#DIV/0!</v>
      </c>
      <c r="H6" s="168" t="e">
        <f>'DCF_-_FCFF_341'!H6</f>
        <v>#DIV/0!</v>
      </c>
    </row>
    <row r="7" spans="2:9" s="166" customFormat="1" x14ac:dyDescent="0.25">
      <c r="B7" s="167" t="s">
        <v>219</v>
      </c>
      <c r="C7" s="168" t="e">
        <f>'DCF_-_FCFF_341'!C7</f>
        <v>#DIV/0!</v>
      </c>
      <c r="D7" s="168" t="e">
        <f>'DCF_-_FCFF_341'!D7</f>
        <v>#DIV/0!</v>
      </c>
      <c r="E7" s="168" t="e">
        <f>'DCF_-_FCFF_341'!E7</f>
        <v>#DIV/0!</v>
      </c>
      <c r="F7" s="168" t="e">
        <f>'DCF_-_FCFF_341'!F7</f>
        <v>#DIV/0!</v>
      </c>
      <c r="G7" s="168" t="e">
        <f>'DCF_-_FCFF_341'!G7</f>
        <v>#DIV/0!</v>
      </c>
      <c r="H7" s="168" t="e">
        <f>'DCF_-_FCFF_341'!H7</f>
        <v>#DIV/0!</v>
      </c>
    </row>
    <row r="8" spans="2:9" s="166" customFormat="1" x14ac:dyDescent="0.25">
      <c r="B8" s="169" t="s">
        <v>538</v>
      </c>
      <c r="C8" s="168" t="e">
        <f>SUM(C3:C7)</f>
        <v>#DIV/0!</v>
      </c>
      <c r="D8" s="168" t="e">
        <f t="shared" ref="D8:H8" si="0">SUM(D3:D7)</f>
        <v>#DIV/0!</v>
      </c>
      <c r="E8" s="168" t="e">
        <f t="shared" si="0"/>
        <v>#DIV/0!</v>
      </c>
      <c r="F8" s="168" t="e">
        <f t="shared" si="0"/>
        <v>#DIV/0!</v>
      </c>
      <c r="G8" s="168" t="e">
        <f t="shared" si="0"/>
        <v>#DIV/0!</v>
      </c>
      <c r="H8" s="168" t="e">
        <f t="shared" si="0"/>
        <v>#DIV/0!</v>
      </c>
      <c r="I8" s="171"/>
    </row>
    <row r="9" spans="2:9" s="166" customFormat="1" x14ac:dyDescent="0.25">
      <c r="B9" s="167" t="s">
        <v>539</v>
      </c>
      <c r="C9" s="172"/>
      <c r="D9" s="171"/>
      <c r="E9" s="171"/>
      <c r="F9" s="171"/>
      <c r="G9" s="171"/>
      <c r="H9" s="171"/>
      <c r="I9" s="173" t="e">
        <f>D55</f>
        <v>#DIV/0!</v>
      </c>
    </row>
    <row r="10" spans="2:9" s="166" customFormat="1" x14ac:dyDescent="0.25">
      <c r="B10" s="174" t="s">
        <v>540</v>
      </c>
      <c r="C10" s="175"/>
      <c r="D10" s="176"/>
      <c r="E10" s="176"/>
      <c r="F10" s="176"/>
      <c r="G10" s="176"/>
      <c r="H10" s="176"/>
      <c r="I10" s="173" t="e">
        <f>C63</f>
        <v>#DIV/0!</v>
      </c>
    </row>
    <row r="11" spans="2:9" s="166" customFormat="1" x14ac:dyDescent="0.25">
      <c r="B11" s="182"/>
      <c r="C11" s="175"/>
      <c r="D11" s="176"/>
      <c r="E11" s="176"/>
      <c r="F11" s="176"/>
      <c r="G11" s="176"/>
      <c r="H11" s="176"/>
      <c r="I11" s="176"/>
    </row>
    <row r="12" spans="2:9" s="166" customFormat="1" x14ac:dyDescent="0.25">
      <c r="B12" s="174" t="s">
        <v>573</v>
      </c>
      <c r="C12" s="214">
        <f>1-YEARFRAC(fin_model!C7,fin_model!C6)</f>
        <v>1</v>
      </c>
      <c r="D12" s="215">
        <v>1</v>
      </c>
      <c r="E12" s="215">
        <v>1</v>
      </c>
      <c r="F12" s="215">
        <v>1</v>
      </c>
      <c r="G12" s="215">
        <v>1</v>
      </c>
      <c r="H12" s="215">
        <v>1</v>
      </c>
      <c r="I12" s="215">
        <v>1</v>
      </c>
    </row>
    <row r="13" spans="2:9" s="166" customFormat="1" x14ac:dyDescent="0.25">
      <c r="B13" s="174" t="s">
        <v>574</v>
      </c>
      <c r="C13" s="216" t="e">
        <f t="shared" ref="C13:H13" si="1">C8*C12</f>
        <v>#DIV/0!</v>
      </c>
      <c r="D13" s="216" t="e">
        <f t="shared" si="1"/>
        <v>#DIV/0!</v>
      </c>
      <c r="E13" s="216" t="e">
        <f t="shared" si="1"/>
        <v>#DIV/0!</v>
      </c>
      <c r="F13" s="216" t="e">
        <f t="shared" si="1"/>
        <v>#DIV/0!</v>
      </c>
      <c r="G13" s="216" t="e">
        <f t="shared" si="1"/>
        <v>#DIV/0!</v>
      </c>
      <c r="H13" s="216" t="e">
        <f t="shared" si="1"/>
        <v>#DIV/0!</v>
      </c>
      <c r="I13" s="216" t="e">
        <f>I9*I12</f>
        <v>#DIV/0!</v>
      </c>
    </row>
    <row r="14" spans="2:9" s="166" customFormat="1" x14ac:dyDescent="0.25">
      <c r="B14" s="174" t="s">
        <v>575</v>
      </c>
      <c r="C14" s="216" t="e">
        <f t="shared" ref="C14:H14" si="2">C8*C12</f>
        <v>#DIV/0!</v>
      </c>
      <c r="D14" s="216" t="e">
        <f t="shared" si="2"/>
        <v>#DIV/0!</v>
      </c>
      <c r="E14" s="216" t="e">
        <f t="shared" si="2"/>
        <v>#DIV/0!</v>
      </c>
      <c r="F14" s="216" t="e">
        <f t="shared" si="2"/>
        <v>#DIV/0!</v>
      </c>
      <c r="G14" s="216" t="e">
        <f t="shared" si="2"/>
        <v>#DIV/0!</v>
      </c>
      <c r="H14" s="216" t="e">
        <f t="shared" si="2"/>
        <v>#DIV/0!</v>
      </c>
      <c r="I14" s="216" t="e">
        <f>I10*I12</f>
        <v>#DIV/0!</v>
      </c>
    </row>
    <row r="15" spans="2:9" s="166" customFormat="1" x14ac:dyDescent="0.25">
      <c r="B15" s="177"/>
      <c r="C15" s="175"/>
      <c r="D15" s="176"/>
      <c r="E15" s="176"/>
      <c r="F15" s="176"/>
      <c r="G15" s="176"/>
      <c r="H15" s="176"/>
      <c r="I15" s="176"/>
    </row>
    <row r="16" spans="2:9" s="166" customFormat="1" x14ac:dyDescent="0.25">
      <c r="B16" s="177" t="s">
        <v>539</v>
      </c>
      <c r="C16" s="175"/>
      <c r="D16" s="178"/>
      <c r="E16" s="178"/>
      <c r="F16" s="178"/>
      <c r="G16" s="178"/>
      <c r="H16" s="178"/>
      <c r="I16" s="176"/>
    </row>
    <row r="17" spans="2:14" s="166" customFormat="1" x14ac:dyDescent="0.25">
      <c r="B17" s="179" t="s">
        <v>576</v>
      </c>
      <c r="C17" s="180">
        <v>1</v>
      </c>
      <c r="D17" s="181">
        <v>2</v>
      </c>
      <c r="E17" s="181">
        <v>3</v>
      </c>
      <c r="F17" s="181">
        <v>4</v>
      </c>
      <c r="G17" s="181">
        <v>5</v>
      </c>
      <c r="H17" s="181">
        <v>6</v>
      </c>
      <c r="I17" s="181">
        <v>6</v>
      </c>
    </row>
    <row r="18" spans="2:14" s="166" customFormat="1" x14ac:dyDescent="0.25">
      <c r="B18" s="179" t="s">
        <v>541</v>
      </c>
      <c r="C18" s="217">
        <f>0.5*(1-YEARFRAC(C31,C32))</f>
        <v>0.5</v>
      </c>
      <c r="D18" s="217">
        <f t="shared" ref="D18:I18" si="3">D17-YEARFRAC($C$31,$C32)-0.5</f>
        <v>1.5</v>
      </c>
      <c r="E18" s="217">
        <f t="shared" si="3"/>
        <v>2.5</v>
      </c>
      <c r="F18" s="217">
        <f t="shared" si="3"/>
        <v>3.5</v>
      </c>
      <c r="G18" s="217">
        <f t="shared" si="3"/>
        <v>4.5</v>
      </c>
      <c r="H18" s="217">
        <f t="shared" si="3"/>
        <v>5.5</v>
      </c>
      <c r="I18" s="217">
        <f t="shared" si="3"/>
        <v>5.5</v>
      </c>
    </row>
    <row r="19" spans="2:14" s="166" customFormat="1" x14ac:dyDescent="0.25">
      <c r="B19" s="174" t="s">
        <v>542</v>
      </c>
      <c r="C19" s="168" t="e">
        <f t="shared" ref="C19:I19" si="4">C13/(1+$C$28)^C18</f>
        <v>#DIV/0!</v>
      </c>
      <c r="D19" s="168" t="e">
        <f t="shared" si="4"/>
        <v>#DIV/0!</v>
      </c>
      <c r="E19" s="168" t="e">
        <f t="shared" si="4"/>
        <v>#DIV/0!</v>
      </c>
      <c r="F19" s="168" t="e">
        <f t="shared" si="4"/>
        <v>#DIV/0!</v>
      </c>
      <c r="G19" s="168" t="e">
        <f t="shared" si="4"/>
        <v>#DIV/0!</v>
      </c>
      <c r="H19" s="168" t="e">
        <f t="shared" si="4"/>
        <v>#DIV/0!</v>
      </c>
      <c r="I19" s="168" t="e">
        <f t="shared" si="4"/>
        <v>#DIV/0!</v>
      </c>
    </row>
    <row r="20" spans="2:14" s="166" customFormat="1" x14ac:dyDescent="0.25">
      <c r="B20" s="182"/>
      <c r="C20" s="175"/>
      <c r="D20" s="178"/>
      <c r="E20" s="178"/>
      <c r="F20" s="178"/>
      <c r="G20" s="178"/>
      <c r="H20" s="178"/>
      <c r="I20" s="183"/>
    </row>
    <row r="21" spans="2:14" s="166" customFormat="1" x14ac:dyDescent="0.25">
      <c r="B21" s="177" t="s">
        <v>540</v>
      </c>
      <c r="C21" s="175"/>
      <c r="D21" s="178"/>
      <c r="E21" s="178"/>
      <c r="F21" s="178"/>
      <c r="G21" s="178"/>
      <c r="H21" s="178"/>
      <c r="I21" s="176"/>
    </row>
    <row r="22" spans="2:14" s="166" customFormat="1" x14ac:dyDescent="0.25">
      <c r="B22" s="179" t="s">
        <v>576</v>
      </c>
      <c r="C22" s="180">
        <v>1</v>
      </c>
      <c r="D22" s="181">
        <v>2</v>
      </c>
      <c r="E22" s="181">
        <v>3</v>
      </c>
      <c r="F22" s="181">
        <v>4</v>
      </c>
      <c r="G22" s="181">
        <v>5</v>
      </c>
      <c r="H22" s="181">
        <v>6</v>
      </c>
      <c r="I22" s="181">
        <v>6</v>
      </c>
    </row>
    <row r="23" spans="2:14" s="166" customFormat="1" x14ac:dyDescent="0.25">
      <c r="B23" s="179" t="s">
        <v>541</v>
      </c>
      <c r="C23" s="217">
        <f t="shared" ref="C23:H23" si="5">C18</f>
        <v>0.5</v>
      </c>
      <c r="D23" s="217">
        <f t="shared" si="5"/>
        <v>1.5</v>
      </c>
      <c r="E23" s="217">
        <f t="shared" si="5"/>
        <v>2.5</v>
      </c>
      <c r="F23" s="217">
        <f t="shared" si="5"/>
        <v>3.5</v>
      </c>
      <c r="G23" s="217">
        <f t="shared" si="5"/>
        <v>4.5</v>
      </c>
      <c r="H23" s="217">
        <f t="shared" si="5"/>
        <v>5.5</v>
      </c>
      <c r="I23" s="217">
        <f>I17-YEARFRAC($C$31,$C32)</f>
        <v>6</v>
      </c>
    </row>
    <row r="24" spans="2:14" s="166" customFormat="1" x14ac:dyDescent="0.25">
      <c r="B24" s="174" t="s">
        <v>543</v>
      </c>
      <c r="C24" s="168" t="e">
        <f t="shared" ref="C24:H24" si="6">C14/(1+$C$28)^C18</f>
        <v>#DIV/0!</v>
      </c>
      <c r="D24" s="168" t="e">
        <f t="shared" si="6"/>
        <v>#DIV/0!</v>
      </c>
      <c r="E24" s="168" t="e">
        <f t="shared" si="6"/>
        <v>#DIV/0!</v>
      </c>
      <c r="F24" s="168" t="e">
        <f t="shared" si="6"/>
        <v>#DIV/0!</v>
      </c>
      <c r="G24" s="168" t="e">
        <f t="shared" si="6"/>
        <v>#DIV/0!</v>
      </c>
      <c r="H24" s="168" t="e">
        <f t="shared" si="6"/>
        <v>#DIV/0!</v>
      </c>
      <c r="I24" s="168" t="e">
        <f>I14/(1+$C$28)^I23</f>
        <v>#DIV/0!</v>
      </c>
    </row>
    <row r="25" spans="2:14" s="166" customFormat="1" x14ac:dyDescent="0.25">
      <c r="B25" s="184"/>
      <c r="C25" s="172"/>
    </row>
    <row r="26" spans="2:14" s="166" customFormat="1" x14ac:dyDescent="0.25">
      <c r="B26" s="162" t="s">
        <v>544</v>
      </c>
      <c r="C26" s="172"/>
      <c r="D26" s="172"/>
    </row>
    <row r="27" spans="2:14" s="166" customFormat="1" x14ac:dyDescent="0.25">
      <c r="B27" s="167" t="s">
        <v>545</v>
      </c>
      <c r="C27" s="188">
        <f>'DCF_-_FCFF_341'!C21</f>
        <v>0.01</v>
      </c>
      <c r="D27" s="186"/>
      <c r="E27" s="187"/>
      <c r="J27" s="218" t="s">
        <v>577</v>
      </c>
    </row>
    <row r="28" spans="2:14" s="166" customFormat="1" x14ac:dyDescent="0.25">
      <c r="B28" s="167" t="s">
        <v>546</v>
      </c>
      <c r="C28" s="188" t="e">
        <f>'DCF_-_FCFF_341'!C22</f>
        <v>#DIV/0!</v>
      </c>
      <c r="D28" s="189"/>
      <c r="L28" s="166" t="s">
        <v>578</v>
      </c>
    </row>
    <row r="29" spans="2:14" s="166" customFormat="1" x14ac:dyDescent="0.25">
      <c r="B29" s="174" t="s">
        <v>548</v>
      </c>
      <c r="C29" s="203">
        <f>'DCF_-_FCFF_341'!C24</f>
        <v>8</v>
      </c>
      <c r="D29" s="192"/>
      <c r="I29" s="219" t="e">
        <f>C41</f>
        <v>#DIV/0!</v>
      </c>
      <c r="J29" s="220">
        <v>5.0000000000000001E-3</v>
      </c>
      <c r="K29" s="220">
        <v>7.4999999999999997E-3</v>
      </c>
      <c r="L29" s="220">
        <v>0.01</v>
      </c>
      <c r="M29" s="220">
        <v>1.2500000000000001E-2</v>
      </c>
      <c r="N29" s="220">
        <v>1.4999999999999999E-2</v>
      </c>
    </row>
    <row r="30" spans="2:14" s="166" customFormat="1" x14ac:dyDescent="0.25">
      <c r="B30" s="182"/>
      <c r="C30" s="193"/>
      <c r="D30" s="194"/>
      <c r="I30" s="220">
        <v>0.10249999999999999</v>
      </c>
      <c r="J30" s="221" t="e">
        <f t="dataTable" ref="J30:N34" dt2D="1" dtr="1" r1="C27" r2="C28"/>
        <v>#DIV/0!</v>
      </c>
      <c r="K30" s="222" t="e">
        <v>#DIV/0!</v>
      </c>
      <c r="L30" s="222" t="e">
        <v>#DIV/0!</v>
      </c>
      <c r="M30" s="222" t="e">
        <v>#DIV/0!</v>
      </c>
      <c r="N30" s="223" t="e">
        <v>#DIV/0!</v>
      </c>
    </row>
    <row r="31" spans="2:14" s="166" customFormat="1" x14ac:dyDescent="0.25">
      <c r="B31" s="174" t="s">
        <v>550</v>
      </c>
      <c r="C31" s="195">
        <f>fin_model!C7</f>
        <v>0</v>
      </c>
      <c r="D31" s="196"/>
      <c r="I31" s="220">
        <v>0.1051</v>
      </c>
      <c r="J31" s="224" t="e">
        <v>#DIV/0!</v>
      </c>
      <c r="K31" s="225" t="e">
        <v>#DIV/0!</v>
      </c>
      <c r="L31" s="225" t="e">
        <v>#DIV/0!</v>
      </c>
      <c r="M31" s="225" t="e">
        <v>#DIV/0!</v>
      </c>
      <c r="N31" s="226" t="e">
        <v>#DIV/0!</v>
      </c>
    </row>
    <row r="32" spans="2:14" s="166" customFormat="1" x14ac:dyDescent="0.25">
      <c r="B32" s="174" t="s">
        <v>174</v>
      </c>
      <c r="C32" s="195">
        <f>'DCF_-_FCFF_341'!C27</f>
        <v>0</v>
      </c>
      <c r="D32" s="196"/>
      <c r="H32" s="172" t="s">
        <v>546</v>
      </c>
      <c r="I32" s="220">
        <v>0.1076</v>
      </c>
      <c r="J32" s="224" t="e">
        <v>#DIV/0!</v>
      </c>
      <c r="K32" s="225" t="e">
        <v>#DIV/0!</v>
      </c>
      <c r="L32" s="482" t="e">
        <v>#DIV/0!</v>
      </c>
      <c r="M32" s="225" t="e">
        <v>#DIV/0!</v>
      </c>
      <c r="N32" s="226" t="e">
        <v>#DIV/0!</v>
      </c>
    </row>
    <row r="33" spans="2:14" s="166" customFormat="1" x14ac:dyDescent="0.25">
      <c r="B33" s="182"/>
      <c r="C33" s="212"/>
      <c r="D33" s="196"/>
      <c r="I33" s="220">
        <v>0.1101</v>
      </c>
      <c r="J33" s="224" t="e">
        <v>#DIV/0!</v>
      </c>
      <c r="K33" s="225" t="e">
        <v>#DIV/0!</v>
      </c>
      <c r="L33" s="225" t="e">
        <v>#DIV/0!</v>
      </c>
      <c r="M33" s="225" t="e">
        <v>#DIV/0!</v>
      </c>
      <c r="N33" s="226" t="e">
        <v>#DIV/0!</v>
      </c>
    </row>
    <row r="34" spans="2:14" s="166" customFormat="1" x14ac:dyDescent="0.25">
      <c r="B34" s="184"/>
      <c r="C34" s="197"/>
      <c r="D34" s="196"/>
      <c r="I34" s="220">
        <v>0.11260000000000001</v>
      </c>
      <c r="J34" s="227" t="e">
        <v>#DIV/0!</v>
      </c>
      <c r="K34" s="228" t="e">
        <v>#DIV/0!</v>
      </c>
      <c r="L34" s="228" t="e">
        <v>#DIV/0!</v>
      </c>
      <c r="M34" s="228" t="e">
        <v>#DIV/0!</v>
      </c>
      <c r="N34" s="229" t="e">
        <v>#DIV/0!</v>
      </c>
    </row>
    <row r="35" spans="2:14" s="166" customFormat="1" x14ac:dyDescent="0.25">
      <c r="B35" s="182"/>
      <c r="C35" s="197"/>
      <c r="D35" s="196"/>
    </row>
    <row r="36" spans="2:14" s="166" customFormat="1" x14ac:dyDescent="0.25">
      <c r="B36" s="177" t="s">
        <v>539</v>
      </c>
      <c r="C36" s="197"/>
      <c r="D36" s="196"/>
      <c r="I36" s="218" t="s">
        <v>579</v>
      </c>
      <c r="K36" s="230">
        <f>fin_model!C5</f>
        <v>0</v>
      </c>
    </row>
    <row r="37" spans="2:14" s="166" customFormat="1" x14ac:dyDescent="0.25">
      <c r="B37" s="174" t="s">
        <v>580</v>
      </c>
      <c r="C37" s="168" t="e">
        <f>SUM(C19:I19)</f>
        <v>#DIV/0!</v>
      </c>
      <c r="D37" s="178"/>
    </row>
    <row r="38" spans="2:14" s="166" customFormat="1" x14ac:dyDescent="0.25">
      <c r="B38" s="174" t="s">
        <v>552</v>
      </c>
      <c r="C38" s="168">
        <f>'DCF_-_FCFF_341'!C31</f>
        <v>0</v>
      </c>
      <c r="D38" s="178"/>
    </row>
    <row r="39" spans="2:14" s="166" customFormat="1" x14ac:dyDescent="0.25">
      <c r="B39" s="174" t="s">
        <v>581</v>
      </c>
      <c r="C39" s="168" t="e">
        <f>C37-C38</f>
        <v>#DIV/0!</v>
      </c>
      <c r="D39" s="178"/>
    </row>
    <row r="40" spans="2:14" s="166" customFormat="1" x14ac:dyDescent="0.25">
      <c r="B40" s="198" t="s">
        <v>471</v>
      </c>
      <c r="C40" s="231">
        <f>'DCF_-_FCFF_341'!C33</f>
        <v>0</v>
      </c>
      <c r="D40" s="200"/>
    </row>
    <row r="41" spans="2:14" s="166" customFormat="1" x14ac:dyDescent="0.25">
      <c r="B41" s="174" t="s">
        <v>582</v>
      </c>
      <c r="C41" s="232" t="e">
        <f>C39/C40</f>
        <v>#DIV/0!</v>
      </c>
      <c r="D41" s="202"/>
      <c r="E41" s="189"/>
      <c r="J41" s="166" t="s">
        <v>583</v>
      </c>
    </row>
    <row r="42" spans="2:14" s="166" customFormat="1" x14ac:dyDescent="0.25">
      <c r="B42" s="182"/>
      <c r="C42" s="206"/>
      <c r="D42" s="205"/>
      <c r="L42" s="166" t="s">
        <v>584</v>
      </c>
    </row>
    <row r="43" spans="2:14" s="166" customFormat="1" x14ac:dyDescent="0.25">
      <c r="B43" s="177" t="s">
        <v>540</v>
      </c>
      <c r="C43" s="197"/>
      <c r="D43" s="196"/>
      <c r="I43" s="219" t="e">
        <f>C48</f>
        <v>#DIV/0!</v>
      </c>
      <c r="J43" s="233">
        <v>8.5</v>
      </c>
      <c r="K43" s="233">
        <v>9</v>
      </c>
      <c r="L43" s="233">
        <v>9.5</v>
      </c>
      <c r="M43" s="233">
        <v>10</v>
      </c>
      <c r="N43" s="233">
        <v>10.5</v>
      </c>
    </row>
    <row r="44" spans="2:14" s="166" customFormat="1" x14ac:dyDescent="0.25">
      <c r="B44" s="174" t="s">
        <v>580</v>
      </c>
      <c r="C44" s="168" t="e">
        <f>SUM(C24:I24)</f>
        <v>#DIV/0!</v>
      </c>
      <c r="D44" s="178"/>
      <c r="I44" s="220">
        <v>0.1003</v>
      </c>
      <c r="J44" s="221" t="e">
        <f t="dataTable" ref="J44:N48" dt2D="1" dtr="1" r1="C29" r2="C28" ca="1"/>
        <v>#DIV/0!</v>
      </c>
      <c r="K44" s="222" t="e">
        <v>#DIV/0!</v>
      </c>
      <c r="L44" s="222" t="e">
        <v>#DIV/0!</v>
      </c>
      <c r="M44" s="222" t="e">
        <v>#DIV/0!</v>
      </c>
      <c r="N44" s="223" t="e">
        <v>#DIV/0!</v>
      </c>
    </row>
    <row r="45" spans="2:14" s="166" customFormat="1" x14ac:dyDescent="0.25">
      <c r="B45" s="174" t="s">
        <v>552</v>
      </c>
      <c r="C45" s="168">
        <f>'DCF_-_FCFF_341'!C40</f>
        <v>0</v>
      </c>
      <c r="D45" s="178"/>
      <c r="I45" s="220">
        <v>0.1028</v>
      </c>
      <c r="J45" s="224" t="e">
        <v>#DIV/0!</v>
      </c>
      <c r="K45" s="225" t="e">
        <v>#DIV/0!</v>
      </c>
      <c r="L45" s="225" t="e">
        <v>#DIV/0!</v>
      </c>
      <c r="M45" s="225" t="e">
        <v>#DIV/0!</v>
      </c>
      <c r="N45" s="226" t="e">
        <v>#DIV/0!</v>
      </c>
    </row>
    <row r="46" spans="2:14" s="166" customFormat="1" x14ac:dyDescent="0.25">
      <c r="B46" s="174" t="s">
        <v>581</v>
      </c>
      <c r="C46" s="168" t="e">
        <f>C44-C45</f>
        <v>#DIV/0!</v>
      </c>
      <c r="D46" s="178"/>
      <c r="H46" s="172" t="s">
        <v>546</v>
      </c>
      <c r="I46" s="220">
        <v>0.1053</v>
      </c>
      <c r="J46" s="224" t="e">
        <v>#DIV/0!</v>
      </c>
      <c r="K46" s="225" t="e">
        <v>#DIV/0!</v>
      </c>
      <c r="L46" s="482" t="e">
        <v>#DIV/0!</v>
      </c>
      <c r="M46" s="225" t="e">
        <v>#DIV/0!</v>
      </c>
      <c r="N46" s="226" t="e">
        <v>#DIV/0!</v>
      </c>
    </row>
    <row r="47" spans="2:14" s="166" customFormat="1" x14ac:dyDescent="0.25">
      <c r="B47" s="198" t="s">
        <v>471</v>
      </c>
      <c r="C47" s="231">
        <f>'DCF_-_FCFF_341'!C42</f>
        <v>0</v>
      </c>
      <c r="D47" s="200"/>
      <c r="I47" s="220">
        <v>0.10780000000000001</v>
      </c>
      <c r="J47" s="224" t="e">
        <v>#DIV/0!</v>
      </c>
      <c r="K47" s="225" t="e">
        <v>#DIV/0!</v>
      </c>
      <c r="L47" s="225" t="e">
        <v>#DIV/0!</v>
      </c>
      <c r="M47" s="225" t="e">
        <v>#DIV/0!</v>
      </c>
      <c r="N47" s="226" t="e">
        <v>#DIV/0!</v>
      </c>
    </row>
    <row r="48" spans="2:14" s="166" customFormat="1" x14ac:dyDescent="0.25">
      <c r="B48" s="174" t="s">
        <v>582</v>
      </c>
      <c r="C48" s="232" t="e">
        <f>C46/C47</f>
        <v>#DIV/0!</v>
      </c>
      <c r="D48" s="202"/>
      <c r="E48" s="189"/>
      <c r="I48" s="220">
        <v>0.1103</v>
      </c>
      <c r="J48" s="227" t="e">
        <v>#DIV/0!</v>
      </c>
      <c r="K48" s="228" t="e">
        <v>#DIV/0!</v>
      </c>
      <c r="L48" s="228" t="e">
        <v>#DIV/0!</v>
      </c>
      <c r="M48" s="228" t="e">
        <v>#DIV/0!</v>
      </c>
      <c r="N48" s="229" t="e">
        <v>#DIV/0!</v>
      </c>
    </row>
    <row r="49" spans="2:21" s="166" customFormat="1" x14ac:dyDescent="0.25">
      <c r="B49" s="182"/>
      <c r="C49" s="206"/>
      <c r="D49" s="205"/>
      <c r="I49" s="166" t="s">
        <v>579</v>
      </c>
      <c r="K49" s="230">
        <f>K36</f>
        <v>0</v>
      </c>
    </row>
    <row r="50" spans="2:21" s="161" customFormat="1" x14ac:dyDescent="0.25">
      <c r="B50" s="184"/>
      <c r="C50" s="208" t="s">
        <v>533</v>
      </c>
      <c r="H50" s="166"/>
      <c r="K50" s="166"/>
      <c r="L50" s="166"/>
      <c r="M50" s="166"/>
      <c r="N50" s="166"/>
      <c r="O50" s="166"/>
      <c r="P50" s="166"/>
      <c r="Q50" s="166"/>
      <c r="R50" s="166"/>
      <c r="S50" s="166"/>
      <c r="T50" s="166"/>
      <c r="U50" s="166"/>
    </row>
    <row r="51" spans="2:21" s="161" customFormat="1" x14ac:dyDescent="0.25">
      <c r="B51" s="184" t="s">
        <v>538</v>
      </c>
      <c r="C51" s="208" t="e">
        <f>H8</f>
        <v>#DIV/0!</v>
      </c>
      <c r="H51" s="166"/>
      <c r="I51" s="166"/>
      <c r="J51" s="166"/>
      <c r="K51" s="166"/>
      <c r="L51" s="166"/>
      <c r="M51" s="166"/>
      <c r="N51" s="166"/>
      <c r="O51" s="166"/>
      <c r="P51" s="166"/>
      <c r="Q51" s="166"/>
      <c r="R51" s="166"/>
      <c r="S51" s="166"/>
      <c r="T51" s="166"/>
      <c r="U51" s="166"/>
    </row>
    <row r="52" spans="2:21" s="161" customFormat="1" x14ac:dyDescent="0.25">
      <c r="B52" s="184" t="s">
        <v>557</v>
      </c>
      <c r="C52" s="209">
        <f>1+C27</f>
        <v>1.01</v>
      </c>
    </row>
    <row r="53" spans="2:21" s="161" customFormat="1" x14ac:dyDescent="0.25">
      <c r="B53" s="184" t="s">
        <v>558</v>
      </c>
      <c r="C53" s="208"/>
      <c r="D53" s="161" t="e">
        <f>C51*C52</f>
        <v>#DIV/0!</v>
      </c>
    </row>
    <row r="54" spans="2:21" s="161" customFormat="1" x14ac:dyDescent="0.25">
      <c r="B54" s="184" t="s">
        <v>559</v>
      </c>
      <c r="C54" s="208"/>
      <c r="D54" s="210" t="e">
        <f>C28-C27</f>
        <v>#DIV/0!</v>
      </c>
    </row>
    <row r="55" spans="2:21" s="161" customFormat="1" x14ac:dyDescent="0.25">
      <c r="B55" s="184" t="s">
        <v>560</v>
      </c>
      <c r="C55" s="208"/>
      <c r="D55" s="161" t="e">
        <f>D53/D54</f>
        <v>#DIV/0!</v>
      </c>
    </row>
    <row r="56" spans="2:21" s="161" customFormat="1" x14ac:dyDescent="0.25">
      <c r="B56" s="184"/>
      <c r="C56" s="208"/>
    </row>
    <row r="57" spans="2:21" s="161" customFormat="1" x14ac:dyDescent="0.25">
      <c r="B57" s="184"/>
      <c r="C57" s="208"/>
    </row>
    <row r="58" spans="2:21" s="161" customFormat="1" x14ac:dyDescent="0.25">
      <c r="B58" s="184" t="s">
        <v>561</v>
      </c>
      <c r="C58" s="211" t="e">
        <f>fin_model!N15</f>
        <v>#DIV/0!</v>
      </c>
    </row>
    <row r="59" spans="2:21" s="161" customFormat="1" x14ac:dyDescent="0.25">
      <c r="B59" s="184" t="s">
        <v>562</v>
      </c>
      <c r="C59" s="211" t="s">
        <v>4</v>
      </c>
    </row>
    <row r="60" spans="2:21" s="161" customFormat="1" x14ac:dyDescent="0.25">
      <c r="B60" s="184" t="s">
        <v>563</v>
      </c>
      <c r="C60" s="212" t="e">
        <f>H5</f>
        <v>#DIV/0!</v>
      </c>
    </row>
    <row r="61" spans="2:21" s="161" customFormat="1" x14ac:dyDescent="0.25">
      <c r="B61" s="184" t="s">
        <v>564</v>
      </c>
      <c r="C61" s="211" t="e">
        <f>SUM(C58:C60)</f>
        <v>#DIV/0!</v>
      </c>
    </row>
    <row r="62" spans="2:21" s="161" customFormat="1" x14ac:dyDescent="0.25">
      <c r="B62" s="184" t="s">
        <v>565</v>
      </c>
      <c r="C62" s="212">
        <f>C29</f>
        <v>8</v>
      </c>
    </row>
    <row r="63" spans="2:21" s="161" customFormat="1" x14ac:dyDescent="0.25">
      <c r="B63" s="184" t="s">
        <v>566</v>
      </c>
      <c r="C63" s="213" t="e">
        <f>C61*C62</f>
        <v>#DIV/0!</v>
      </c>
    </row>
    <row r="64" spans="2:21" s="161" customFormat="1" x14ac:dyDescent="0.25">
      <c r="B64" s="184"/>
      <c r="C64" s="213"/>
    </row>
    <row r="65" spans="2:3" s="161" customFormat="1" x14ac:dyDescent="0.25">
      <c r="B65" s="184" t="s">
        <v>567</v>
      </c>
      <c r="C65" s="213">
        <f>fin_model!G41</f>
        <v>0</v>
      </c>
    </row>
    <row r="66" spans="2:3" s="161" customFormat="1" x14ac:dyDescent="0.25">
      <c r="B66" s="184" t="s">
        <v>568</v>
      </c>
      <c r="C66" s="208">
        <f>fin_model!G42</f>
        <v>0</v>
      </c>
    </row>
    <row r="67" spans="2:3" s="161" customFormat="1" x14ac:dyDescent="0.25">
      <c r="B67" s="184" t="s">
        <v>569</v>
      </c>
      <c r="C67" s="208">
        <f>fin_model!G45</f>
        <v>0</v>
      </c>
    </row>
    <row r="68" spans="2:3" s="161" customFormat="1" x14ac:dyDescent="0.25">
      <c r="B68" s="184" t="s">
        <v>570</v>
      </c>
      <c r="C68" s="208">
        <f>fin_model!G28</f>
        <v>0</v>
      </c>
    </row>
    <row r="69" spans="2:3" s="161" customFormat="1" x14ac:dyDescent="0.25">
      <c r="B69" s="184" t="s">
        <v>571</v>
      </c>
      <c r="C69" s="208" t="e">
        <f>SUM(C63:C65)-C66</f>
        <v>#DIV/0!</v>
      </c>
    </row>
    <row r="70" spans="2:3" s="161" customFormat="1" x14ac:dyDescent="0.25">
      <c r="B70" s="184"/>
      <c r="C70" s="208"/>
    </row>
    <row r="71" spans="2:3" s="161" customFormat="1" x14ac:dyDescent="0.25">
      <c r="B71" s="184"/>
      <c r="C71" s="208"/>
    </row>
    <row r="72" spans="2:3" s="161" customFormat="1" x14ac:dyDescent="0.25">
      <c r="B72" s="184" t="s">
        <v>572</v>
      </c>
      <c r="C72" s="208">
        <f>fin_model!C5*fin_model!G54+'DCF_-_FCFF_341'!C67</f>
        <v>0</v>
      </c>
    </row>
    <row r="73" spans="2:3" s="161" customFormat="1" x14ac:dyDescent="0.25">
      <c r="B73" s="184"/>
      <c r="C73" s="208"/>
    </row>
    <row r="74" spans="2:3" s="161" customFormat="1" x14ac:dyDescent="0.25">
      <c r="B74" s="184"/>
      <c r="C74" s="208"/>
    </row>
    <row r="75" spans="2:3" s="161" customFormat="1" x14ac:dyDescent="0.25">
      <c r="B75" s="184"/>
      <c r="C75" s="208"/>
    </row>
    <row r="76" spans="2:3" s="161" customFormat="1" x14ac:dyDescent="0.25">
      <c r="B76" s="184"/>
      <c r="C76" s="208"/>
    </row>
    <row r="77" spans="2:3" s="161" customFormat="1" x14ac:dyDescent="0.25">
      <c r="B77" s="184"/>
      <c r="C77" s="208"/>
    </row>
    <row r="78" spans="2:3" s="161" customFormat="1" x14ac:dyDescent="0.25">
      <c r="B78" s="184"/>
      <c r="C78" s="208"/>
    </row>
    <row r="79" spans="2:3" s="161" customFormat="1" x14ac:dyDescent="0.25">
      <c r="B79" s="184"/>
      <c r="C79" s="208"/>
    </row>
    <row r="80" spans="2:3" s="161" customFormat="1" x14ac:dyDescent="0.25">
      <c r="B80" s="184"/>
      <c r="C80" s="208"/>
    </row>
    <row r="81" spans="2:3" s="161" customFormat="1" x14ac:dyDescent="0.25">
      <c r="B81" s="184"/>
      <c r="C81" s="208"/>
    </row>
    <row r="82" spans="2:3" s="161" customFormat="1" x14ac:dyDescent="0.25">
      <c r="B82" s="184"/>
      <c r="C82" s="208"/>
    </row>
    <row r="83" spans="2:3" s="161" customFormat="1" x14ac:dyDescent="0.25">
      <c r="B83" s="184"/>
      <c r="C83" s="208"/>
    </row>
    <row r="84" spans="2:3" s="161" customFormat="1" x14ac:dyDescent="0.25">
      <c r="B84" s="184"/>
      <c r="C84" s="208"/>
    </row>
    <row r="85" spans="2:3" s="161" customFormat="1" x14ac:dyDescent="0.25">
      <c r="B85" s="184"/>
      <c r="C85" s="208"/>
    </row>
    <row r="86" spans="2:3" s="161" customFormat="1" x14ac:dyDescent="0.25">
      <c r="B86" s="184"/>
      <c r="C86" s="208"/>
    </row>
    <row r="87" spans="2:3" s="161" customFormat="1" x14ac:dyDescent="0.25">
      <c r="B87" s="184"/>
      <c r="C87" s="208"/>
    </row>
    <row r="88" spans="2:3" s="161" customFormat="1" x14ac:dyDescent="0.25">
      <c r="B88" s="184"/>
      <c r="C88" s="208"/>
    </row>
    <row r="89" spans="2:3" s="161" customFormat="1" x14ac:dyDescent="0.25">
      <c r="B89" s="184"/>
      <c r="C89" s="208"/>
    </row>
  </sheetData>
  <pageMargins left="0.70000000000000007" right="0.70000000000000007" top="0.75" bottom="0.75" header="0.30000000000000004" footer="0.30000000000000004"/>
  <extLst>
    <ext xmlns:x14="http://schemas.microsoft.com/office/spreadsheetml/2009/9/main" uri="{78C0D931-6437-407d-A8EE-F0AAD7539E65}">
      <x14:conditionalFormattings>
        <x14:conditionalFormatting xmlns:xm="http://schemas.microsoft.com/office/excel/2006/main">
          <x14:cfRule type="cellIs" priority="1" operator="greaterThan" id="{89BC109A-D0B2-47CA-961F-715FE5E1FECA}">
            <xm:f>fin_model!$C$5</xm:f>
            <x14:dxf>
              <font>
                <color rgb="FF006100"/>
              </font>
              <fill>
                <patternFill>
                  <bgColor rgb="FFC6EFCE"/>
                </patternFill>
              </fill>
            </x14:dxf>
          </x14:cfRule>
          <x14:cfRule type="cellIs" priority="2" operator="lessThan" id="{17E8A35B-2C7F-46BF-B2AC-F8AB4B7EC893}">
            <xm:f>fin_model!$C$5</xm:f>
            <x14:dxf>
              <font>
                <color rgb="FF9C0006"/>
              </font>
              <fill>
                <patternFill>
                  <bgColor rgb="FFFFC7CE"/>
                </patternFill>
              </fill>
            </x14:dxf>
          </x14:cfRule>
          <xm:sqref>J30:N34</xm:sqref>
        </x14:conditionalFormatting>
        <x14:conditionalFormatting xmlns:xm="http://schemas.microsoft.com/office/excel/2006/main">
          <x14:cfRule type="cellIs" priority="3" operator="lessThan" id="{486EC077-A16C-4DD8-8676-38684944DE20}">
            <xm:f>fin_model!$C$5</xm:f>
            <x14:dxf>
              <font>
                <color rgb="FF9C0006"/>
              </font>
              <fill>
                <patternFill>
                  <bgColor rgb="FFFFC7CE"/>
                </patternFill>
              </fill>
            </x14:dxf>
          </x14:cfRule>
          <x14:cfRule type="cellIs" priority="4" operator="greaterThan" id="{89D780A9-EE37-4F1A-8603-F1B88E01C327}">
            <xm:f>fin_model!$C$5</xm:f>
            <x14:dxf>
              <font>
                <color rgb="FF006100"/>
              </font>
              <fill>
                <patternFill>
                  <bgColor rgb="FFC6EFCE"/>
                </patternFill>
              </fill>
            </x14:dxf>
          </x14:cfRule>
          <xm:sqref>J44:N48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9EDC-5F51-4A95-9892-99EE02C4D213}">
  <sheetPr>
    <tabColor rgb="FFBDD7EE"/>
  </sheetPr>
  <dimension ref="A1:J96"/>
  <sheetViews>
    <sheetView workbookViewId="0">
      <selection activeCell="J41" sqref="J41"/>
    </sheetView>
  </sheetViews>
  <sheetFormatPr defaultRowHeight="15.75" x14ac:dyDescent="0.25"/>
  <cols>
    <col min="1" max="1" width="1.85546875" customWidth="1"/>
    <col min="2" max="2" width="78.28515625" style="118" bestFit="1" customWidth="1"/>
    <col min="3" max="3" width="14.28515625" style="128" customWidth="1"/>
    <col min="4" max="9" width="14.28515625" customWidth="1"/>
    <col min="10" max="10" width="16.5703125" bestFit="1" customWidth="1"/>
    <col min="11" max="14" width="14.28515625" customWidth="1"/>
    <col min="15" max="15" width="9.140625" customWidth="1"/>
  </cols>
  <sheetData>
    <row r="1" spans="2:10" s="161" customFormat="1" x14ac:dyDescent="0.25">
      <c r="B1" s="162" t="s">
        <v>527</v>
      </c>
      <c r="C1" s="163" t="s">
        <v>528</v>
      </c>
      <c r="D1" s="163" t="s">
        <v>529</v>
      </c>
      <c r="E1" s="163" t="s">
        <v>530</v>
      </c>
      <c r="F1" s="163" t="s">
        <v>531</v>
      </c>
      <c r="G1" s="163" t="s">
        <v>532</v>
      </c>
      <c r="H1" s="163" t="s">
        <v>533</v>
      </c>
      <c r="I1" s="163" t="s">
        <v>534</v>
      </c>
      <c r="J1" s="163" t="s">
        <v>585</v>
      </c>
    </row>
    <row r="2" spans="2:10" s="161" customFormat="1" x14ac:dyDescent="0.25">
      <c r="B2" s="162" t="s">
        <v>535</v>
      </c>
      <c r="C2" s="164"/>
      <c r="D2" s="165"/>
      <c r="E2" s="165"/>
      <c r="F2" s="165"/>
      <c r="G2" s="165"/>
      <c r="H2" s="165"/>
      <c r="I2" s="165"/>
      <c r="J2" s="165"/>
    </row>
    <row r="3" spans="2:10" s="166" customFormat="1" x14ac:dyDescent="0.25">
      <c r="B3" s="167" t="s">
        <v>536</v>
      </c>
      <c r="C3" s="168" t="e">
        <f>'DCF_-_FCFF_341'!C3</f>
        <v>#DIV/0!</v>
      </c>
      <c r="D3" s="168" t="e">
        <f>'DCF_-_FCFF_341'!D3</f>
        <v>#DIV/0!</v>
      </c>
      <c r="E3" s="168" t="e">
        <f>'DCF_-_FCFF_341'!E3</f>
        <v>#DIV/0!</v>
      </c>
      <c r="F3" s="168" t="e">
        <f>'DCF_-_FCFF_341'!F3</f>
        <v>#DIV/0!</v>
      </c>
      <c r="G3" s="168" t="e">
        <f>'DCF_-_FCFF_341'!G3</f>
        <v>#DIV/0!</v>
      </c>
      <c r="H3" s="168" t="e">
        <f>'DCF_-_FCFF_341'!H3</f>
        <v>#DIV/0!</v>
      </c>
      <c r="J3" s="168" t="e">
        <f>E75</f>
        <v>#DIV/0!</v>
      </c>
    </row>
    <row r="4" spans="2:10" s="166" customFormat="1" x14ac:dyDescent="0.25">
      <c r="B4" s="167" t="s">
        <v>214</v>
      </c>
      <c r="C4" s="168" t="e">
        <f>'DCF_-_FCFF_341'!C4</f>
        <v>#DIV/0!</v>
      </c>
      <c r="D4" s="168" t="e">
        <f>'DCF_-_FCFF_341'!D4</f>
        <v>#DIV/0!</v>
      </c>
      <c r="E4" s="168" t="e">
        <f>'DCF_-_FCFF_341'!E4</f>
        <v>#DIV/0!</v>
      </c>
      <c r="F4" s="168" t="e">
        <f>'DCF_-_FCFF_341'!F4</f>
        <v>#DIV/0!</v>
      </c>
      <c r="G4" s="168" t="e">
        <f>'DCF_-_FCFF_341'!G4</f>
        <v>#DIV/0!</v>
      </c>
      <c r="H4" s="168" t="e">
        <f>'DCF_-_FCFF_341'!H4</f>
        <v>#DIV/0!</v>
      </c>
      <c r="J4" s="168" t="e">
        <f>H4</f>
        <v>#DIV/0!</v>
      </c>
    </row>
    <row r="5" spans="2:10" s="166" customFormat="1" x14ac:dyDescent="0.25">
      <c r="B5" s="167" t="s">
        <v>215</v>
      </c>
      <c r="C5" s="168" t="e">
        <f>'DCF_-_FCFF_341'!C5</f>
        <v>#DIV/0!</v>
      </c>
      <c r="D5" s="168" t="e">
        <f>'DCF_-_FCFF_341'!D5</f>
        <v>#DIV/0!</v>
      </c>
      <c r="E5" s="168" t="e">
        <f>'DCF_-_FCFF_341'!E5</f>
        <v>#DIV/0!</v>
      </c>
      <c r="F5" s="168" t="e">
        <f>'DCF_-_FCFF_341'!F5</f>
        <v>#DIV/0!</v>
      </c>
      <c r="G5" s="168" t="e">
        <f>'DCF_-_FCFF_341'!G5</f>
        <v>#DIV/0!</v>
      </c>
      <c r="H5" s="168" t="e">
        <f>'DCF_-_FCFF_341'!H5</f>
        <v>#DIV/0!</v>
      </c>
      <c r="J5" s="168" t="e">
        <f>H5</f>
        <v>#DIV/0!</v>
      </c>
    </row>
    <row r="6" spans="2:10" s="166" customFormat="1" x14ac:dyDescent="0.25">
      <c r="B6" s="167" t="s">
        <v>537</v>
      </c>
      <c r="C6" s="168" t="e">
        <f>'DCF_-_FCFF_341'!C6</f>
        <v>#DIV/0!</v>
      </c>
      <c r="D6" s="168" t="e">
        <f>'DCF_-_FCFF_341'!D6</f>
        <v>#DIV/0!</v>
      </c>
      <c r="E6" s="168" t="e">
        <f>'DCF_-_FCFF_341'!E6</f>
        <v>#DIV/0!</v>
      </c>
      <c r="F6" s="168" t="e">
        <f>'DCF_-_FCFF_341'!F6</f>
        <v>#DIV/0!</v>
      </c>
      <c r="G6" s="168" t="e">
        <f>'DCF_-_FCFF_341'!G6</f>
        <v>#DIV/0!</v>
      </c>
      <c r="H6" s="168" t="e">
        <f>'DCF_-_FCFF_341'!H6</f>
        <v>#DIV/0!</v>
      </c>
      <c r="J6" s="168" t="e">
        <f>H6</f>
        <v>#DIV/0!</v>
      </c>
    </row>
    <row r="7" spans="2:10" s="166" customFormat="1" x14ac:dyDescent="0.25">
      <c r="B7" s="167" t="s">
        <v>219</v>
      </c>
      <c r="C7" s="168" t="e">
        <f>'DCF_-_FCFF_341'!C7</f>
        <v>#DIV/0!</v>
      </c>
      <c r="D7" s="168" t="e">
        <f>'DCF_-_FCFF_341'!D7</f>
        <v>#DIV/0!</v>
      </c>
      <c r="E7" s="168" t="e">
        <f>'DCF_-_FCFF_341'!E7</f>
        <v>#DIV/0!</v>
      </c>
      <c r="F7" s="168" t="e">
        <f>'DCF_-_FCFF_341'!F7</f>
        <v>#DIV/0!</v>
      </c>
      <c r="G7" s="168" t="e">
        <f>'DCF_-_FCFF_341'!G7</f>
        <v>#DIV/0!</v>
      </c>
      <c r="H7" s="168" t="e">
        <f>'DCF_-_FCFF_341'!H7</f>
        <v>#DIV/0!</v>
      </c>
      <c r="J7" s="168" t="e">
        <f>H7</f>
        <v>#DIV/0!</v>
      </c>
    </row>
    <row r="8" spans="2:10" s="166" customFormat="1" x14ac:dyDescent="0.25">
      <c r="B8" s="169" t="s">
        <v>538</v>
      </c>
      <c r="C8" s="168" t="e">
        <f t="shared" ref="C8:H8" si="0">SUM(C3:C7)</f>
        <v>#DIV/0!</v>
      </c>
      <c r="D8" s="168" t="e">
        <f t="shared" si="0"/>
        <v>#DIV/0!</v>
      </c>
      <c r="E8" s="168" t="e">
        <f t="shared" si="0"/>
        <v>#DIV/0!</v>
      </c>
      <c r="F8" s="168" t="e">
        <f t="shared" si="0"/>
        <v>#DIV/0!</v>
      </c>
      <c r="G8" s="168" t="e">
        <f t="shared" si="0"/>
        <v>#DIV/0!</v>
      </c>
      <c r="H8" s="168" t="e">
        <f t="shared" si="0"/>
        <v>#DIV/0!</v>
      </c>
      <c r="I8" s="171"/>
      <c r="J8" s="170" t="e">
        <f>SUM(J3:J7)</f>
        <v>#DIV/0!</v>
      </c>
    </row>
    <row r="9" spans="2:10" s="166" customFormat="1" x14ac:dyDescent="0.25">
      <c r="B9" s="167" t="s">
        <v>539</v>
      </c>
      <c r="C9" s="172"/>
      <c r="D9" s="171"/>
      <c r="E9" s="171"/>
      <c r="F9" s="171"/>
      <c r="G9" s="171"/>
      <c r="H9" s="171"/>
      <c r="I9" s="173" t="e">
        <f>F82</f>
        <v>#DIV/0!</v>
      </c>
    </row>
    <row r="10" spans="2:10" s="166" customFormat="1" x14ac:dyDescent="0.25">
      <c r="B10" s="174" t="s">
        <v>540</v>
      </c>
      <c r="C10" s="175"/>
      <c r="D10" s="176"/>
      <c r="E10" s="176"/>
      <c r="F10" s="176"/>
      <c r="G10" s="176"/>
      <c r="H10" s="176"/>
      <c r="I10" s="173" t="e">
        <f>E90</f>
        <v>#DIV/0!</v>
      </c>
    </row>
    <row r="11" spans="2:10" s="166" customFormat="1" x14ac:dyDescent="0.25">
      <c r="B11" s="182"/>
      <c r="C11" s="175"/>
      <c r="D11" s="176"/>
      <c r="E11" s="176"/>
      <c r="F11" s="176"/>
      <c r="G11" s="176"/>
      <c r="H11" s="176"/>
      <c r="I11" s="176"/>
    </row>
    <row r="12" spans="2:10" s="166" customFormat="1" x14ac:dyDescent="0.25">
      <c r="B12" s="174" t="s">
        <v>573</v>
      </c>
      <c r="C12" s="214">
        <f>1-YEARFRAC(C31,C32)</f>
        <v>1</v>
      </c>
      <c r="D12" s="215">
        <v>1</v>
      </c>
      <c r="E12" s="215">
        <v>1</v>
      </c>
      <c r="F12" s="215">
        <v>1</v>
      </c>
      <c r="G12" s="215">
        <v>1</v>
      </c>
      <c r="H12" s="215">
        <v>1</v>
      </c>
      <c r="I12" s="215">
        <v>1</v>
      </c>
    </row>
    <row r="13" spans="2:10" s="166" customFormat="1" x14ac:dyDescent="0.25">
      <c r="B13" s="174" t="s">
        <v>574</v>
      </c>
      <c r="C13" s="216" t="e">
        <f t="shared" ref="C13:H13" si="1">C8*C12</f>
        <v>#DIV/0!</v>
      </c>
      <c r="D13" s="216" t="e">
        <f t="shared" si="1"/>
        <v>#DIV/0!</v>
      </c>
      <c r="E13" s="216" t="e">
        <f t="shared" si="1"/>
        <v>#DIV/0!</v>
      </c>
      <c r="F13" s="216" t="e">
        <f t="shared" si="1"/>
        <v>#DIV/0!</v>
      </c>
      <c r="G13" s="216" t="e">
        <f t="shared" si="1"/>
        <v>#DIV/0!</v>
      </c>
      <c r="H13" s="216" t="e">
        <f t="shared" si="1"/>
        <v>#DIV/0!</v>
      </c>
      <c r="I13" s="216" t="e">
        <f>I9*I12</f>
        <v>#DIV/0!</v>
      </c>
    </row>
    <row r="14" spans="2:10" s="166" customFormat="1" x14ac:dyDescent="0.25">
      <c r="B14" s="174" t="s">
        <v>575</v>
      </c>
      <c r="C14" s="216" t="e">
        <f t="shared" ref="C14:H14" si="2">C8*C12</f>
        <v>#DIV/0!</v>
      </c>
      <c r="D14" s="216" t="e">
        <f t="shared" si="2"/>
        <v>#DIV/0!</v>
      </c>
      <c r="E14" s="216" t="e">
        <f t="shared" si="2"/>
        <v>#DIV/0!</v>
      </c>
      <c r="F14" s="216" t="e">
        <f t="shared" si="2"/>
        <v>#DIV/0!</v>
      </c>
      <c r="G14" s="216" t="e">
        <f t="shared" si="2"/>
        <v>#DIV/0!</v>
      </c>
      <c r="H14" s="216" t="e">
        <f t="shared" si="2"/>
        <v>#DIV/0!</v>
      </c>
      <c r="I14" s="216" t="e">
        <f>I10*I12</f>
        <v>#DIV/0!</v>
      </c>
    </row>
    <row r="15" spans="2:10" s="166" customFormat="1" x14ac:dyDescent="0.25">
      <c r="B15" s="177"/>
      <c r="C15" s="175"/>
      <c r="D15" s="176"/>
      <c r="E15" s="176"/>
      <c r="F15" s="176"/>
      <c r="G15" s="176"/>
      <c r="H15" s="176"/>
      <c r="I15" s="176"/>
    </row>
    <row r="16" spans="2:10" s="166" customFormat="1" x14ac:dyDescent="0.25">
      <c r="B16" s="177" t="s">
        <v>539</v>
      </c>
      <c r="C16" s="175"/>
      <c r="D16" s="178"/>
      <c r="E16" s="178"/>
      <c r="F16" s="178"/>
      <c r="G16" s="178"/>
      <c r="H16" s="178"/>
      <c r="I16" s="176"/>
    </row>
    <row r="17" spans="2:9" s="166" customFormat="1" x14ac:dyDescent="0.25">
      <c r="B17" s="179" t="s">
        <v>576</v>
      </c>
      <c r="C17" s="180">
        <v>1</v>
      </c>
      <c r="D17" s="181">
        <v>2</v>
      </c>
      <c r="E17" s="181">
        <v>3</v>
      </c>
      <c r="F17" s="181">
        <v>4</v>
      </c>
      <c r="G17" s="181">
        <v>5</v>
      </c>
      <c r="H17" s="181">
        <v>6</v>
      </c>
      <c r="I17" s="181">
        <v>6</v>
      </c>
    </row>
    <row r="18" spans="2:9" s="166" customFormat="1" x14ac:dyDescent="0.25">
      <c r="B18" s="179" t="s">
        <v>541</v>
      </c>
      <c r="C18" s="217">
        <f>0.5*C12</f>
        <v>0.5</v>
      </c>
      <c r="D18" s="234">
        <f t="shared" ref="D18:I18" si="3">(D17-1)+$C$12-0.5</f>
        <v>1.5</v>
      </c>
      <c r="E18" s="234">
        <f t="shared" si="3"/>
        <v>2.5</v>
      </c>
      <c r="F18" s="234">
        <f t="shared" si="3"/>
        <v>3.5</v>
      </c>
      <c r="G18" s="234">
        <f t="shared" si="3"/>
        <v>4.5</v>
      </c>
      <c r="H18" s="234">
        <f t="shared" si="3"/>
        <v>5.5</v>
      </c>
      <c r="I18" s="234">
        <f t="shared" si="3"/>
        <v>5.5</v>
      </c>
    </row>
    <row r="19" spans="2:9" s="166" customFormat="1" x14ac:dyDescent="0.25">
      <c r="B19" s="174" t="s">
        <v>542</v>
      </c>
      <c r="C19" s="168" t="e">
        <f t="shared" ref="C19:H19" si="4">C13/(1+$C$28)^C18</f>
        <v>#DIV/0!</v>
      </c>
      <c r="D19" s="168" t="e">
        <f t="shared" si="4"/>
        <v>#DIV/0!</v>
      </c>
      <c r="E19" s="168" t="e">
        <f t="shared" si="4"/>
        <v>#DIV/0!</v>
      </c>
      <c r="F19" s="168" t="e">
        <f t="shared" si="4"/>
        <v>#DIV/0!</v>
      </c>
      <c r="G19" s="168" t="e">
        <f t="shared" si="4"/>
        <v>#DIV/0!</v>
      </c>
      <c r="H19" s="168" t="e">
        <f t="shared" si="4"/>
        <v>#DIV/0!</v>
      </c>
      <c r="I19" s="168" t="e">
        <f>I13/(1+$C$28)^I18</f>
        <v>#DIV/0!</v>
      </c>
    </row>
    <row r="20" spans="2:9" s="166" customFormat="1" x14ac:dyDescent="0.25">
      <c r="B20" s="182"/>
      <c r="C20" s="175"/>
      <c r="D20" s="178"/>
      <c r="E20" s="178"/>
      <c r="F20" s="178"/>
      <c r="G20" s="178"/>
      <c r="H20" s="178"/>
      <c r="I20" s="183"/>
    </row>
    <row r="21" spans="2:9" s="166" customFormat="1" x14ac:dyDescent="0.25">
      <c r="B21" s="177" t="s">
        <v>540</v>
      </c>
      <c r="C21" s="175"/>
      <c r="D21" s="178"/>
      <c r="E21" s="178"/>
      <c r="F21" s="178"/>
      <c r="G21" s="178"/>
      <c r="H21" s="178"/>
      <c r="I21" s="176"/>
    </row>
    <row r="22" spans="2:9" s="166" customFormat="1" x14ac:dyDescent="0.25">
      <c r="B22" s="179" t="s">
        <v>576</v>
      </c>
      <c r="C22" s="180">
        <v>1</v>
      </c>
      <c r="D22" s="181">
        <v>2</v>
      </c>
      <c r="E22" s="181">
        <v>3</v>
      </c>
      <c r="F22" s="181">
        <v>4</v>
      </c>
      <c r="G22" s="181">
        <v>5</v>
      </c>
      <c r="H22" s="181">
        <v>6</v>
      </c>
      <c r="I22" s="181">
        <v>6</v>
      </c>
    </row>
    <row r="23" spans="2:9" s="166" customFormat="1" x14ac:dyDescent="0.25">
      <c r="B23" s="179" t="s">
        <v>541</v>
      </c>
      <c r="C23" s="217">
        <f t="shared" ref="C23:I23" si="5">C18</f>
        <v>0.5</v>
      </c>
      <c r="D23" s="217">
        <f t="shared" si="5"/>
        <v>1.5</v>
      </c>
      <c r="E23" s="217">
        <f t="shared" si="5"/>
        <v>2.5</v>
      </c>
      <c r="F23" s="217">
        <f t="shared" si="5"/>
        <v>3.5</v>
      </c>
      <c r="G23" s="217">
        <f t="shared" si="5"/>
        <v>4.5</v>
      </c>
      <c r="H23" s="217">
        <f t="shared" si="5"/>
        <v>5.5</v>
      </c>
      <c r="I23" s="217">
        <f t="shared" si="5"/>
        <v>5.5</v>
      </c>
    </row>
    <row r="24" spans="2:9" s="166" customFormat="1" x14ac:dyDescent="0.25">
      <c r="B24" s="174" t="s">
        <v>543</v>
      </c>
      <c r="C24" s="168" t="e">
        <f t="shared" ref="C24:I24" si="6">C14/(1+$C$28)^C23</f>
        <v>#DIV/0!</v>
      </c>
      <c r="D24" s="168" t="e">
        <f t="shared" si="6"/>
        <v>#DIV/0!</v>
      </c>
      <c r="E24" s="168" t="e">
        <f t="shared" si="6"/>
        <v>#DIV/0!</v>
      </c>
      <c r="F24" s="168" t="e">
        <f t="shared" si="6"/>
        <v>#DIV/0!</v>
      </c>
      <c r="G24" s="168" t="e">
        <f t="shared" si="6"/>
        <v>#DIV/0!</v>
      </c>
      <c r="H24" s="168" t="e">
        <f t="shared" si="6"/>
        <v>#DIV/0!</v>
      </c>
      <c r="I24" s="168" t="e">
        <f t="shared" si="6"/>
        <v>#DIV/0!</v>
      </c>
    </row>
    <row r="25" spans="2:9" s="166" customFormat="1" x14ac:dyDescent="0.25">
      <c r="B25" s="184"/>
      <c r="C25" s="172"/>
    </row>
    <row r="26" spans="2:9" s="166" customFormat="1" x14ac:dyDescent="0.25">
      <c r="B26" s="162" t="s">
        <v>544</v>
      </c>
      <c r="C26" s="172"/>
      <c r="D26" s="172"/>
    </row>
    <row r="27" spans="2:9" s="166" customFormat="1" x14ac:dyDescent="0.25">
      <c r="B27" s="167" t="s">
        <v>545</v>
      </c>
      <c r="C27" s="185">
        <f>'DCF_-_FCFF_timing'!C27</f>
        <v>0.01</v>
      </c>
      <c r="D27" s="186"/>
    </row>
    <row r="28" spans="2:9" s="166" customFormat="1" x14ac:dyDescent="0.25">
      <c r="B28" s="167" t="s">
        <v>546</v>
      </c>
      <c r="C28" s="185" t="e">
        <f>'DCF_-_FCFF_timing'!C28</f>
        <v>#DIV/0!</v>
      </c>
      <c r="D28" s="189"/>
    </row>
    <row r="29" spans="2:9" s="166" customFormat="1" x14ac:dyDescent="0.25">
      <c r="B29" s="174" t="s">
        <v>548</v>
      </c>
      <c r="C29" s="191">
        <f>'DCF_-_FCFF_timing'!C29</f>
        <v>8</v>
      </c>
      <c r="D29" s="192"/>
    </row>
    <row r="30" spans="2:9" s="166" customFormat="1" x14ac:dyDescent="0.25">
      <c r="B30" s="182"/>
      <c r="C30" s="193"/>
      <c r="D30" s="194"/>
    </row>
    <row r="31" spans="2:9" s="166" customFormat="1" x14ac:dyDescent="0.25">
      <c r="B31" s="174" t="s">
        <v>550</v>
      </c>
      <c r="C31" s="195">
        <f>'DCF_-_FCFF_timing'!C31</f>
        <v>0</v>
      </c>
      <c r="D31" s="196"/>
    </row>
    <row r="32" spans="2:9" s="166" customFormat="1" x14ac:dyDescent="0.25">
      <c r="B32" s="174" t="s">
        <v>174</v>
      </c>
      <c r="C32" s="195">
        <f>'DCF_-_FCFF_timing'!C32</f>
        <v>0</v>
      </c>
      <c r="D32" s="196"/>
    </row>
    <row r="33" spans="2:7" s="166" customFormat="1" x14ac:dyDescent="0.25">
      <c r="B33" s="182"/>
      <c r="C33" s="212"/>
      <c r="D33" s="196"/>
    </row>
    <row r="34" spans="2:7" s="166" customFormat="1" x14ac:dyDescent="0.25">
      <c r="B34" s="184"/>
      <c r="C34" s="197"/>
      <c r="D34" s="196"/>
    </row>
    <row r="35" spans="2:7" s="166" customFormat="1" x14ac:dyDescent="0.25">
      <c r="B35" s="182"/>
      <c r="C35" s="197"/>
      <c r="D35" s="196"/>
    </row>
    <row r="36" spans="2:7" s="166" customFormat="1" x14ac:dyDescent="0.25">
      <c r="B36" s="177" t="s">
        <v>539</v>
      </c>
      <c r="C36" s="197"/>
      <c r="D36" s="196"/>
    </row>
    <row r="37" spans="2:7" s="166" customFormat="1" x14ac:dyDescent="0.25">
      <c r="B37" s="174" t="s">
        <v>580</v>
      </c>
      <c r="C37" s="168" t="e">
        <f>SUM(C19:I19)</f>
        <v>#DIV/0!</v>
      </c>
      <c r="D37" s="178"/>
    </row>
    <row r="38" spans="2:7" s="166" customFormat="1" x14ac:dyDescent="0.25">
      <c r="B38" s="174" t="s">
        <v>552</v>
      </c>
      <c r="C38" s="168">
        <f>'DCF_-_FCFF_timing'!C38</f>
        <v>0</v>
      </c>
      <c r="D38" s="178"/>
    </row>
    <row r="39" spans="2:7" s="166" customFormat="1" x14ac:dyDescent="0.25">
      <c r="B39" s="174" t="s">
        <v>581</v>
      </c>
      <c r="C39" s="168" t="e">
        <f>C37-C38</f>
        <v>#DIV/0!</v>
      </c>
      <c r="D39" s="178"/>
      <c r="E39" s="219" t="e">
        <f>'DCF_-_FCFF_341'!C36</f>
        <v>#DIV/0!</v>
      </c>
      <c r="F39" s="220" t="e">
        <f>(C41/E39)-1</f>
        <v>#DIV/0!</v>
      </c>
      <c r="G39" s="235">
        <v>341</v>
      </c>
    </row>
    <row r="40" spans="2:7" s="166" customFormat="1" x14ac:dyDescent="0.25">
      <c r="B40" s="198" t="s">
        <v>471</v>
      </c>
      <c r="C40" s="168">
        <f>'DCF_-_FCFF_timing'!C40</f>
        <v>0</v>
      </c>
      <c r="D40" s="200"/>
      <c r="E40" s="219" t="e">
        <f>'DCF_-_FCFF_timing'!C41</f>
        <v>#DIV/0!</v>
      </c>
      <c r="F40" s="220" t="e">
        <f>C41/E40-1</f>
        <v>#DIV/0!</v>
      </c>
      <c r="G40" s="235" t="s">
        <v>586</v>
      </c>
    </row>
    <row r="41" spans="2:7" s="166" customFormat="1" x14ac:dyDescent="0.25">
      <c r="B41" s="174" t="s">
        <v>582</v>
      </c>
      <c r="C41" s="232" t="e">
        <f>C39/C40</f>
        <v>#DIV/0!</v>
      </c>
      <c r="D41" s="202"/>
      <c r="E41" s="189"/>
    </row>
    <row r="42" spans="2:7" s="166" customFormat="1" x14ac:dyDescent="0.25">
      <c r="B42" s="182"/>
      <c r="C42" s="206"/>
      <c r="D42" s="205"/>
    </row>
    <row r="43" spans="2:7" s="166" customFormat="1" x14ac:dyDescent="0.25">
      <c r="B43" s="177" t="s">
        <v>540</v>
      </c>
      <c r="C43" s="197"/>
      <c r="D43" s="196"/>
    </row>
    <row r="44" spans="2:7" s="166" customFormat="1" x14ac:dyDescent="0.25">
      <c r="B44" s="174" t="s">
        <v>580</v>
      </c>
      <c r="C44" s="168" t="e">
        <f>SUM(C24:I24)</f>
        <v>#DIV/0!</v>
      </c>
      <c r="D44" s="178"/>
      <c r="E44" s="219" t="e">
        <f>'DCF_-_FCFF_341'!C45</f>
        <v>#DIV/0!</v>
      </c>
      <c r="F44" s="220" t="e">
        <f>C48/E44-1</f>
        <v>#DIV/0!</v>
      </c>
      <c r="G44" s="235">
        <v>341</v>
      </c>
    </row>
    <row r="45" spans="2:7" s="166" customFormat="1" x14ac:dyDescent="0.25">
      <c r="B45" s="174" t="s">
        <v>552</v>
      </c>
      <c r="C45" s="168">
        <f>C38</f>
        <v>0</v>
      </c>
      <c r="D45" s="178"/>
      <c r="E45" s="219" t="e">
        <f>'DCF_-_FCFF_timing'!C48</f>
        <v>#DIV/0!</v>
      </c>
      <c r="F45" s="220" t="e">
        <f>C48/E45-1</f>
        <v>#DIV/0!</v>
      </c>
      <c r="G45" s="235" t="s">
        <v>586</v>
      </c>
    </row>
    <row r="46" spans="2:7" s="166" customFormat="1" x14ac:dyDescent="0.25">
      <c r="B46" s="174" t="s">
        <v>581</v>
      </c>
      <c r="C46" s="168" t="e">
        <f>C44-C45</f>
        <v>#DIV/0!</v>
      </c>
      <c r="D46" s="178"/>
    </row>
    <row r="47" spans="2:7" s="166" customFormat="1" x14ac:dyDescent="0.25">
      <c r="B47" s="198" t="s">
        <v>471</v>
      </c>
      <c r="C47" s="168">
        <f>'DCF_-_FCFF_timing'!C47</f>
        <v>0</v>
      </c>
      <c r="D47" s="200"/>
    </row>
    <row r="48" spans="2:7" s="166" customFormat="1" x14ac:dyDescent="0.25">
      <c r="B48" s="174" t="s">
        <v>582</v>
      </c>
      <c r="C48" s="232" t="e">
        <f>C46/C47</f>
        <v>#DIV/0!</v>
      </c>
      <c r="D48" s="202"/>
      <c r="E48" s="189"/>
    </row>
    <row r="49" spans="1:6" s="166" customFormat="1" x14ac:dyDescent="0.25">
      <c r="B49" s="182"/>
      <c r="C49" s="206"/>
      <c r="D49" s="205"/>
    </row>
    <row r="50" spans="1:6" s="118" customFormat="1" ht="30" x14ac:dyDescent="0.25">
      <c r="B50" s="236" t="s">
        <v>443</v>
      </c>
      <c r="C50" s="237" t="s">
        <v>587</v>
      </c>
      <c r="D50" s="237" t="s">
        <v>588</v>
      </c>
      <c r="E50" s="237" t="s">
        <v>589</v>
      </c>
      <c r="F50" s="237" t="s">
        <v>590</v>
      </c>
    </row>
    <row r="51" spans="1:6" s="118" customFormat="1" ht="16.5" customHeight="1" x14ac:dyDescent="0.25">
      <c r="A51" s="238"/>
      <c r="B51" s="239">
        <f>mkt_comps_summary!A2</f>
        <v>0</v>
      </c>
      <c r="C51" s="240">
        <f>mkt_comps_summary!M2</f>
        <v>0</v>
      </c>
      <c r="D51" s="240">
        <f>mkt_comps_summary!K2</f>
        <v>0</v>
      </c>
      <c r="E51" s="240" t="e">
        <f>mkt_comps_summary!M2/D51</f>
        <v>#DIV/0!</v>
      </c>
      <c r="F51" s="241">
        <f>mkt_comps_summary!L2</f>
        <v>0</v>
      </c>
    </row>
    <row r="52" spans="1:6" s="118" customFormat="1" x14ac:dyDescent="0.25">
      <c r="A52" s="238"/>
      <c r="B52" s="239">
        <f>mkt_comps_summary!A3</f>
        <v>0</v>
      </c>
      <c r="C52" s="240">
        <f>mkt_comps_summary!M3</f>
        <v>0</v>
      </c>
      <c r="D52" s="240">
        <f>mkt_comps_summary!K3</f>
        <v>0</v>
      </c>
      <c r="E52" s="240" t="e">
        <f>mkt_comps_summary!M3/D52</f>
        <v>#DIV/0!</v>
      </c>
      <c r="F52" s="241">
        <f>mkt_comps_summary!L3</f>
        <v>0</v>
      </c>
    </row>
    <row r="53" spans="1:6" s="118" customFormat="1" x14ac:dyDescent="0.25">
      <c r="A53" s="238"/>
      <c r="B53" s="239"/>
      <c r="C53" s="240"/>
      <c r="D53" s="240"/>
      <c r="E53" s="240"/>
      <c r="F53" s="241"/>
    </row>
    <row r="54" spans="1:6" s="118" customFormat="1" x14ac:dyDescent="0.25">
      <c r="A54" s="238"/>
      <c r="B54" s="239">
        <f>mkt_comps_summary!A5</f>
        <v>0</v>
      </c>
      <c r="C54" s="240"/>
      <c r="D54" s="240">
        <f>mkt_comps_summary!K5</f>
        <v>0</v>
      </c>
      <c r="E54" s="240"/>
      <c r="F54" s="241"/>
    </row>
    <row r="55" spans="1:6" s="118" customFormat="1" x14ac:dyDescent="0.25">
      <c r="A55" s="238"/>
      <c r="B55" s="239"/>
      <c r="C55" s="240"/>
      <c r="D55" s="240"/>
      <c r="E55" s="240"/>
      <c r="F55" s="241"/>
    </row>
    <row r="56" spans="1:6" s="118" customFormat="1" x14ac:dyDescent="0.25">
      <c r="A56" s="238"/>
      <c r="B56" s="239"/>
      <c r="C56" s="240"/>
      <c r="D56" s="240"/>
      <c r="E56" s="240"/>
      <c r="F56" s="241"/>
    </row>
    <row r="57" spans="1:6" s="118" customFormat="1" x14ac:dyDescent="0.25">
      <c r="A57" s="238"/>
      <c r="B57" s="239">
        <f>mkt_comps_summary!A8</f>
        <v>0</v>
      </c>
      <c r="C57" s="240">
        <f>mkt_comps_summary!M8</f>
        <v>0</v>
      </c>
      <c r="D57" s="240">
        <f>mkt_comps_summary!K8</f>
        <v>0</v>
      </c>
      <c r="E57" s="240" t="e">
        <f>mkt_comps_summary!M8/D57</f>
        <v>#DIV/0!</v>
      </c>
      <c r="F57" s="241">
        <f>mkt_comps_summary!L8</f>
        <v>0</v>
      </c>
    </row>
    <row r="58" spans="1:6" s="118" customFormat="1" x14ac:dyDescent="0.25">
      <c r="A58" s="238"/>
      <c r="B58" s="239"/>
      <c r="C58" s="240"/>
      <c r="D58" s="240"/>
      <c r="E58" s="240"/>
      <c r="F58" s="241"/>
    </row>
    <row r="59" spans="1:6" s="118" customFormat="1" x14ac:dyDescent="0.25">
      <c r="A59" s="238"/>
      <c r="B59" s="239">
        <f>mkt_comps_summary!A10</f>
        <v>0</v>
      </c>
      <c r="C59" s="240"/>
      <c r="D59" s="240">
        <f>mkt_comps_summary!K10</f>
        <v>0</v>
      </c>
      <c r="E59" s="240"/>
      <c r="F59" s="241"/>
    </row>
    <row r="60" spans="1:6" s="118" customFormat="1" x14ac:dyDescent="0.25">
      <c r="A60" s="238"/>
      <c r="B60" s="239">
        <f>mkt_comps_summary!A11</f>
        <v>0</v>
      </c>
      <c r="C60" s="240">
        <f>mkt_comps_summary!M11</f>
        <v>0</v>
      </c>
      <c r="D60" s="240">
        <f>mkt_comps_summary!K11</f>
        <v>0</v>
      </c>
      <c r="E60" s="240" t="e">
        <f>mkt_comps_summary!M11/D60</f>
        <v>#DIV/0!</v>
      </c>
      <c r="F60" s="241">
        <f>mkt_comps_summary!L11</f>
        <v>0</v>
      </c>
    </row>
    <row r="61" spans="1:6" s="118" customFormat="1" x14ac:dyDescent="0.25">
      <c r="A61" s="244"/>
      <c r="B61" s="245"/>
      <c r="C61" s="246"/>
      <c r="D61" s="247"/>
      <c r="E61" s="247"/>
      <c r="F61" s="247"/>
    </row>
    <row r="62" spans="1:6" s="118" customFormat="1" x14ac:dyDescent="0.25">
      <c r="A62" s="244"/>
      <c r="B62" s="245"/>
      <c r="C62" s="246"/>
      <c r="D62" s="247"/>
      <c r="E62" s="247"/>
      <c r="F62" s="247"/>
    </row>
    <row r="63" spans="1:6" s="118" customFormat="1" x14ac:dyDescent="0.25">
      <c r="A63" s="238"/>
      <c r="B63" s="239">
        <f>mkt_comps_summary!A14</f>
        <v>0</v>
      </c>
      <c r="C63" s="242">
        <f>mkt_comps_summary!M14</f>
        <v>0</v>
      </c>
      <c r="D63" s="241">
        <f>mkt_comps_summary!K14</f>
        <v>0</v>
      </c>
      <c r="E63" s="243" t="e">
        <f>mkt_comps_summary!M14/D57</f>
        <v>#DIV/0!</v>
      </c>
      <c r="F63" s="241">
        <f>mkt_comps_summary!L14</f>
        <v>0</v>
      </c>
    </row>
    <row r="64" spans="1:6" s="118" customFormat="1" x14ac:dyDescent="0.25">
      <c r="B64" s="136" t="s">
        <v>591</v>
      </c>
      <c r="C64" s="144"/>
    </row>
    <row r="65" spans="2:7" s="118" customFormat="1" x14ac:dyDescent="0.25">
      <c r="B65" s="136" t="s">
        <v>592</v>
      </c>
      <c r="C65" s="144"/>
    </row>
    <row r="66" spans="2:7" s="118" customFormat="1" x14ac:dyDescent="0.25">
      <c r="B66" s="136" t="s">
        <v>593</v>
      </c>
      <c r="C66" s="144"/>
    </row>
    <row r="67" spans="2:7" s="161" customFormat="1" x14ac:dyDescent="0.25">
      <c r="B67" s="184"/>
    </row>
    <row r="68" spans="2:7" s="161" customFormat="1" x14ac:dyDescent="0.25">
      <c r="B68" s="248" t="s">
        <v>594</v>
      </c>
      <c r="C68" s="249"/>
      <c r="D68" s="250"/>
      <c r="E68" s="251" t="e">
        <f>MEDIAN(E51:E60)</f>
        <v>#DIV/0!</v>
      </c>
      <c r="G68" s="252" t="s">
        <v>595</v>
      </c>
    </row>
    <row r="69" spans="2:7" s="161" customFormat="1" x14ac:dyDescent="0.25">
      <c r="B69" s="248" t="s">
        <v>596</v>
      </c>
      <c r="C69" s="249"/>
      <c r="D69" s="250"/>
      <c r="E69" s="251" t="e">
        <f>E68/E63</f>
        <v>#DIV/0!</v>
      </c>
      <c r="G69" s="189">
        <f>WACC!B42</f>
        <v>0.77500000000000002</v>
      </c>
    </row>
    <row r="70" spans="2:7" s="161" customFormat="1" x14ac:dyDescent="0.25">
      <c r="B70" s="184"/>
    </row>
    <row r="71" spans="2:7" s="161" customFormat="1" x14ac:dyDescent="0.25">
      <c r="B71" s="184"/>
    </row>
    <row r="72" spans="2:7" s="161" customFormat="1" x14ac:dyDescent="0.25">
      <c r="B72" s="184"/>
      <c r="E72" s="161" t="s">
        <v>369</v>
      </c>
    </row>
    <row r="73" spans="2:7" s="161" customFormat="1" x14ac:dyDescent="0.25">
      <c r="B73" s="184" t="s">
        <v>597</v>
      </c>
      <c r="E73" s="161" t="e">
        <f>H3</f>
        <v>#DIV/0!</v>
      </c>
    </row>
    <row r="74" spans="2:7" s="161" customFormat="1" x14ac:dyDescent="0.25">
      <c r="B74" s="184" t="s">
        <v>598</v>
      </c>
      <c r="C74" s="208"/>
      <c r="E74" s="253" t="e">
        <f>E68/E63</f>
        <v>#DIV/0!</v>
      </c>
    </row>
    <row r="75" spans="2:7" s="161" customFormat="1" x14ac:dyDescent="0.25">
      <c r="B75" s="184" t="s">
        <v>599</v>
      </c>
      <c r="C75" s="208"/>
      <c r="E75" s="161" t="e">
        <f>E73*E74</f>
        <v>#DIV/0!</v>
      </c>
    </row>
    <row r="76" spans="2:7" s="161" customFormat="1" x14ac:dyDescent="0.25">
      <c r="B76" s="184"/>
      <c r="C76" s="208"/>
    </row>
    <row r="77" spans="2:7" s="161" customFormat="1" x14ac:dyDescent="0.25">
      <c r="B77" s="184" t="s">
        <v>600</v>
      </c>
      <c r="C77" s="208"/>
      <c r="E77" s="161" t="e">
        <f>J8</f>
        <v>#DIV/0!</v>
      </c>
    </row>
    <row r="78" spans="2:7" s="161" customFormat="1" x14ac:dyDescent="0.25">
      <c r="B78" s="184" t="s">
        <v>557</v>
      </c>
      <c r="C78" s="208"/>
      <c r="E78" s="210">
        <f>1+C27</f>
        <v>1.01</v>
      </c>
    </row>
    <row r="79" spans="2:7" s="161" customFormat="1" x14ac:dyDescent="0.25">
      <c r="B79" s="184" t="s">
        <v>601</v>
      </c>
      <c r="C79" s="208"/>
      <c r="E79" s="161" t="e">
        <f>E77*E78</f>
        <v>#DIV/0!</v>
      </c>
    </row>
    <row r="80" spans="2:7" s="161" customFormat="1" x14ac:dyDescent="0.25">
      <c r="B80" s="184" t="s">
        <v>602</v>
      </c>
      <c r="C80" s="208"/>
      <c r="E80" s="254" t="e">
        <f>C28-C27</f>
        <v>#DIV/0!</v>
      </c>
    </row>
    <row r="81" spans="2:6" s="161" customFormat="1" x14ac:dyDescent="0.25">
      <c r="B81" s="184"/>
      <c r="C81" s="208"/>
    </row>
    <row r="82" spans="2:6" s="161" customFormat="1" x14ac:dyDescent="0.25">
      <c r="B82" s="184" t="s">
        <v>603</v>
      </c>
      <c r="C82" s="208"/>
      <c r="F82" s="161" t="e">
        <f>E79/E80</f>
        <v>#DIV/0!</v>
      </c>
    </row>
    <row r="83" spans="2:6" s="161" customFormat="1" x14ac:dyDescent="0.25">
      <c r="B83" s="184"/>
      <c r="C83" s="208"/>
    </row>
    <row r="84" spans="2:6" s="161" customFormat="1" x14ac:dyDescent="0.25">
      <c r="B84" s="184"/>
      <c r="C84" s="208"/>
    </row>
    <row r="85" spans="2:6" s="161" customFormat="1" x14ac:dyDescent="0.25">
      <c r="B85" s="184" t="s">
        <v>56</v>
      </c>
      <c r="C85" s="208"/>
      <c r="E85" s="161" t="e">
        <f>fin_model!N19-fin_model!N16</f>
        <v>#DIV/0!</v>
      </c>
    </row>
    <row r="86" spans="2:6" s="161" customFormat="1" x14ac:dyDescent="0.25">
      <c r="B86" s="184" t="s">
        <v>604</v>
      </c>
      <c r="C86" s="208"/>
      <c r="E86" s="161" t="e">
        <f>fin_model!N60</f>
        <v>#DIV/0!</v>
      </c>
    </row>
    <row r="87" spans="2:6" s="161" customFormat="1" x14ac:dyDescent="0.25">
      <c r="B87" s="184" t="s">
        <v>605</v>
      </c>
      <c r="C87" s="208"/>
      <c r="E87" s="255" t="e">
        <f>fin_model!N61</f>
        <v>#DIV/0!</v>
      </c>
    </row>
    <row r="88" spans="2:6" s="161" customFormat="1" x14ac:dyDescent="0.25">
      <c r="B88" s="184" t="s">
        <v>54</v>
      </c>
      <c r="C88" s="208"/>
      <c r="E88" s="161" t="e">
        <f>SUM(E85:E87)</f>
        <v>#DIV/0!</v>
      </c>
    </row>
    <row r="89" spans="2:6" s="161" customFormat="1" x14ac:dyDescent="0.25">
      <c r="B89" s="184" t="s">
        <v>606</v>
      </c>
      <c r="C89" s="208"/>
      <c r="E89" s="256">
        <f>C29</f>
        <v>8</v>
      </c>
    </row>
    <row r="90" spans="2:6" s="161" customFormat="1" x14ac:dyDescent="0.25">
      <c r="B90" s="184" t="s">
        <v>566</v>
      </c>
      <c r="C90" s="208"/>
      <c r="E90" s="161" t="e">
        <f>E88*E89</f>
        <v>#DIV/0!</v>
      </c>
    </row>
    <row r="91" spans="2:6" s="161" customFormat="1" x14ac:dyDescent="0.25">
      <c r="B91" s="184"/>
      <c r="C91" s="208"/>
      <c r="D91" s="161" t="s">
        <v>607</v>
      </c>
    </row>
    <row r="92" spans="2:6" s="161" customFormat="1" x14ac:dyDescent="0.25">
      <c r="B92" s="118" t="s">
        <v>608</v>
      </c>
      <c r="C92" s="128"/>
      <c r="D92" s="159">
        <f>fin_model!G41</f>
        <v>0</v>
      </c>
      <c r="E92"/>
    </row>
    <row r="93" spans="2:6" x14ac:dyDescent="0.25">
      <c r="B93" s="118" t="s">
        <v>609</v>
      </c>
      <c r="D93" s="159">
        <f>fin_model!G42</f>
        <v>0</v>
      </c>
    </row>
    <row r="94" spans="2:6" x14ac:dyDescent="0.25">
      <c r="B94" s="118" t="s">
        <v>610</v>
      </c>
      <c r="D94" s="159">
        <f>fin_model!G45</f>
        <v>0</v>
      </c>
    </row>
    <row r="95" spans="2:6" x14ac:dyDescent="0.25">
      <c r="B95" s="118" t="s">
        <v>570</v>
      </c>
      <c r="D95" s="159">
        <f>fin_model!G81</f>
        <v>0</v>
      </c>
    </row>
    <row r="96" spans="2:6" x14ac:dyDescent="0.25">
      <c r="B96" s="118" t="s">
        <v>611</v>
      </c>
      <c r="D96" s="159">
        <f>SUM(D92:D94)-D95</f>
        <v>0</v>
      </c>
    </row>
  </sheetData>
  <pageMargins left="0.70000000000000007" right="0.70000000000000007" top="0.75" bottom="0.75" header="0.30000000000000004" footer="0.3000000000000000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36C4-7EA7-48FF-AF64-4A5F38315673}">
  <sheetPr>
    <tabColor rgb="FFC6E0B4"/>
  </sheetPr>
  <dimension ref="B1:J210"/>
  <sheetViews>
    <sheetView workbookViewId="0">
      <selection activeCell="F45" sqref="F45"/>
    </sheetView>
  </sheetViews>
  <sheetFormatPr defaultRowHeight="15.75" x14ac:dyDescent="0.25"/>
  <cols>
    <col min="1" max="1" width="1.85546875" customWidth="1"/>
    <col min="2" max="2" width="78.28515625" style="118" bestFit="1" customWidth="1"/>
    <col min="3" max="3" width="14.28515625" style="128" customWidth="1"/>
    <col min="4" max="14" width="14.28515625" customWidth="1"/>
    <col min="15" max="15" width="9.140625" customWidth="1"/>
  </cols>
  <sheetData>
    <row r="1" spans="2:10" s="161" customFormat="1" x14ac:dyDescent="0.25">
      <c r="B1" s="162" t="s">
        <v>527</v>
      </c>
      <c r="C1" s="163" t="s">
        <v>528</v>
      </c>
      <c r="D1" s="163" t="s">
        <v>529</v>
      </c>
      <c r="E1" s="163" t="s">
        <v>530</v>
      </c>
      <c r="F1" s="163" t="s">
        <v>531</v>
      </c>
      <c r="G1" s="163" t="s">
        <v>532</v>
      </c>
      <c r="H1" s="163" t="s">
        <v>533</v>
      </c>
      <c r="I1" s="163" t="s">
        <v>534</v>
      </c>
    </row>
    <row r="2" spans="2:10" s="161" customFormat="1" x14ac:dyDescent="0.25">
      <c r="B2" s="162" t="s">
        <v>612</v>
      </c>
      <c r="C2" s="164"/>
      <c r="D2" s="165"/>
      <c r="E2" s="165"/>
      <c r="F2" s="165"/>
      <c r="G2" s="165"/>
      <c r="H2" s="165"/>
      <c r="I2" s="165"/>
    </row>
    <row r="3" spans="2:10" s="166" customFormat="1" x14ac:dyDescent="0.25">
      <c r="B3" s="167" t="s">
        <v>613</v>
      </c>
      <c r="C3" s="168" t="e">
        <f>fin_model!I63</f>
        <v>#DIV/0!</v>
      </c>
      <c r="D3" s="168" t="e">
        <f>fin_model!J63</f>
        <v>#DIV/0!</v>
      </c>
      <c r="E3" s="168" t="e">
        <f>fin_model!K63</f>
        <v>#DIV/0!</v>
      </c>
      <c r="F3" s="168" t="e">
        <f>fin_model!L63</f>
        <v>#DIV/0!</v>
      </c>
      <c r="G3" s="168" t="e">
        <f>fin_model!M63</f>
        <v>#DIV/0!</v>
      </c>
      <c r="H3" s="168" t="e">
        <f>fin_model!N63</f>
        <v>#DIV/0!</v>
      </c>
    </row>
    <row r="4" spans="2:10" s="166" customFormat="1" x14ac:dyDescent="0.25">
      <c r="B4" s="167" t="s">
        <v>219</v>
      </c>
      <c r="C4" s="168" t="e">
        <f>fin_model!I66</f>
        <v>#DIV/0!</v>
      </c>
      <c r="D4" s="168" t="e">
        <f>fin_model!J66</f>
        <v>#DIV/0!</v>
      </c>
      <c r="E4" s="168" t="e">
        <f>fin_model!K66</f>
        <v>#DIV/0!</v>
      </c>
      <c r="F4" s="168" t="e">
        <f>fin_model!L66</f>
        <v>#DIV/0!</v>
      </c>
      <c r="G4" s="168" t="e">
        <f>fin_model!M66</f>
        <v>#DIV/0!</v>
      </c>
      <c r="H4" s="168" t="e">
        <f>fin_model!N66</f>
        <v>#DIV/0!</v>
      </c>
    </row>
    <row r="5" spans="2:10" s="166" customFormat="1" x14ac:dyDescent="0.25">
      <c r="B5" s="167" t="s">
        <v>614</v>
      </c>
      <c r="C5" s="168" t="e">
        <f>fin_model!I71</f>
        <v>#DIV/0!</v>
      </c>
      <c r="D5" s="168" t="e">
        <f>fin_model!J71</f>
        <v>#DIV/0!</v>
      </c>
      <c r="E5" s="168" t="e">
        <f>fin_model!K71</f>
        <v>#DIV/0!</v>
      </c>
      <c r="F5" s="168" t="e">
        <f>fin_model!L71</f>
        <v>#DIV/0!</v>
      </c>
      <c r="G5" s="168" t="e">
        <f>fin_model!M71</f>
        <v>#DIV/0!</v>
      </c>
      <c r="H5" s="168" t="e">
        <f>fin_model!N71</f>
        <v>#DIV/0!</v>
      </c>
      <c r="J5" s="178"/>
    </row>
    <row r="6" spans="2:10" s="166" customFormat="1" x14ac:dyDescent="0.25">
      <c r="B6" s="169" t="s">
        <v>615</v>
      </c>
      <c r="C6" s="168" t="e">
        <f>C3+C4+C5</f>
        <v>#DIV/0!</v>
      </c>
      <c r="D6" s="168" t="e">
        <f t="shared" ref="D6:H6" si="0">D3+D4+D5</f>
        <v>#DIV/0!</v>
      </c>
      <c r="E6" s="168" t="e">
        <f t="shared" si="0"/>
        <v>#DIV/0!</v>
      </c>
      <c r="F6" s="168" t="e">
        <f t="shared" si="0"/>
        <v>#DIV/0!</v>
      </c>
      <c r="G6" s="168" t="e">
        <f t="shared" si="0"/>
        <v>#DIV/0!</v>
      </c>
      <c r="H6" s="168" t="e">
        <f t="shared" si="0"/>
        <v>#DIV/0!</v>
      </c>
      <c r="I6" s="171"/>
    </row>
    <row r="7" spans="2:10" s="166" customFormat="1" x14ac:dyDescent="0.25">
      <c r="B7" s="167" t="s">
        <v>539</v>
      </c>
      <c r="C7" s="172"/>
      <c r="D7" s="171"/>
      <c r="E7" s="171"/>
      <c r="F7" s="171"/>
      <c r="G7" s="171"/>
      <c r="H7" s="171"/>
      <c r="I7" s="173" t="e">
        <f>C48</f>
        <v>#DIV/0!</v>
      </c>
      <c r="J7" s="178"/>
    </row>
    <row r="8" spans="2:10" s="166" customFormat="1" x14ac:dyDescent="0.25">
      <c r="B8" s="174" t="s">
        <v>540</v>
      </c>
      <c r="C8" s="175"/>
      <c r="D8" s="176"/>
      <c r="E8" s="176"/>
      <c r="F8" s="176"/>
      <c r="G8" s="176"/>
      <c r="H8" s="176"/>
      <c r="I8" s="173" t="e">
        <f>C52</f>
        <v>#DIV/0!</v>
      </c>
    </row>
    <row r="9" spans="2:10" s="166" customFormat="1" x14ac:dyDescent="0.25">
      <c r="B9" s="177"/>
      <c r="C9" s="175"/>
      <c r="D9" s="176"/>
      <c r="E9" s="176"/>
      <c r="F9" s="176"/>
      <c r="G9" s="176"/>
      <c r="H9" s="176"/>
      <c r="I9" s="176"/>
    </row>
    <row r="10" spans="2:10" s="166" customFormat="1" x14ac:dyDescent="0.25">
      <c r="B10" s="177" t="s">
        <v>539</v>
      </c>
      <c r="C10" s="175"/>
      <c r="D10" s="178"/>
      <c r="E10" s="178"/>
      <c r="F10" s="178"/>
      <c r="G10" s="178"/>
      <c r="H10" s="178"/>
      <c r="I10" s="176"/>
    </row>
    <row r="11" spans="2:10" s="166" customFormat="1" x14ac:dyDescent="0.25">
      <c r="B11" s="179" t="s">
        <v>541</v>
      </c>
      <c r="C11" s="180">
        <v>1</v>
      </c>
      <c r="D11" s="180">
        <v>2</v>
      </c>
      <c r="E11" s="180">
        <v>3</v>
      </c>
      <c r="F11" s="180">
        <v>4</v>
      </c>
      <c r="G11" s="180">
        <v>5</v>
      </c>
      <c r="H11" s="180">
        <v>6</v>
      </c>
      <c r="I11" s="180">
        <v>6</v>
      </c>
    </row>
    <row r="12" spans="2:10" s="166" customFormat="1" x14ac:dyDescent="0.25">
      <c r="B12" s="174" t="s">
        <v>542</v>
      </c>
      <c r="C12" s="168" t="e">
        <f t="shared" ref="C12:H12" si="1">C6/(1+$C$21)^C11</f>
        <v>#DIV/0!</v>
      </c>
      <c r="D12" s="168" t="e">
        <f t="shared" si="1"/>
        <v>#DIV/0!</v>
      </c>
      <c r="E12" s="168" t="e">
        <f t="shared" si="1"/>
        <v>#DIV/0!</v>
      </c>
      <c r="F12" s="168" t="e">
        <f t="shared" si="1"/>
        <v>#DIV/0!</v>
      </c>
      <c r="G12" s="168" t="e">
        <f t="shared" si="1"/>
        <v>#DIV/0!</v>
      </c>
      <c r="H12" s="168" t="e">
        <f t="shared" si="1"/>
        <v>#DIV/0!</v>
      </c>
      <c r="I12" s="168" t="e">
        <f>I7/(1+C21)^I11</f>
        <v>#DIV/0!</v>
      </c>
    </row>
    <row r="13" spans="2:10" s="166" customFormat="1" x14ac:dyDescent="0.25">
      <c r="B13" s="182"/>
      <c r="C13" s="175"/>
      <c r="D13" s="178"/>
      <c r="E13" s="178"/>
      <c r="F13" s="178"/>
      <c r="G13" s="178"/>
      <c r="H13" s="178"/>
      <c r="I13" s="183"/>
    </row>
    <row r="14" spans="2:10" s="166" customFormat="1" x14ac:dyDescent="0.25">
      <c r="B14" s="177" t="s">
        <v>540</v>
      </c>
      <c r="C14" s="175"/>
      <c r="D14" s="178"/>
      <c r="E14" s="178"/>
      <c r="F14" s="178"/>
      <c r="G14" s="178"/>
      <c r="H14" s="178"/>
      <c r="I14" s="176"/>
    </row>
    <row r="15" spans="2:10" s="166" customFormat="1" x14ac:dyDescent="0.25">
      <c r="B15" s="179" t="s">
        <v>541</v>
      </c>
      <c r="C15" s="180">
        <f t="shared" ref="C15:I15" si="2">C11</f>
        <v>1</v>
      </c>
      <c r="D15" s="180">
        <f t="shared" si="2"/>
        <v>2</v>
      </c>
      <c r="E15" s="180">
        <f t="shared" si="2"/>
        <v>3</v>
      </c>
      <c r="F15" s="180">
        <f t="shared" si="2"/>
        <v>4</v>
      </c>
      <c r="G15" s="180">
        <f t="shared" si="2"/>
        <v>5</v>
      </c>
      <c r="H15" s="180">
        <f t="shared" si="2"/>
        <v>6</v>
      </c>
      <c r="I15" s="180">
        <f t="shared" si="2"/>
        <v>6</v>
      </c>
    </row>
    <row r="16" spans="2:10" s="166" customFormat="1" x14ac:dyDescent="0.25">
      <c r="B16" s="174" t="s">
        <v>543</v>
      </c>
      <c r="C16" s="168" t="e">
        <f t="shared" ref="C16:H16" si="3">C6/(1+$C$21)^C15</f>
        <v>#DIV/0!</v>
      </c>
      <c r="D16" s="168" t="e">
        <f t="shared" si="3"/>
        <v>#DIV/0!</v>
      </c>
      <c r="E16" s="168" t="e">
        <f t="shared" si="3"/>
        <v>#DIV/0!</v>
      </c>
      <c r="F16" s="168" t="e">
        <f t="shared" si="3"/>
        <v>#DIV/0!</v>
      </c>
      <c r="G16" s="168" t="e">
        <f t="shared" si="3"/>
        <v>#DIV/0!</v>
      </c>
      <c r="H16" s="168" t="e">
        <f t="shared" si="3"/>
        <v>#DIV/0!</v>
      </c>
      <c r="I16" s="168" t="e">
        <f>I8/(1+C21)^I15</f>
        <v>#DIV/0!</v>
      </c>
      <c r="J16" s="178"/>
    </row>
    <row r="17" spans="2:9" s="166" customFormat="1" x14ac:dyDescent="0.25">
      <c r="B17" s="184"/>
      <c r="C17" s="172"/>
    </row>
    <row r="18" spans="2:9" s="166" customFormat="1" x14ac:dyDescent="0.25">
      <c r="B18" s="162" t="s">
        <v>544</v>
      </c>
      <c r="C18" s="172"/>
      <c r="D18" s="172"/>
      <c r="I18" s="166" t="s">
        <v>616</v>
      </c>
    </row>
    <row r="19" spans="2:9" s="166" customFormat="1" x14ac:dyDescent="0.25">
      <c r="B19" s="167" t="s">
        <v>545</v>
      </c>
      <c r="C19" s="185">
        <f>'DCF_-_FCFF_timing_&amp;_normalized'!C27</f>
        <v>0.01</v>
      </c>
      <c r="D19" s="186"/>
      <c r="E19" s="187"/>
    </row>
    <row r="20" spans="2:9" s="166" customFormat="1" x14ac:dyDescent="0.25">
      <c r="B20" s="167" t="s">
        <v>546</v>
      </c>
      <c r="C20" s="188" t="e">
        <f>'DCF_-_FCFF_timing_&amp;_normalized'!C28</f>
        <v>#DIV/0!</v>
      </c>
      <c r="D20" s="189"/>
    </row>
    <row r="21" spans="2:9" s="166" customFormat="1" x14ac:dyDescent="0.25">
      <c r="B21" s="167" t="s">
        <v>547</v>
      </c>
      <c r="C21" s="188">
        <f>WACC!B36</f>
        <v>0.1242</v>
      </c>
      <c r="D21" s="190"/>
    </row>
    <row r="22" spans="2:9" s="166" customFormat="1" x14ac:dyDescent="0.25">
      <c r="B22" s="174" t="s">
        <v>617</v>
      </c>
      <c r="C22" s="191">
        <v>16</v>
      </c>
      <c r="D22" s="257"/>
    </row>
    <row r="23" spans="2:9" s="166" customFormat="1" x14ac:dyDescent="0.25">
      <c r="B23" s="182"/>
      <c r="C23" s="193"/>
      <c r="D23" s="194"/>
    </row>
    <row r="24" spans="2:9" s="166" customFormat="1" x14ac:dyDescent="0.25">
      <c r="B24" s="174" t="s">
        <v>550</v>
      </c>
      <c r="C24" s="195">
        <f>'DCF_-_FCFF_timing_&amp;_normalized'!C31</f>
        <v>0</v>
      </c>
      <c r="D24" s="196"/>
    </row>
    <row r="25" spans="2:9" s="166" customFormat="1" x14ac:dyDescent="0.25">
      <c r="B25" s="174" t="s">
        <v>174</v>
      </c>
      <c r="C25" s="195">
        <f>'DCF_-_FCFF_timing_&amp;_normalized'!C32</f>
        <v>0</v>
      </c>
      <c r="D25" s="196"/>
    </row>
    <row r="26" spans="2:9" s="166" customFormat="1" x14ac:dyDescent="0.25">
      <c r="B26" s="182"/>
      <c r="C26" s="197"/>
      <c r="D26" s="196"/>
    </row>
    <row r="27" spans="2:9" s="166" customFormat="1" x14ac:dyDescent="0.25">
      <c r="B27" s="177" t="s">
        <v>539</v>
      </c>
      <c r="C27" s="197"/>
      <c r="D27" s="196"/>
    </row>
    <row r="28" spans="2:9" s="166" customFormat="1" x14ac:dyDescent="0.25">
      <c r="B28" s="174" t="s">
        <v>553</v>
      </c>
      <c r="C28" s="258" t="e">
        <f>SUM(C12:I12)</f>
        <v>#DIV/0!</v>
      </c>
      <c r="D28" s="178"/>
    </row>
    <row r="29" spans="2:9" s="166" customFormat="1" x14ac:dyDescent="0.25">
      <c r="B29" s="198" t="s">
        <v>471</v>
      </c>
      <c r="C29" s="199">
        <f>fin_model!H54</f>
        <v>0</v>
      </c>
      <c r="D29" s="200"/>
    </row>
    <row r="30" spans="2:9" s="166" customFormat="1" x14ac:dyDescent="0.25">
      <c r="B30" s="174" t="s">
        <v>554</v>
      </c>
      <c r="C30" s="201" t="e">
        <f>C28/C29</f>
        <v>#DIV/0!</v>
      </c>
      <c r="D30" s="202"/>
    </row>
    <row r="31" spans="2:9" s="166" customFormat="1" x14ac:dyDescent="0.25">
      <c r="B31" s="174" t="s">
        <v>555</v>
      </c>
      <c r="C31" s="203">
        <f>YEARFRAC(C24,C25)</f>
        <v>0</v>
      </c>
      <c r="D31" s="204"/>
    </row>
    <row r="32" spans="2:9" s="166" customFormat="1" x14ac:dyDescent="0.25">
      <c r="B32" s="174" t="s">
        <v>556</v>
      </c>
      <c r="C32" s="201" t="e">
        <f>C30*C31</f>
        <v>#DIV/0!</v>
      </c>
      <c r="D32" s="205"/>
    </row>
    <row r="33" spans="2:4" s="166" customFormat="1" x14ac:dyDescent="0.25">
      <c r="B33" s="182"/>
      <c r="C33" s="206"/>
      <c r="D33" s="205"/>
    </row>
    <row r="34" spans="2:4" s="166" customFormat="1" x14ac:dyDescent="0.25">
      <c r="B34" s="177" t="s">
        <v>540</v>
      </c>
      <c r="C34" s="197"/>
      <c r="D34" s="196"/>
    </row>
    <row r="35" spans="2:4" s="166" customFormat="1" x14ac:dyDescent="0.25">
      <c r="B35" s="174" t="s">
        <v>553</v>
      </c>
      <c r="C35" s="168" t="e">
        <f>C28</f>
        <v>#DIV/0!</v>
      </c>
      <c r="D35" s="178"/>
    </row>
    <row r="36" spans="2:4" s="166" customFormat="1" x14ac:dyDescent="0.25">
      <c r="B36" s="198" t="s">
        <v>471</v>
      </c>
      <c r="C36" s="199">
        <f>C29</f>
        <v>0</v>
      </c>
      <c r="D36" s="200"/>
    </row>
    <row r="37" spans="2:4" s="166" customFormat="1" x14ac:dyDescent="0.25">
      <c r="B37" s="174" t="s">
        <v>554</v>
      </c>
      <c r="C37" s="207" t="e">
        <f>SUM(C16:I16)/C36</f>
        <v>#DIV/0!</v>
      </c>
      <c r="D37" s="202"/>
    </row>
    <row r="38" spans="2:4" s="166" customFormat="1" x14ac:dyDescent="0.25">
      <c r="B38" s="174" t="s">
        <v>555</v>
      </c>
      <c r="C38" s="203">
        <f>C31</f>
        <v>0</v>
      </c>
      <c r="D38" s="204"/>
    </row>
    <row r="39" spans="2:4" s="166" customFormat="1" x14ac:dyDescent="0.25">
      <c r="B39" s="174" t="s">
        <v>556</v>
      </c>
      <c r="C39" s="201" t="e">
        <f>C37*C38</f>
        <v>#DIV/0!</v>
      </c>
      <c r="D39" s="205"/>
    </row>
    <row r="40" spans="2:4" s="166" customFormat="1" x14ac:dyDescent="0.25">
      <c r="B40" s="182"/>
      <c r="C40" s="206"/>
      <c r="D40" s="205"/>
    </row>
    <row r="41" spans="2:4" s="161" customFormat="1" x14ac:dyDescent="0.25">
      <c r="B41" s="184"/>
      <c r="C41" s="208"/>
    </row>
    <row r="42" spans="2:4" s="161" customFormat="1" x14ac:dyDescent="0.25">
      <c r="B42" s="184"/>
    </row>
    <row r="43" spans="2:4" s="161" customFormat="1" x14ac:dyDescent="0.25">
      <c r="B43" s="184"/>
    </row>
    <row r="44" spans="2:4" s="161" customFormat="1" x14ac:dyDescent="0.25">
      <c r="B44" s="184" t="s">
        <v>615</v>
      </c>
      <c r="C44" s="208" t="e">
        <f>H6</f>
        <v>#DIV/0!</v>
      </c>
    </row>
    <row r="45" spans="2:4" s="161" customFormat="1" x14ac:dyDescent="0.25">
      <c r="B45" s="184" t="s">
        <v>557</v>
      </c>
      <c r="C45" s="259">
        <f>1+C19</f>
        <v>1.01</v>
      </c>
    </row>
    <row r="46" spans="2:4" s="161" customFormat="1" x14ac:dyDescent="0.25">
      <c r="B46" s="184" t="s">
        <v>618</v>
      </c>
      <c r="C46" s="208"/>
      <c r="D46" s="161" t="e">
        <f>C44*C45</f>
        <v>#DIV/0!</v>
      </c>
    </row>
    <row r="47" spans="2:4" s="161" customFormat="1" x14ac:dyDescent="0.25">
      <c r="B47" s="184" t="s">
        <v>619</v>
      </c>
      <c r="C47" s="208"/>
      <c r="D47" s="210">
        <f>C21-C19</f>
        <v>0.11420000000000001</v>
      </c>
    </row>
    <row r="48" spans="2:4" s="161" customFormat="1" x14ac:dyDescent="0.25">
      <c r="B48" s="184" t="s">
        <v>620</v>
      </c>
      <c r="C48" s="208" t="e">
        <f>D46/D47</f>
        <v>#DIV/0!</v>
      </c>
    </row>
    <row r="49" spans="2:3" s="161" customFormat="1" x14ac:dyDescent="0.25">
      <c r="B49" s="184"/>
    </row>
    <row r="50" spans="2:3" s="161" customFormat="1" x14ac:dyDescent="0.25">
      <c r="B50" s="184" t="s">
        <v>621</v>
      </c>
      <c r="C50" s="260" t="e">
        <f>fin_model!N23</f>
        <v>#DIV/0!</v>
      </c>
    </row>
    <row r="51" spans="2:3" s="161" customFormat="1" x14ac:dyDescent="0.25">
      <c r="B51" s="184" t="s">
        <v>622</v>
      </c>
      <c r="C51" s="260">
        <f>C22</f>
        <v>16</v>
      </c>
    </row>
    <row r="52" spans="2:3" s="161" customFormat="1" x14ac:dyDescent="0.25">
      <c r="B52" s="184" t="s">
        <v>623</v>
      </c>
      <c r="C52" s="208" t="e">
        <f>C50*C51</f>
        <v>#DIV/0!</v>
      </c>
    </row>
    <row r="53" spans="2:3" s="161" customFormat="1" x14ac:dyDescent="0.25">
      <c r="B53" s="184"/>
      <c r="C53" s="208"/>
    </row>
    <row r="54" spans="2:3" s="161" customFormat="1" x14ac:dyDescent="0.25">
      <c r="B54" s="184"/>
      <c r="C54" s="208"/>
    </row>
    <row r="55" spans="2:3" s="161" customFormat="1" x14ac:dyDescent="0.25">
      <c r="B55" s="184"/>
      <c r="C55" s="208"/>
    </row>
    <row r="56" spans="2:3" s="161" customFormat="1" x14ac:dyDescent="0.25">
      <c r="B56" s="184"/>
      <c r="C56" s="208"/>
    </row>
    <row r="57" spans="2:3" s="161" customFormat="1" x14ac:dyDescent="0.25">
      <c r="B57" s="184"/>
      <c r="C57" s="208"/>
    </row>
    <row r="58" spans="2:3" s="161" customFormat="1" x14ac:dyDescent="0.25">
      <c r="B58" s="184"/>
      <c r="C58" s="208"/>
    </row>
    <row r="59" spans="2:3" s="161" customFormat="1" x14ac:dyDescent="0.25">
      <c r="B59" s="184"/>
      <c r="C59" s="208"/>
    </row>
    <row r="60" spans="2:3" s="161" customFormat="1" x14ac:dyDescent="0.25">
      <c r="B60" s="184"/>
      <c r="C60" s="208"/>
    </row>
    <row r="61" spans="2:3" s="161" customFormat="1" x14ac:dyDescent="0.25">
      <c r="B61" s="184"/>
      <c r="C61" s="208"/>
    </row>
    <row r="62" spans="2:3" s="161" customFormat="1" x14ac:dyDescent="0.25">
      <c r="B62" s="184"/>
      <c r="C62" s="208"/>
    </row>
    <row r="63" spans="2:3" s="161" customFormat="1" x14ac:dyDescent="0.25">
      <c r="B63" s="184"/>
      <c r="C63" s="208"/>
    </row>
    <row r="64" spans="2:3" s="161" customFormat="1" x14ac:dyDescent="0.25">
      <c r="B64" s="184"/>
      <c r="C64" s="208"/>
    </row>
    <row r="65" spans="2:3" s="161" customFormat="1" x14ac:dyDescent="0.25">
      <c r="B65" s="184"/>
      <c r="C65" s="208"/>
    </row>
    <row r="66" spans="2:3" s="161" customFormat="1" x14ac:dyDescent="0.25">
      <c r="B66" s="184"/>
      <c r="C66" s="208"/>
    </row>
    <row r="67" spans="2:3" s="161" customFormat="1" x14ac:dyDescent="0.25">
      <c r="B67" s="184"/>
      <c r="C67" s="208"/>
    </row>
    <row r="68" spans="2:3" s="161" customFormat="1" x14ac:dyDescent="0.25">
      <c r="B68" s="184"/>
      <c r="C68" s="208"/>
    </row>
    <row r="69" spans="2:3" s="161" customFormat="1" x14ac:dyDescent="0.25">
      <c r="B69" s="184"/>
      <c r="C69" s="208"/>
    </row>
    <row r="70" spans="2:3" s="161" customFormat="1" x14ac:dyDescent="0.25">
      <c r="B70" s="184"/>
      <c r="C70" s="208"/>
    </row>
    <row r="71" spans="2:3" s="161" customFormat="1" x14ac:dyDescent="0.25">
      <c r="B71" s="184"/>
      <c r="C71" s="208"/>
    </row>
    <row r="72" spans="2:3" s="161" customFormat="1" x14ac:dyDescent="0.25">
      <c r="B72" s="184"/>
      <c r="C72" s="208"/>
    </row>
    <row r="73" spans="2:3" s="161" customFormat="1" x14ac:dyDescent="0.25">
      <c r="B73" s="184"/>
      <c r="C73" s="208"/>
    </row>
    <row r="74" spans="2:3" s="161" customFormat="1" x14ac:dyDescent="0.25">
      <c r="B74" s="184"/>
      <c r="C74" s="208"/>
    </row>
    <row r="75" spans="2:3" s="161" customFormat="1" x14ac:dyDescent="0.25">
      <c r="B75" s="184"/>
      <c r="C75" s="208"/>
    </row>
    <row r="76" spans="2:3" s="161" customFormat="1" x14ac:dyDescent="0.25">
      <c r="B76" s="184"/>
      <c r="C76" s="208"/>
    </row>
    <row r="77" spans="2:3" s="161" customFormat="1" x14ac:dyDescent="0.25">
      <c r="B77" s="184"/>
      <c r="C77" s="208"/>
    </row>
    <row r="78" spans="2:3" s="161" customFormat="1" x14ac:dyDescent="0.25">
      <c r="B78" s="184"/>
      <c r="C78" s="208"/>
    </row>
    <row r="79" spans="2:3" s="161" customFormat="1" x14ac:dyDescent="0.25">
      <c r="B79" s="184"/>
      <c r="C79" s="208"/>
    </row>
    <row r="80" spans="2:3" s="161" customFormat="1" x14ac:dyDescent="0.25">
      <c r="B80" s="184"/>
      <c r="C80" s="208"/>
    </row>
    <row r="81" spans="2:3" s="161" customFormat="1" x14ac:dyDescent="0.25">
      <c r="B81" s="184"/>
      <c r="C81" s="208"/>
    </row>
    <row r="82" spans="2:3" s="161" customFormat="1" x14ac:dyDescent="0.25">
      <c r="B82" s="184"/>
      <c r="C82" s="208"/>
    </row>
    <row r="83" spans="2:3" s="161" customFormat="1" x14ac:dyDescent="0.25">
      <c r="B83" s="184"/>
      <c r="C83" s="208"/>
    </row>
    <row r="84" spans="2:3" s="161" customFormat="1" x14ac:dyDescent="0.25">
      <c r="B84" s="184"/>
      <c r="C84" s="208"/>
    </row>
    <row r="85" spans="2:3" s="161" customFormat="1" x14ac:dyDescent="0.25">
      <c r="B85" s="184"/>
      <c r="C85" s="208"/>
    </row>
    <row r="86" spans="2:3" s="161" customFormat="1" x14ac:dyDescent="0.25">
      <c r="B86" s="184"/>
      <c r="C86" s="208"/>
    </row>
    <row r="87" spans="2:3" s="161" customFormat="1" x14ac:dyDescent="0.25">
      <c r="B87" s="184"/>
      <c r="C87" s="208"/>
    </row>
    <row r="88" spans="2:3" s="161" customFormat="1" x14ac:dyDescent="0.25">
      <c r="B88" s="184"/>
      <c r="C88" s="208"/>
    </row>
    <row r="89" spans="2:3" s="161" customFormat="1" x14ac:dyDescent="0.25">
      <c r="B89" s="184"/>
      <c r="C89" s="208"/>
    </row>
    <row r="90" spans="2:3" s="161" customFormat="1" x14ac:dyDescent="0.25">
      <c r="B90" s="184"/>
      <c r="C90" s="208"/>
    </row>
    <row r="91" spans="2:3" s="161" customFormat="1" x14ac:dyDescent="0.25">
      <c r="B91" s="184"/>
      <c r="C91" s="208"/>
    </row>
    <row r="92" spans="2:3" s="161" customFormat="1" x14ac:dyDescent="0.25">
      <c r="B92" s="184"/>
      <c r="C92" s="208"/>
    </row>
    <row r="93" spans="2:3" s="161" customFormat="1" x14ac:dyDescent="0.25">
      <c r="B93" s="184"/>
      <c r="C93" s="208"/>
    </row>
    <row r="94" spans="2:3" s="161" customFormat="1" x14ac:dyDescent="0.25">
      <c r="B94" s="184"/>
      <c r="C94" s="208"/>
    </row>
    <row r="95" spans="2:3" s="161" customFormat="1" x14ac:dyDescent="0.25">
      <c r="B95" s="184"/>
      <c r="C95" s="208"/>
    </row>
    <row r="96" spans="2:3" s="161" customFormat="1" x14ac:dyDescent="0.25">
      <c r="B96" s="184"/>
      <c r="C96" s="208"/>
    </row>
    <row r="97" spans="2:3" s="161" customFormat="1" x14ac:dyDescent="0.25">
      <c r="B97" s="184"/>
      <c r="C97" s="208"/>
    </row>
    <row r="98" spans="2:3" s="161" customFormat="1" x14ac:dyDescent="0.25">
      <c r="B98" s="184"/>
      <c r="C98" s="208"/>
    </row>
    <row r="99" spans="2:3" s="161" customFormat="1" x14ac:dyDescent="0.25">
      <c r="B99" s="184"/>
      <c r="C99" s="208"/>
    </row>
    <row r="100" spans="2:3" s="161" customFormat="1" x14ac:dyDescent="0.25">
      <c r="B100" s="184"/>
      <c r="C100" s="208"/>
    </row>
    <row r="101" spans="2:3" s="161" customFormat="1" x14ac:dyDescent="0.25">
      <c r="B101" s="184"/>
      <c r="C101" s="208"/>
    </row>
    <row r="102" spans="2:3" s="161" customFormat="1" x14ac:dyDescent="0.25">
      <c r="B102" s="184"/>
      <c r="C102" s="208"/>
    </row>
    <row r="103" spans="2:3" s="161" customFormat="1" x14ac:dyDescent="0.25">
      <c r="B103" s="184"/>
      <c r="C103" s="208"/>
    </row>
    <row r="104" spans="2:3" s="161" customFormat="1" x14ac:dyDescent="0.25">
      <c r="B104" s="184"/>
      <c r="C104" s="208"/>
    </row>
    <row r="105" spans="2:3" s="161" customFormat="1" x14ac:dyDescent="0.25">
      <c r="B105" s="184"/>
      <c r="C105" s="208"/>
    </row>
    <row r="106" spans="2:3" s="161" customFormat="1" x14ac:dyDescent="0.25">
      <c r="B106" s="184"/>
      <c r="C106" s="208"/>
    </row>
    <row r="107" spans="2:3" s="161" customFormat="1" x14ac:dyDescent="0.25">
      <c r="B107" s="184"/>
      <c r="C107" s="208"/>
    </row>
    <row r="108" spans="2:3" s="161" customFormat="1" x14ac:dyDescent="0.25">
      <c r="B108" s="184"/>
      <c r="C108" s="208"/>
    </row>
    <row r="109" spans="2:3" s="161" customFormat="1" x14ac:dyDescent="0.25">
      <c r="B109" s="184"/>
      <c r="C109" s="208"/>
    </row>
    <row r="110" spans="2:3" s="161" customFormat="1" x14ac:dyDescent="0.25">
      <c r="B110" s="184"/>
      <c r="C110" s="208"/>
    </row>
    <row r="111" spans="2:3" s="161" customFormat="1" x14ac:dyDescent="0.25">
      <c r="B111" s="184"/>
      <c r="C111" s="208"/>
    </row>
    <row r="112" spans="2:3" s="161" customFormat="1" x14ac:dyDescent="0.25">
      <c r="B112" s="184"/>
      <c r="C112" s="208"/>
    </row>
    <row r="113" spans="2:3" s="161" customFormat="1" x14ac:dyDescent="0.25">
      <c r="B113" s="184"/>
      <c r="C113" s="208"/>
    </row>
    <row r="114" spans="2:3" s="161" customFormat="1" x14ac:dyDescent="0.25">
      <c r="B114" s="184"/>
      <c r="C114" s="208"/>
    </row>
    <row r="115" spans="2:3" s="161" customFormat="1" x14ac:dyDescent="0.25">
      <c r="B115" s="184"/>
      <c r="C115" s="208"/>
    </row>
    <row r="116" spans="2:3" s="161" customFormat="1" x14ac:dyDescent="0.25">
      <c r="B116" s="184"/>
      <c r="C116" s="208"/>
    </row>
    <row r="117" spans="2:3" s="161" customFormat="1" x14ac:dyDescent="0.25">
      <c r="B117" s="184"/>
      <c r="C117" s="208"/>
    </row>
    <row r="118" spans="2:3" s="161" customFormat="1" x14ac:dyDescent="0.25">
      <c r="B118" s="184"/>
      <c r="C118" s="208"/>
    </row>
    <row r="119" spans="2:3" s="161" customFormat="1" x14ac:dyDescent="0.25">
      <c r="B119" s="184"/>
      <c r="C119" s="208"/>
    </row>
    <row r="120" spans="2:3" s="161" customFormat="1" x14ac:dyDescent="0.25">
      <c r="B120" s="184"/>
      <c r="C120" s="208"/>
    </row>
    <row r="121" spans="2:3" s="161" customFormat="1" x14ac:dyDescent="0.25">
      <c r="B121" s="184"/>
      <c r="C121" s="208"/>
    </row>
    <row r="122" spans="2:3" s="161" customFormat="1" x14ac:dyDescent="0.25">
      <c r="B122" s="184"/>
      <c r="C122" s="208"/>
    </row>
    <row r="123" spans="2:3" s="161" customFormat="1" x14ac:dyDescent="0.25">
      <c r="B123" s="184"/>
      <c r="C123" s="208"/>
    </row>
    <row r="124" spans="2:3" s="161" customFormat="1" x14ac:dyDescent="0.25">
      <c r="B124" s="184"/>
      <c r="C124" s="208"/>
    </row>
    <row r="125" spans="2:3" s="161" customFormat="1" x14ac:dyDescent="0.25">
      <c r="B125" s="184"/>
      <c r="C125" s="208"/>
    </row>
    <row r="126" spans="2:3" s="161" customFormat="1" x14ac:dyDescent="0.25">
      <c r="B126" s="184"/>
      <c r="C126" s="208"/>
    </row>
    <row r="127" spans="2:3" s="161" customFormat="1" x14ac:dyDescent="0.25">
      <c r="B127" s="184"/>
      <c r="C127" s="208"/>
    </row>
    <row r="128" spans="2:3" s="161" customFormat="1" x14ac:dyDescent="0.25">
      <c r="B128" s="184"/>
      <c r="C128" s="208"/>
    </row>
    <row r="129" spans="2:3" s="161" customFormat="1" x14ac:dyDescent="0.25">
      <c r="B129" s="184"/>
      <c r="C129" s="208"/>
    </row>
    <row r="130" spans="2:3" s="161" customFormat="1" x14ac:dyDescent="0.25">
      <c r="B130" s="184"/>
      <c r="C130" s="208"/>
    </row>
    <row r="131" spans="2:3" s="161" customFormat="1" x14ac:dyDescent="0.25">
      <c r="B131" s="184"/>
      <c r="C131" s="208"/>
    </row>
    <row r="132" spans="2:3" s="161" customFormat="1" x14ac:dyDescent="0.25">
      <c r="B132" s="184"/>
      <c r="C132" s="208"/>
    </row>
    <row r="133" spans="2:3" s="161" customFormat="1" x14ac:dyDescent="0.25">
      <c r="B133" s="184"/>
      <c r="C133" s="208"/>
    </row>
    <row r="134" spans="2:3" s="161" customFormat="1" x14ac:dyDescent="0.25">
      <c r="B134" s="184"/>
      <c r="C134" s="208"/>
    </row>
    <row r="135" spans="2:3" s="161" customFormat="1" x14ac:dyDescent="0.25">
      <c r="B135" s="184"/>
      <c r="C135" s="208"/>
    </row>
    <row r="136" spans="2:3" s="161" customFormat="1" x14ac:dyDescent="0.25">
      <c r="B136" s="184"/>
      <c r="C136" s="208"/>
    </row>
    <row r="137" spans="2:3" s="161" customFormat="1" x14ac:dyDescent="0.25">
      <c r="B137" s="184"/>
      <c r="C137" s="208"/>
    </row>
    <row r="138" spans="2:3" s="161" customFormat="1" x14ac:dyDescent="0.25">
      <c r="B138" s="184"/>
      <c r="C138" s="208"/>
    </row>
    <row r="139" spans="2:3" s="161" customFormat="1" x14ac:dyDescent="0.25">
      <c r="B139" s="184"/>
      <c r="C139" s="208"/>
    </row>
    <row r="140" spans="2:3" s="161" customFormat="1" x14ac:dyDescent="0.25">
      <c r="B140" s="184"/>
      <c r="C140" s="208"/>
    </row>
    <row r="141" spans="2:3" s="161" customFormat="1" x14ac:dyDescent="0.25">
      <c r="B141" s="184"/>
      <c r="C141" s="208"/>
    </row>
    <row r="142" spans="2:3" s="161" customFormat="1" x14ac:dyDescent="0.25">
      <c r="B142" s="184"/>
      <c r="C142" s="208"/>
    </row>
    <row r="143" spans="2:3" s="161" customFormat="1" x14ac:dyDescent="0.25">
      <c r="B143" s="184"/>
      <c r="C143" s="208"/>
    </row>
    <row r="144" spans="2:3" s="161" customFormat="1" x14ac:dyDescent="0.25">
      <c r="B144" s="184"/>
      <c r="C144" s="208"/>
    </row>
    <row r="145" spans="2:3" s="161" customFormat="1" x14ac:dyDescent="0.25">
      <c r="B145" s="184"/>
      <c r="C145" s="208"/>
    </row>
    <row r="146" spans="2:3" s="161" customFormat="1" x14ac:dyDescent="0.25">
      <c r="B146" s="184"/>
      <c r="C146" s="208"/>
    </row>
    <row r="147" spans="2:3" s="161" customFormat="1" x14ac:dyDescent="0.25">
      <c r="B147" s="184"/>
      <c r="C147" s="208"/>
    </row>
    <row r="148" spans="2:3" s="161" customFormat="1" x14ac:dyDescent="0.25">
      <c r="B148" s="184"/>
      <c r="C148" s="208"/>
    </row>
    <row r="149" spans="2:3" s="161" customFormat="1" x14ac:dyDescent="0.25">
      <c r="B149" s="184"/>
      <c r="C149" s="208"/>
    </row>
    <row r="150" spans="2:3" s="161" customFormat="1" x14ac:dyDescent="0.25">
      <c r="B150" s="184"/>
      <c r="C150" s="208"/>
    </row>
    <row r="151" spans="2:3" s="161" customFormat="1" x14ac:dyDescent="0.25">
      <c r="B151" s="184"/>
      <c r="C151" s="208"/>
    </row>
    <row r="152" spans="2:3" s="161" customFormat="1" x14ac:dyDescent="0.25">
      <c r="B152" s="184"/>
      <c r="C152" s="208"/>
    </row>
    <row r="153" spans="2:3" s="161" customFormat="1" x14ac:dyDescent="0.25">
      <c r="B153" s="184"/>
      <c r="C153" s="208"/>
    </row>
    <row r="154" spans="2:3" s="161" customFormat="1" x14ac:dyDescent="0.25">
      <c r="B154" s="184"/>
      <c r="C154" s="208"/>
    </row>
    <row r="155" spans="2:3" s="161" customFormat="1" x14ac:dyDescent="0.25">
      <c r="B155" s="184"/>
      <c r="C155" s="208"/>
    </row>
    <row r="156" spans="2:3" s="161" customFormat="1" x14ac:dyDescent="0.25">
      <c r="B156" s="184"/>
      <c r="C156" s="208"/>
    </row>
    <row r="157" spans="2:3" s="161" customFormat="1" x14ac:dyDescent="0.25">
      <c r="B157" s="184"/>
      <c r="C157" s="208"/>
    </row>
    <row r="158" spans="2:3" s="161" customFormat="1" x14ac:dyDescent="0.25">
      <c r="B158" s="184"/>
      <c r="C158" s="208"/>
    </row>
    <row r="159" spans="2:3" s="161" customFormat="1" x14ac:dyDescent="0.25">
      <c r="B159" s="184"/>
      <c r="C159" s="208"/>
    </row>
    <row r="160" spans="2:3" s="161" customFormat="1" x14ac:dyDescent="0.25">
      <c r="B160" s="184"/>
      <c r="C160" s="208"/>
    </row>
    <row r="161" spans="2:3" s="161" customFormat="1" x14ac:dyDescent="0.25">
      <c r="B161" s="184"/>
      <c r="C161" s="208"/>
    </row>
    <row r="162" spans="2:3" s="161" customFormat="1" x14ac:dyDescent="0.25">
      <c r="B162" s="184"/>
      <c r="C162" s="208"/>
    </row>
    <row r="163" spans="2:3" s="161" customFormat="1" x14ac:dyDescent="0.25">
      <c r="B163" s="184"/>
      <c r="C163" s="208"/>
    </row>
    <row r="164" spans="2:3" s="161" customFormat="1" x14ac:dyDescent="0.25">
      <c r="B164" s="184"/>
      <c r="C164" s="208"/>
    </row>
    <row r="165" spans="2:3" s="161" customFormat="1" x14ac:dyDescent="0.25">
      <c r="B165" s="184"/>
      <c r="C165" s="208"/>
    </row>
    <row r="166" spans="2:3" x14ac:dyDescent="0.25">
      <c r="B166" s="184"/>
    </row>
    <row r="167" spans="2:3" x14ac:dyDescent="0.25">
      <c r="B167" s="184"/>
    </row>
    <row r="168" spans="2:3" x14ac:dyDescent="0.25">
      <c r="B168" s="184"/>
    </row>
    <row r="169" spans="2:3" x14ac:dyDescent="0.25">
      <c r="B169" s="184"/>
    </row>
    <row r="170" spans="2:3" x14ac:dyDescent="0.25">
      <c r="B170" s="184"/>
    </row>
    <row r="171" spans="2:3" x14ac:dyDescent="0.25">
      <c r="B171" s="184"/>
    </row>
    <row r="172" spans="2:3" x14ac:dyDescent="0.25">
      <c r="B172" s="184"/>
    </row>
    <row r="173" spans="2:3" x14ac:dyDescent="0.25">
      <c r="B173" s="184"/>
    </row>
    <row r="174" spans="2:3" x14ac:dyDescent="0.25">
      <c r="B174" s="184"/>
    </row>
    <row r="175" spans="2:3" x14ac:dyDescent="0.25">
      <c r="B175" s="184"/>
    </row>
    <row r="176" spans="2:3" x14ac:dyDescent="0.25">
      <c r="B176" s="184"/>
    </row>
    <row r="177" spans="2:2" x14ac:dyDescent="0.25">
      <c r="B177" s="184"/>
    </row>
    <row r="178" spans="2:2" x14ac:dyDescent="0.25">
      <c r="B178" s="184"/>
    </row>
    <row r="179" spans="2:2" x14ac:dyDescent="0.25">
      <c r="B179" s="184"/>
    </row>
    <row r="180" spans="2:2" x14ac:dyDescent="0.25">
      <c r="B180" s="184"/>
    </row>
    <row r="181" spans="2:2" x14ac:dyDescent="0.25">
      <c r="B181" s="184"/>
    </row>
    <row r="182" spans="2:2" x14ac:dyDescent="0.25">
      <c r="B182" s="184"/>
    </row>
    <row r="183" spans="2:2" x14ac:dyDescent="0.25">
      <c r="B183" s="184"/>
    </row>
    <row r="184" spans="2:2" x14ac:dyDescent="0.25">
      <c r="B184" s="184"/>
    </row>
    <row r="185" spans="2:2" x14ac:dyDescent="0.25">
      <c r="B185" s="184"/>
    </row>
    <row r="186" spans="2:2" x14ac:dyDescent="0.25">
      <c r="B186" s="184"/>
    </row>
    <row r="187" spans="2:2" x14ac:dyDescent="0.25">
      <c r="B187" s="184"/>
    </row>
    <row r="188" spans="2:2" x14ac:dyDescent="0.25">
      <c r="B188" s="184"/>
    </row>
    <row r="189" spans="2:2" x14ac:dyDescent="0.25">
      <c r="B189" s="184"/>
    </row>
    <row r="190" spans="2:2" x14ac:dyDescent="0.25">
      <c r="B190" s="184"/>
    </row>
    <row r="191" spans="2:2" x14ac:dyDescent="0.25">
      <c r="B191" s="184"/>
    </row>
    <row r="192" spans="2:2" x14ac:dyDescent="0.25">
      <c r="B192" s="184"/>
    </row>
    <row r="193" spans="2:2" x14ac:dyDescent="0.25">
      <c r="B193" s="184"/>
    </row>
    <row r="194" spans="2:2" x14ac:dyDescent="0.25">
      <c r="B194" s="184"/>
    </row>
    <row r="195" spans="2:2" x14ac:dyDescent="0.25">
      <c r="B195" s="184"/>
    </row>
    <row r="196" spans="2:2" x14ac:dyDescent="0.25">
      <c r="B196" s="184"/>
    </row>
    <row r="197" spans="2:2" x14ac:dyDescent="0.25">
      <c r="B197" s="184"/>
    </row>
    <row r="198" spans="2:2" x14ac:dyDescent="0.25">
      <c r="B198" s="184"/>
    </row>
    <row r="199" spans="2:2" x14ac:dyDescent="0.25">
      <c r="B199" s="184"/>
    </row>
    <row r="200" spans="2:2" x14ac:dyDescent="0.25">
      <c r="B200" s="184"/>
    </row>
    <row r="201" spans="2:2" x14ac:dyDescent="0.25">
      <c r="B201" s="184"/>
    </row>
    <row r="202" spans="2:2" x14ac:dyDescent="0.25">
      <c r="B202" s="184"/>
    </row>
    <row r="203" spans="2:2" x14ac:dyDescent="0.25">
      <c r="B203" s="184"/>
    </row>
    <row r="204" spans="2:2" x14ac:dyDescent="0.25">
      <c r="B204" s="184"/>
    </row>
    <row r="205" spans="2:2" x14ac:dyDescent="0.25">
      <c r="B205" s="184"/>
    </row>
    <row r="206" spans="2:2" x14ac:dyDescent="0.25">
      <c r="B206" s="184"/>
    </row>
    <row r="207" spans="2:2" x14ac:dyDescent="0.25">
      <c r="B207" s="184"/>
    </row>
    <row r="208" spans="2:2" x14ac:dyDescent="0.25">
      <c r="B208" s="184"/>
    </row>
    <row r="209" spans="2:2" x14ac:dyDescent="0.25">
      <c r="B209" s="184"/>
    </row>
    <row r="210" spans="2:2" x14ac:dyDescent="0.25">
      <c r="B210" s="184"/>
    </row>
  </sheetData>
  <pageMargins left="0.70000000000000007" right="0.70000000000000007" top="0.75" bottom="0.75" header="0.30000000000000004" footer="0.3000000000000000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81C-DE6B-47E8-AE33-9067BBD75A3A}">
  <sheetPr>
    <tabColor rgb="FFC6E0B4"/>
  </sheetPr>
  <dimension ref="B1:M253"/>
  <sheetViews>
    <sheetView topLeftCell="A13" workbookViewId="0">
      <selection activeCell="F27" sqref="F27"/>
    </sheetView>
  </sheetViews>
  <sheetFormatPr defaultRowHeight="15.75" x14ac:dyDescent="0.25"/>
  <cols>
    <col min="1" max="1" width="1.85546875" customWidth="1"/>
    <col min="2" max="2" width="78.28515625" style="118" bestFit="1" customWidth="1"/>
    <col min="3" max="3" width="14.28515625" style="128" customWidth="1"/>
    <col min="4" max="7" width="14.28515625" customWidth="1"/>
    <col min="8" max="11" width="9.7109375" customWidth="1"/>
    <col min="12" max="12" width="9.28515625" customWidth="1"/>
    <col min="13" max="13" width="9.140625" customWidth="1"/>
    <col min="14" max="14" width="14.28515625" customWidth="1"/>
    <col min="15" max="15" width="9.140625" customWidth="1"/>
  </cols>
  <sheetData>
    <row r="1" spans="2:10" s="161" customFormat="1" x14ac:dyDescent="0.25">
      <c r="B1" s="162" t="s">
        <v>527</v>
      </c>
      <c r="C1" s="163" t="s">
        <v>528</v>
      </c>
      <c r="D1" s="163" t="s">
        <v>529</v>
      </c>
      <c r="E1" s="163" t="s">
        <v>530</v>
      </c>
      <c r="F1" s="163" t="s">
        <v>531</v>
      </c>
      <c r="G1" s="163" t="s">
        <v>532</v>
      </c>
      <c r="H1" s="163" t="s">
        <v>533</v>
      </c>
      <c r="I1" s="163" t="s">
        <v>534</v>
      </c>
    </row>
    <row r="2" spans="2:10" s="161" customFormat="1" x14ac:dyDescent="0.25">
      <c r="B2" s="162" t="s">
        <v>612</v>
      </c>
      <c r="C2" s="164"/>
      <c r="D2" s="165"/>
      <c r="E2" s="165"/>
      <c r="F2" s="165"/>
      <c r="G2" s="165"/>
      <c r="H2" s="165"/>
      <c r="I2" s="165"/>
    </row>
    <row r="3" spans="2:10" s="166" customFormat="1" x14ac:dyDescent="0.25">
      <c r="B3" s="167" t="s">
        <v>613</v>
      </c>
      <c r="C3" s="168" t="e">
        <f>fin_model!I63</f>
        <v>#DIV/0!</v>
      </c>
      <c r="D3" s="168" t="e">
        <f>fin_model!J63</f>
        <v>#DIV/0!</v>
      </c>
      <c r="E3" s="168" t="e">
        <f>fin_model!K63</f>
        <v>#DIV/0!</v>
      </c>
      <c r="F3" s="168" t="e">
        <f>fin_model!L63</f>
        <v>#DIV/0!</v>
      </c>
      <c r="G3" s="168" t="e">
        <f>fin_model!M63</f>
        <v>#DIV/0!</v>
      </c>
      <c r="H3" s="168" t="e">
        <f>fin_model!N63</f>
        <v>#DIV/0!</v>
      </c>
    </row>
    <row r="4" spans="2:10" s="166" customFormat="1" x14ac:dyDescent="0.25">
      <c r="B4" s="167" t="s">
        <v>219</v>
      </c>
      <c r="C4" s="168" t="e">
        <f>fin_model!I66</f>
        <v>#DIV/0!</v>
      </c>
      <c r="D4" s="168" t="e">
        <f>fin_model!J66</f>
        <v>#DIV/0!</v>
      </c>
      <c r="E4" s="168" t="e">
        <f>fin_model!K66</f>
        <v>#DIV/0!</v>
      </c>
      <c r="F4" s="168" t="e">
        <f>fin_model!L66</f>
        <v>#DIV/0!</v>
      </c>
      <c r="G4" s="168" t="e">
        <f>fin_model!M66</f>
        <v>#DIV/0!</v>
      </c>
      <c r="H4" s="168" t="e">
        <f>fin_model!N66</f>
        <v>#DIV/0!</v>
      </c>
    </row>
    <row r="5" spans="2:10" s="166" customFormat="1" x14ac:dyDescent="0.25">
      <c r="B5" s="167" t="s">
        <v>614</v>
      </c>
      <c r="C5" s="168" t="e">
        <f>'DCF_-_FCFE_341'!C5</f>
        <v>#DIV/0!</v>
      </c>
      <c r="D5" s="168" t="e">
        <f>'DCF_-_FCFE_341'!D5</f>
        <v>#DIV/0!</v>
      </c>
      <c r="E5" s="168" t="e">
        <f>'DCF_-_FCFE_341'!E5</f>
        <v>#DIV/0!</v>
      </c>
      <c r="F5" s="168" t="e">
        <f>'DCF_-_FCFE_341'!F5</f>
        <v>#DIV/0!</v>
      </c>
      <c r="G5" s="168" t="e">
        <f>'DCF_-_FCFE_341'!G5</f>
        <v>#DIV/0!</v>
      </c>
      <c r="H5" s="168" t="e">
        <f>'DCF_-_FCFE_341'!H5</f>
        <v>#DIV/0!</v>
      </c>
    </row>
    <row r="6" spans="2:10" s="166" customFormat="1" x14ac:dyDescent="0.25">
      <c r="B6" s="169" t="s">
        <v>615</v>
      </c>
      <c r="C6" s="168" t="e">
        <f t="shared" ref="C6:H6" si="0">SUM(C3:C5)</f>
        <v>#DIV/0!</v>
      </c>
      <c r="D6" s="168" t="e">
        <f t="shared" si="0"/>
        <v>#DIV/0!</v>
      </c>
      <c r="E6" s="168" t="e">
        <f t="shared" si="0"/>
        <v>#DIV/0!</v>
      </c>
      <c r="F6" s="168" t="e">
        <f t="shared" si="0"/>
        <v>#DIV/0!</v>
      </c>
      <c r="G6" s="168" t="e">
        <f t="shared" si="0"/>
        <v>#DIV/0!</v>
      </c>
      <c r="H6" s="168" t="e">
        <f t="shared" si="0"/>
        <v>#DIV/0!</v>
      </c>
      <c r="I6" s="171"/>
    </row>
    <row r="7" spans="2:10" s="166" customFormat="1" x14ac:dyDescent="0.25">
      <c r="B7" s="167" t="s">
        <v>539</v>
      </c>
      <c r="C7" s="172"/>
      <c r="D7" s="171"/>
      <c r="E7" s="171"/>
      <c r="F7" s="171"/>
      <c r="G7" s="171"/>
      <c r="H7" s="171"/>
      <c r="I7" s="173" t="e">
        <f>D50</f>
        <v>#DIV/0!</v>
      </c>
    </row>
    <row r="8" spans="2:10" s="166" customFormat="1" x14ac:dyDescent="0.25">
      <c r="B8" s="174" t="s">
        <v>540</v>
      </c>
      <c r="C8" s="175"/>
      <c r="D8" s="176"/>
      <c r="E8" s="176"/>
      <c r="F8" s="176"/>
      <c r="G8" s="176"/>
      <c r="H8" s="176"/>
      <c r="I8" s="173" t="e">
        <f>D54</f>
        <v>#DIV/0!</v>
      </c>
    </row>
    <row r="9" spans="2:10" s="166" customFormat="1" x14ac:dyDescent="0.25">
      <c r="B9" s="177"/>
      <c r="C9" s="175"/>
      <c r="D9" s="176"/>
      <c r="E9" s="176"/>
      <c r="F9" s="176"/>
      <c r="G9" s="176"/>
      <c r="H9" s="176"/>
      <c r="I9" s="176"/>
    </row>
    <row r="10" spans="2:10" s="166" customFormat="1" x14ac:dyDescent="0.25">
      <c r="B10" s="174" t="s">
        <v>573</v>
      </c>
      <c r="C10" s="214">
        <f>'DCF_-_FCFF_timing'!C12</f>
        <v>1</v>
      </c>
      <c r="D10" s="214">
        <f>'DCF_-_FCFF_timing'!D12</f>
        <v>1</v>
      </c>
      <c r="E10" s="214">
        <f>'DCF_-_FCFF_timing'!E12</f>
        <v>1</v>
      </c>
      <c r="F10" s="214">
        <f>'DCF_-_FCFF_timing'!F12</f>
        <v>1</v>
      </c>
      <c r="G10" s="214">
        <f>'DCF_-_FCFF_timing'!G12</f>
        <v>1</v>
      </c>
      <c r="H10" s="214">
        <f>'DCF_-_FCFF_timing'!H12</f>
        <v>1</v>
      </c>
      <c r="I10" s="214">
        <f>'DCF_-_FCFF_timing'!I12</f>
        <v>1</v>
      </c>
      <c r="J10" s="171"/>
    </row>
    <row r="11" spans="2:10" s="166" customFormat="1" x14ac:dyDescent="0.25">
      <c r="B11" s="174" t="s">
        <v>624</v>
      </c>
      <c r="C11" s="261" t="e">
        <f t="shared" ref="C11:H11" si="1">C6*C10</f>
        <v>#DIV/0!</v>
      </c>
      <c r="D11" s="261" t="e">
        <f t="shared" si="1"/>
        <v>#DIV/0!</v>
      </c>
      <c r="E11" s="261" t="e">
        <f t="shared" si="1"/>
        <v>#DIV/0!</v>
      </c>
      <c r="F11" s="261" t="e">
        <f t="shared" si="1"/>
        <v>#DIV/0!</v>
      </c>
      <c r="G11" s="261" t="e">
        <f t="shared" si="1"/>
        <v>#DIV/0!</v>
      </c>
      <c r="H11" s="261" t="e">
        <f t="shared" si="1"/>
        <v>#DIV/0!</v>
      </c>
      <c r="I11" s="261" t="e">
        <f>I7*I10</f>
        <v>#DIV/0!</v>
      </c>
      <c r="J11" s="171"/>
    </row>
    <row r="12" spans="2:10" s="166" customFormat="1" x14ac:dyDescent="0.25">
      <c r="B12" s="174" t="s">
        <v>625</v>
      </c>
      <c r="C12" s="261" t="e">
        <f t="shared" ref="C12:H12" si="2">C6*C10</f>
        <v>#DIV/0!</v>
      </c>
      <c r="D12" s="261" t="e">
        <f t="shared" si="2"/>
        <v>#DIV/0!</v>
      </c>
      <c r="E12" s="261" t="e">
        <f t="shared" si="2"/>
        <v>#DIV/0!</v>
      </c>
      <c r="F12" s="261" t="e">
        <f t="shared" si="2"/>
        <v>#DIV/0!</v>
      </c>
      <c r="G12" s="261" t="e">
        <f t="shared" si="2"/>
        <v>#DIV/0!</v>
      </c>
      <c r="H12" s="261" t="e">
        <f t="shared" si="2"/>
        <v>#DIV/0!</v>
      </c>
      <c r="I12" s="261" t="e">
        <f>I8*I10</f>
        <v>#DIV/0!</v>
      </c>
      <c r="J12" s="171"/>
    </row>
    <row r="13" spans="2:10" s="166" customFormat="1" x14ac:dyDescent="0.25">
      <c r="B13" s="177"/>
      <c r="C13" s="175"/>
      <c r="D13" s="176"/>
      <c r="E13" s="176"/>
      <c r="F13" s="176"/>
      <c r="G13" s="176"/>
      <c r="H13" s="176"/>
      <c r="I13" s="176"/>
    </row>
    <row r="14" spans="2:10" s="166" customFormat="1" x14ac:dyDescent="0.25">
      <c r="B14" s="177" t="s">
        <v>539</v>
      </c>
      <c r="C14" s="175"/>
      <c r="D14" s="178"/>
      <c r="E14" s="178"/>
      <c r="F14" s="178"/>
      <c r="G14" s="178"/>
      <c r="H14" s="178"/>
      <c r="I14" s="176"/>
    </row>
    <row r="15" spans="2:10" s="166" customFormat="1" x14ac:dyDescent="0.25">
      <c r="B15" s="179" t="s">
        <v>576</v>
      </c>
      <c r="C15" s="180">
        <v>1</v>
      </c>
      <c r="D15" s="181">
        <v>2</v>
      </c>
      <c r="E15" s="181">
        <v>3</v>
      </c>
      <c r="F15" s="181">
        <v>4</v>
      </c>
      <c r="G15" s="181">
        <v>5</v>
      </c>
      <c r="H15" s="181">
        <v>6</v>
      </c>
      <c r="I15" s="181">
        <v>6</v>
      </c>
    </row>
    <row r="16" spans="2:10" s="166" customFormat="1" x14ac:dyDescent="0.25">
      <c r="B16" s="179" t="s">
        <v>541</v>
      </c>
      <c r="C16" s="217">
        <f>0.5*(1-YEARFRAC(C30,C31))</f>
        <v>0.5</v>
      </c>
      <c r="D16" s="217">
        <f t="shared" ref="D16:I16" si="3">D15-YEARFRAC($C30,$C31)-0.5</f>
        <v>1.5</v>
      </c>
      <c r="E16" s="217">
        <f t="shared" si="3"/>
        <v>2.5</v>
      </c>
      <c r="F16" s="217">
        <f t="shared" si="3"/>
        <v>3.5</v>
      </c>
      <c r="G16" s="217">
        <f t="shared" si="3"/>
        <v>4.5</v>
      </c>
      <c r="H16" s="217">
        <f t="shared" si="3"/>
        <v>5.5</v>
      </c>
      <c r="I16" s="217">
        <f t="shared" si="3"/>
        <v>5.5</v>
      </c>
    </row>
    <row r="17" spans="2:9" s="166" customFormat="1" x14ac:dyDescent="0.25">
      <c r="B17" s="174" t="s">
        <v>542</v>
      </c>
      <c r="C17" s="168" t="e">
        <f t="shared" ref="C17:I17" si="4">C11/(1+$C$27)^C16</f>
        <v>#DIV/0!</v>
      </c>
      <c r="D17" s="168" t="e">
        <f t="shared" si="4"/>
        <v>#DIV/0!</v>
      </c>
      <c r="E17" s="168" t="e">
        <f t="shared" si="4"/>
        <v>#DIV/0!</v>
      </c>
      <c r="F17" s="168" t="e">
        <f t="shared" si="4"/>
        <v>#DIV/0!</v>
      </c>
      <c r="G17" s="168" t="e">
        <f t="shared" si="4"/>
        <v>#DIV/0!</v>
      </c>
      <c r="H17" s="168" t="e">
        <f t="shared" si="4"/>
        <v>#DIV/0!</v>
      </c>
      <c r="I17" s="168" t="e">
        <f t="shared" si="4"/>
        <v>#DIV/0!</v>
      </c>
    </row>
    <row r="18" spans="2:9" s="166" customFormat="1" x14ac:dyDescent="0.25">
      <c r="B18" s="182"/>
      <c r="C18" s="175"/>
      <c r="D18" s="178"/>
      <c r="E18" s="178"/>
      <c r="F18" s="178"/>
      <c r="G18" s="178"/>
      <c r="H18" s="178"/>
      <c r="I18" s="183"/>
    </row>
    <row r="19" spans="2:9" s="166" customFormat="1" x14ac:dyDescent="0.25">
      <c r="B19" s="177" t="s">
        <v>540</v>
      </c>
      <c r="C19" s="175"/>
      <c r="D19" s="178"/>
      <c r="E19" s="178"/>
      <c r="F19" s="178"/>
      <c r="G19" s="178"/>
      <c r="H19" s="178"/>
      <c r="I19" s="176"/>
    </row>
    <row r="20" spans="2:9" s="166" customFormat="1" x14ac:dyDescent="0.25">
      <c r="B20" s="179" t="s">
        <v>576</v>
      </c>
      <c r="C20" s="180">
        <v>1</v>
      </c>
      <c r="D20" s="181">
        <v>2</v>
      </c>
      <c r="E20" s="181">
        <v>3</v>
      </c>
      <c r="F20" s="181">
        <v>4</v>
      </c>
      <c r="G20" s="181">
        <v>5</v>
      </c>
      <c r="H20" s="181">
        <v>6</v>
      </c>
      <c r="I20" s="181">
        <v>6</v>
      </c>
    </row>
    <row r="21" spans="2:9" s="166" customFormat="1" x14ac:dyDescent="0.25">
      <c r="B21" s="179" t="s">
        <v>541</v>
      </c>
      <c r="C21" s="217">
        <f t="shared" ref="C21:H21" si="5">C16</f>
        <v>0.5</v>
      </c>
      <c r="D21" s="217">
        <f t="shared" si="5"/>
        <v>1.5</v>
      </c>
      <c r="E21" s="217">
        <f t="shared" si="5"/>
        <v>2.5</v>
      </c>
      <c r="F21" s="217">
        <f t="shared" si="5"/>
        <v>3.5</v>
      </c>
      <c r="G21" s="217">
        <f t="shared" si="5"/>
        <v>4.5</v>
      </c>
      <c r="H21" s="217">
        <f t="shared" si="5"/>
        <v>5.5</v>
      </c>
      <c r="I21" s="217">
        <f>I20-YEARFRAC(C30,C31)</f>
        <v>6</v>
      </c>
    </row>
    <row r="22" spans="2:9" s="166" customFormat="1" x14ac:dyDescent="0.25">
      <c r="B22" s="174" t="s">
        <v>543</v>
      </c>
      <c r="C22" s="168" t="e">
        <f t="shared" ref="C22:I22" si="6">C12/(1+$C$27)^C21</f>
        <v>#DIV/0!</v>
      </c>
      <c r="D22" s="168" t="e">
        <f t="shared" si="6"/>
        <v>#DIV/0!</v>
      </c>
      <c r="E22" s="168" t="e">
        <f t="shared" si="6"/>
        <v>#DIV/0!</v>
      </c>
      <c r="F22" s="168" t="e">
        <f t="shared" si="6"/>
        <v>#DIV/0!</v>
      </c>
      <c r="G22" s="168" t="e">
        <f t="shared" si="6"/>
        <v>#DIV/0!</v>
      </c>
      <c r="H22" s="168" t="e">
        <f t="shared" si="6"/>
        <v>#DIV/0!</v>
      </c>
      <c r="I22" s="168" t="e">
        <f t="shared" si="6"/>
        <v>#DIV/0!</v>
      </c>
    </row>
    <row r="23" spans="2:9" s="166" customFormat="1" x14ac:dyDescent="0.25">
      <c r="B23" s="184"/>
      <c r="C23" s="172"/>
    </row>
    <row r="24" spans="2:9" s="166" customFormat="1" x14ac:dyDescent="0.25">
      <c r="B24" s="162" t="s">
        <v>544</v>
      </c>
      <c r="C24" s="172"/>
      <c r="D24" s="172"/>
    </row>
    <row r="25" spans="2:9" s="166" customFormat="1" x14ac:dyDescent="0.25">
      <c r="B25" s="167" t="s">
        <v>545</v>
      </c>
      <c r="C25" s="185">
        <f>'DCF_-_FCFE_341'!C19</f>
        <v>0.01</v>
      </c>
      <c r="D25" s="186"/>
      <c r="E25" s="187"/>
    </row>
    <row r="26" spans="2:9" s="166" customFormat="1" x14ac:dyDescent="0.25">
      <c r="B26" s="167" t="s">
        <v>546</v>
      </c>
      <c r="C26" s="185" t="e">
        <f>'DCF_-_FCFE_341'!C20</f>
        <v>#DIV/0!</v>
      </c>
      <c r="D26" s="189"/>
    </row>
    <row r="27" spans="2:9" s="166" customFormat="1" x14ac:dyDescent="0.25">
      <c r="B27" s="167" t="s">
        <v>547</v>
      </c>
      <c r="C27" s="185">
        <f>'DCF_-_FCFE_341'!C21</f>
        <v>0.1242</v>
      </c>
      <c r="D27" s="190"/>
    </row>
    <row r="28" spans="2:9" s="166" customFormat="1" x14ac:dyDescent="0.25">
      <c r="B28" s="174" t="s">
        <v>617</v>
      </c>
      <c r="C28" s="191">
        <v>16</v>
      </c>
      <c r="D28" s="192"/>
    </row>
    <row r="29" spans="2:9" s="166" customFormat="1" x14ac:dyDescent="0.25">
      <c r="B29" s="182"/>
      <c r="C29" s="193"/>
      <c r="D29" s="194"/>
    </row>
    <row r="30" spans="2:9" s="166" customFormat="1" x14ac:dyDescent="0.25">
      <c r="B30" s="174" t="s">
        <v>550</v>
      </c>
      <c r="C30" s="195">
        <f>'DCF_-_FCFE_341'!C24</f>
        <v>0</v>
      </c>
      <c r="D30" s="196"/>
    </row>
    <row r="31" spans="2:9" s="166" customFormat="1" x14ac:dyDescent="0.25">
      <c r="B31" s="174" t="s">
        <v>174</v>
      </c>
      <c r="C31" s="195">
        <f>'DCF_-_FCFE_341'!C25</f>
        <v>0</v>
      </c>
      <c r="D31" s="196"/>
    </row>
    <row r="32" spans="2:9" s="166" customFormat="1" x14ac:dyDescent="0.25">
      <c r="B32" s="182"/>
      <c r="C32" s="212"/>
      <c r="D32" s="196"/>
    </row>
    <row r="33" spans="2:13" s="166" customFormat="1" x14ac:dyDescent="0.25">
      <c r="B33" s="184"/>
      <c r="C33" s="197"/>
      <c r="D33" s="196"/>
    </row>
    <row r="34" spans="2:13" s="166" customFormat="1" x14ac:dyDescent="0.25">
      <c r="B34" s="182"/>
      <c r="C34" s="197"/>
      <c r="D34" s="196"/>
      <c r="J34" s="218" t="s">
        <v>626</v>
      </c>
    </row>
    <row r="35" spans="2:13" s="166" customFormat="1" x14ac:dyDescent="0.25">
      <c r="B35" s="177" t="s">
        <v>539</v>
      </c>
      <c r="C35" s="197"/>
      <c r="D35" s="196"/>
      <c r="K35" s="166" t="s">
        <v>627</v>
      </c>
    </row>
    <row r="36" spans="2:13" s="166" customFormat="1" x14ac:dyDescent="0.25">
      <c r="B36" s="174" t="s">
        <v>628</v>
      </c>
      <c r="C36" s="168" t="e">
        <f>SUM(C17:I17)</f>
        <v>#DIV/0!</v>
      </c>
      <c r="D36" s="178"/>
      <c r="H36" s="262" t="e">
        <f>C38</f>
        <v>#DIV/0!</v>
      </c>
      <c r="I36" s="350">
        <v>-0.01</v>
      </c>
      <c r="J36" s="350">
        <v>0</v>
      </c>
      <c r="K36" s="350">
        <v>0.01</v>
      </c>
      <c r="L36" s="350">
        <v>1.4999999999999999E-2</v>
      </c>
      <c r="M36" s="350">
        <v>0.02</v>
      </c>
    </row>
    <row r="37" spans="2:13" s="166" customFormat="1" x14ac:dyDescent="0.25">
      <c r="B37" s="198" t="s">
        <v>471</v>
      </c>
      <c r="C37" s="199">
        <f>'DCF_-_FCFE_341'!C29</f>
        <v>0</v>
      </c>
      <c r="D37" s="200"/>
      <c r="H37" s="348">
        <v>0.1221</v>
      </c>
      <c r="I37" s="351" t="e">
        <f t="dataTable" ref="I37:M41" dt2D="1" dtr="1" r1="C25" r2="C27" ca="1"/>
        <v>#DIV/0!</v>
      </c>
      <c r="J37" s="352" t="e">
        <v>#DIV/0!</v>
      </c>
      <c r="K37" s="352" t="e">
        <v>#DIV/0!</v>
      </c>
      <c r="L37" s="352" t="e">
        <v>#DIV/0!</v>
      </c>
      <c r="M37" s="353" t="e">
        <v>#DIV/0!</v>
      </c>
    </row>
    <row r="38" spans="2:13" s="166" customFormat="1" x14ac:dyDescent="0.25">
      <c r="B38" s="174" t="s">
        <v>556</v>
      </c>
      <c r="C38" s="201" t="e">
        <f>C36/C37</f>
        <v>#DIV/0!</v>
      </c>
      <c r="D38" s="202"/>
      <c r="H38" s="348">
        <v>0.12709999999999999</v>
      </c>
      <c r="I38" s="354" t="e">
        <v>#DIV/0!</v>
      </c>
      <c r="J38" s="127" t="e">
        <v>#DIV/0!</v>
      </c>
      <c r="K38" s="127" t="e">
        <v>#DIV/0!</v>
      </c>
      <c r="L38" s="127" t="e">
        <v>#DIV/0!</v>
      </c>
      <c r="M38" s="355" t="e">
        <v>#DIV/0!</v>
      </c>
    </row>
    <row r="39" spans="2:13" s="166" customFormat="1" x14ac:dyDescent="0.25">
      <c r="B39" s="182"/>
      <c r="C39" s="206"/>
      <c r="D39" s="205"/>
      <c r="G39" s="166" t="s">
        <v>629</v>
      </c>
      <c r="H39" s="348">
        <v>0.1321</v>
      </c>
      <c r="I39" s="354" t="e">
        <v>#DIV/0!</v>
      </c>
      <c r="J39" s="127" t="e">
        <v>#DIV/0!</v>
      </c>
      <c r="K39" s="414" t="e">
        <v>#DIV/0!</v>
      </c>
      <c r="L39" s="127" t="e">
        <v>#DIV/0!</v>
      </c>
      <c r="M39" s="355" t="e">
        <v>#DIV/0!</v>
      </c>
    </row>
    <row r="40" spans="2:13" s="166" customFormat="1" x14ac:dyDescent="0.25">
      <c r="B40" s="177" t="s">
        <v>540</v>
      </c>
      <c r="C40" s="197"/>
      <c r="D40" s="196"/>
      <c r="H40" s="348">
        <v>0.1371</v>
      </c>
      <c r="I40" s="354" t="e">
        <v>#DIV/0!</v>
      </c>
      <c r="J40" s="127" t="e">
        <v>#DIV/0!</v>
      </c>
      <c r="K40" s="127" t="e">
        <v>#DIV/0!</v>
      </c>
      <c r="L40" s="127" t="e">
        <v>#DIV/0!</v>
      </c>
      <c r="M40" s="355" t="e">
        <v>#DIV/0!</v>
      </c>
    </row>
    <row r="41" spans="2:13" s="166" customFormat="1" x14ac:dyDescent="0.25">
      <c r="B41" s="174" t="s">
        <v>628</v>
      </c>
      <c r="C41" s="168" t="e">
        <f>SUM(C22:I22)</f>
        <v>#DIV/0!</v>
      </c>
      <c r="D41" s="178"/>
      <c r="H41" s="348">
        <v>0.1421</v>
      </c>
      <c r="I41" s="356" t="e">
        <v>#DIV/0!</v>
      </c>
      <c r="J41" s="357" t="e">
        <v>#DIV/0!</v>
      </c>
      <c r="K41" s="357" t="e">
        <v>#DIV/0!</v>
      </c>
      <c r="L41" s="357" t="e">
        <v>#DIV/0!</v>
      </c>
      <c r="M41" s="358" t="e">
        <v>#DIV/0!</v>
      </c>
    </row>
    <row r="42" spans="2:13" s="166" customFormat="1" x14ac:dyDescent="0.25">
      <c r="B42" s="198" t="s">
        <v>471</v>
      </c>
      <c r="C42" s="199">
        <f>C37</f>
        <v>0</v>
      </c>
      <c r="D42" s="200"/>
    </row>
    <row r="43" spans="2:13" s="166" customFormat="1" x14ac:dyDescent="0.25">
      <c r="B43" s="174" t="s">
        <v>556</v>
      </c>
      <c r="C43" s="207" t="e">
        <f>C41/C42</f>
        <v>#DIV/0!</v>
      </c>
      <c r="D43" s="202"/>
      <c r="E43" s="189"/>
      <c r="I43" s="166" t="s">
        <v>630</v>
      </c>
      <c r="J43" s="230">
        <f>'DCF_-_FCFF_timing'!K49</f>
        <v>0</v>
      </c>
    </row>
    <row r="44" spans="2:13" s="161" customFormat="1" x14ac:dyDescent="0.25">
      <c r="B44" s="182"/>
      <c r="C44" s="208"/>
    </row>
    <row r="45" spans="2:13" s="161" customFormat="1" x14ac:dyDescent="0.25">
      <c r="B45" s="184"/>
      <c r="C45" s="208"/>
    </row>
    <row r="46" spans="2:13" s="161" customFormat="1" x14ac:dyDescent="0.25">
      <c r="B46" s="184"/>
      <c r="C46" s="184" t="s">
        <v>615</v>
      </c>
      <c r="D46" s="208" t="e">
        <f>G6</f>
        <v>#DIV/0!</v>
      </c>
      <c r="J46" s="218" t="s">
        <v>631</v>
      </c>
    </row>
    <row r="47" spans="2:13" s="161" customFormat="1" x14ac:dyDescent="0.25">
      <c r="B47" s="184"/>
      <c r="C47" s="184" t="s">
        <v>557</v>
      </c>
      <c r="D47" s="259">
        <f>1+C25</f>
        <v>1.01</v>
      </c>
      <c r="G47" s="166"/>
      <c r="H47" s="166"/>
      <c r="I47" s="166"/>
      <c r="J47" s="166"/>
      <c r="K47" s="166" t="s">
        <v>584</v>
      </c>
      <c r="L47" s="166"/>
      <c r="M47" s="166"/>
    </row>
    <row r="48" spans="2:13" s="161" customFormat="1" x14ac:dyDescent="0.25">
      <c r="B48" s="184"/>
      <c r="C48" s="184" t="s">
        <v>618</v>
      </c>
      <c r="D48" s="208"/>
      <c r="E48" s="161" t="e">
        <f>D46*D47</f>
        <v>#DIV/0!</v>
      </c>
      <c r="G48" s="166"/>
      <c r="H48" s="262" t="e">
        <f>C43</f>
        <v>#DIV/0!</v>
      </c>
      <c r="I48" s="349">
        <v>13</v>
      </c>
      <c r="J48" s="349">
        <v>14.5</v>
      </c>
      <c r="K48" s="349">
        <v>16</v>
      </c>
      <c r="L48" s="349">
        <v>17.5</v>
      </c>
      <c r="M48" s="349">
        <v>19</v>
      </c>
    </row>
    <row r="49" spans="2:13" s="161" customFormat="1" x14ac:dyDescent="0.25">
      <c r="B49" s="184"/>
      <c r="C49" s="184" t="s">
        <v>619</v>
      </c>
      <c r="D49" s="208"/>
      <c r="E49" s="210">
        <f>C27-C25</f>
        <v>0.11420000000000001</v>
      </c>
      <c r="G49" s="166"/>
      <c r="H49" s="348">
        <v>0.1222</v>
      </c>
      <c r="I49" s="351" t="e">
        <f t="dataTable" ref="I49:M53" dt2D="1" dtr="1" r1="C28" r2="C27"/>
        <v>#DIV/0!</v>
      </c>
      <c r="J49" s="352" t="e">
        <v>#DIV/0!</v>
      </c>
      <c r="K49" s="352" t="e">
        <v>#DIV/0!</v>
      </c>
      <c r="L49" s="352" t="e">
        <v>#DIV/0!</v>
      </c>
      <c r="M49" s="353" t="e">
        <v>#DIV/0!</v>
      </c>
    </row>
    <row r="50" spans="2:13" s="161" customFormat="1" x14ac:dyDescent="0.25">
      <c r="B50" s="184"/>
      <c r="C50" s="184" t="s">
        <v>620</v>
      </c>
      <c r="D50" s="208" t="e">
        <f>E48/E49</f>
        <v>#DIV/0!</v>
      </c>
      <c r="G50" s="166"/>
      <c r="H50" s="348">
        <v>0.12470000000000001</v>
      </c>
      <c r="I50" s="354" t="e">
        <v>#DIV/0!</v>
      </c>
      <c r="J50" s="127" t="e">
        <v>#DIV/0!</v>
      </c>
      <c r="K50" s="127" t="e">
        <v>#DIV/0!</v>
      </c>
      <c r="L50" s="127" t="e">
        <v>#DIV/0!</v>
      </c>
      <c r="M50" s="355" t="e">
        <v>#DIV/0!</v>
      </c>
    </row>
    <row r="51" spans="2:13" s="161" customFormat="1" x14ac:dyDescent="0.25">
      <c r="B51" s="184"/>
      <c r="C51" s="184"/>
      <c r="G51" s="166" t="s">
        <v>629</v>
      </c>
      <c r="H51" s="348">
        <v>0.12720000000000001</v>
      </c>
      <c r="I51" s="354" t="e">
        <v>#DIV/0!</v>
      </c>
      <c r="J51" s="127" t="e">
        <v>#DIV/0!</v>
      </c>
      <c r="K51" s="414" t="e">
        <v>#DIV/0!</v>
      </c>
      <c r="L51" s="127" t="e">
        <v>#DIV/0!</v>
      </c>
      <c r="M51" s="355" t="e">
        <v>#DIV/0!</v>
      </c>
    </row>
    <row r="52" spans="2:13" s="161" customFormat="1" x14ac:dyDescent="0.25">
      <c r="B52" s="184"/>
      <c r="C52" s="184" t="s">
        <v>621</v>
      </c>
      <c r="D52" s="260" t="e">
        <f>fin_model!N23</f>
        <v>#DIV/0!</v>
      </c>
      <c r="G52" s="166"/>
      <c r="H52" s="348">
        <v>0.12970000000000001</v>
      </c>
      <c r="I52" s="354" t="e">
        <v>#DIV/0!</v>
      </c>
      <c r="J52" s="127" t="e">
        <v>#DIV/0!</v>
      </c>
      <c r="K52" s="127" t="e">
        <v>#DIV/0!</v>
      </c>
      <c r="L52" s="127" t="e">
        <v>#DIV/0!</v>
      </c>
      <c r="M52" s="355" t="e">
        <v>#DIV/0!</v>
      </c>
    </row>
    <row r="53" spans="2:13" s="161" customFormat="1" x14ac:dyDescent="0.25">
      <c r="B53" s="184"/>
      <c r="C53" s="184" t="s">
        <v>622</v>
      </c>
      <c r="D53" s="260">
        <f>C28</f>
        <v>16</v>
      </c>
      <c r="G53" s="166"/>
      <c r="H53" s="348">
        <v>0.13220000000000001</v>
      </c>
      <c r="I53" s="356" t="e">
        <v>#DIV/0!</v>
      </c>
      <c r="J53" s="357" t="e">
        <v>#DIV/0!</v>
      </c>
      <c r="K53" s="357" t="e">
        <v>#DIV/0!</v>
      </c>
      <c r="L53" s="357" t="e">
        <v>#DIV/0!</v>
      </c>
      <c r="M53" s="358" t="e">
        <v>#DIV/0!</v>
      </c>
    </row>
    <row r="54" spans="2:13" s="161" customFormat="1" x14ac:dyDescent="0.25">
      <c r="B54" s="184"/>
      <c r="C54" s="184" t="s">
        <v>623</v>
      </c>
      <c r="D54" s="208" t="e">
        <f>D52*D53</f>
        <v>#DIV/0!</v>
      </c>
      <c r="G54" s="166"/>
      <c r="H54" s="166"/>
      <c r="I54" s="166"/>
      <c r="J54" s="166"/>
      <c r="K54" s="166"/>
      <c r="L54" s="166"/>
      <c r="M54" s="166"/>
    </row>
    <row r="55" spans="2:13" s="161" customFormat="1" x14ac:dyDescent="0.25">
      <c r="B55" s="184"/>
      <c r="C55" s="208"/>
      <c r="G55" s="166"/>
      <c r="I55" s="166" t="s">
        <v>630</v>
      </c>
      <c r="J55" s="230">
        <f>J43</f>
        <v>0</v>
      </c>
      <c r="K55" s="166"/>
      <c r="L55" s="166"/>
      <c r="M55" s="166"/>
    </row>
    <row r="56" spans="2:13" s="161" customFormat="1" x14ac:dyDescent="0.25">
      <c r="B56" s="184"/>
      <c r="C56" s="208"/>
    </row>
    <row r="57" spans="2:13" s="161" customFormat="1" x14ac:dyDescent="0.25">
      <c r="B57" s="184"/>
      <c r="C57" s="208"/>
    </row>
    <row r="58" spans="2:13" s="161" customFormat="1" x14ac:dyDescent="0.25">
      <c r="B58" s="184"/>
      <c r="C58" s="208"/>
    </row>
    <row r="59" spans="2:13" s="161" customFormat="1" x14ac:dyDescent="0.25">
      <c r="B59" s="184"/>
      <c r="C59" s="208"/>
    </row>
    <row r="60" spans="2:13" s="161" customFormat="1" x14ac:dyDescent="0.25">
      <c r="B60" s="184"/>
      <c r="C60" s="208"/>
    </row>
    <row r="61" spans="2:13" s="161" customFormat="1" x14ac:dyDescent="0.25">
      <c r="B61" s="184"/>
      <c r="C61" s="208"/>
    </row>
    <row r="62" spans="2:13" s="161" customFormat="1" x14ac:dyDescent="0.25">
      <c r="B62" s="184"/>
      <c r="C62" s="208"/>
    </row>
    <row r="63" spans="2:13" s="161" customFormat="1" x14ac:dyDescent="0.25">
      <c r="B63" s="184"/>
      <c r="C63" s="208"/>
    </row>
    <row r="64" spans="2:13" s="161" customFormat="1" x14ac:dyDescent="0.25">
      <c r="B64" s="184"/>
      <c r="C64" s="208"/>
    </row>
    <row r="65" spans="2:3" s="161" customFormat="1" x14ac:dyDescent="0.25">
      <c r="B65" s="184"/>
      <c r="C65" s="208"/>
    </row>
    <row r="66" spans="2:3" s="161" customFormat="1" x14ac:dyDescent="0.25">
      <c r="B66" s="184"/>
      <c r="C66" s="208"/>
    </row>
    <row r="67" spans="2:3" s="161" customFormat="1" x14ac:dyDescent="0.25">
      <c r="B67" s="184"/>
      <c r="C67" s="208"/>
    </row>
    <row r="68" spans="2:3" s="161" customFormat="1" x14ac:dyDescent="0.25">
      <c r="B68" s="184"/>
      <c r="C68" s="208"/>
    </row>
    <row r="69" spans="2:3" s="161" customFormat="1" x14ac:dyDescent="0.25">
      <c r="B69" s="184"/>
      <c r="C69" s="208"/>
    </row>
    <row r="70" spans="2:3" s="161" customFormat="1" x14ac:dyDescent="0.25">
      <c r="B70" s="184"/>
      <c r="C70" s="208"/>
    </row>
    <row r="71" spans="2:3" s="161" customFormat="1" x14ac:dyDescent="0.25">
      <c r="B71" s="184"/>
      <c r="C71" s="208"/>
    </row>
    <row r="72" spans="2:3" s="161" customFormat="1" x14ac:dyDescent="0.25">
      <c r="B72" s="184"/>
      <c r="C72" s="208"/>
    </row>
    <row r="73" spans="2:3" s="161" customFormat="1" x14ac:dyDescent="0.25">
      <c r="B73" s="184"/>
      <c r="C73" s="208"/>
    </row>
    <row r="74" spans="2:3" s="161" customFormat="1" x14ac:dyDescent="0.25">
      <c r="B74" s="184"/>
      <c r="C74" s="208"/>
    </row>
    <row r="75" spans="2:3" s="161" customFormat="1" x14ac:dyDescent="0.25">
      <c r="B75" s="184"/>
      <c r="C75" s="208"/>
    </row>
    <row r="76" spans="2:3" s="161" customFormat="1" x14ac:dyDescent="0.25">
      <c r="B76" s="184"/>
      <c r="C76" s="208"/>
    </row>
    <row r="77" spans="2:3" s="161" customFormat="1" x14ac:dyDescent="0.25">
      <c r="B77" s="184"/>
      <c r="C77" s="208"/>
    </row>
    <row r="78" spans="2:3" s="161" customFormat="1" x14ac:dyDescent="0.25">
      <c r="B78" s="184"/>
      <c r="C78" s="208"/>
    </row>
    <row r="79" spans="2:3" s="161" customFormat="1" x14ac:dyDescent="0.25">
      <c r="B79" s="184"/>
      <c r="C79" s="208"/>
    </row>
    <row r="80" spans="2:3" s="161" customFormat="1" x14ac:dyDescent="0.25">
      <c r="B80" s="184"/>
      <c r="C80" s="208"/>
    </row>
    <row r="81" spans="2:3" s="161" customFormat="1" x14ac:dyDescent="0.25">
      <c r="B81" s="184"/>
      <c r="C81" s="208"/>
    </row>
    <row r="82" spans="2:3" s="161" customFormat="1" x14ac:dyDescent="0.25">
      <c r="B82" s="184"/>
      <c r="C82" s="208"/>
    </row>
    <row r="83" spans="2:3" s="161" customFormat="1" x14ac:dyDescent="0.25">
      <c r="B83" s="184"/>
      <c r="C83" s="208"/>
    </row>
    <row r="84" spans="2:3" s="161" customFormat="1" x14ac:dyDescent="0.25">
      <c r="B84" s="184"/>
      <c r="C84" s="208"/>
    </row>
    <row r="85" spans="2:3" s="161" customFormat="1" x14ac:dyDescent="0.25">
      <c r="B85" s="184"/>
      <c r="C85" s="208"/>
    </row>
    <row r="86" spans="2:3" s="161" customFormat="1" x14ac:dyDescent="0.25">
      <c r="B86" s="184"/>
      <c r="C86" s="208"/>
    </row>
    <row r="87" spans="2:3" s="161" customFormat="1" x14ac:dyDescent="0.25">
      <c r="B87" s="184"/>
      <c r="C87" s="208"/>
    </row>
    <row r="88" spans="2:3" s="161" customFormat="1" x14ac:dyDescent="0.25">
      <c r="B88" s="184"/>
      <c r="C88" s="208"/>
    </row>
    <row r="89" spans="2:3" s="161" customFormat="1" x14ac:dyDescent="0.25">
      <c r="B89" s="184"/>
      <c r="C89" s="208"/>
    </row>
    <row r="90" spans="2:3" s="161" customFormat="1" x14ac:dyDescent="0.25">
      <c r="B90" s="184"/>
      <c r="C90" s="208"/>
    </row>
    <row r="91" spans="2:3" s="161" customFormat="1" x14ac:dyDescent="0.25">
      <c r="B91" s="184"/>
      <c r="C91" s="208"/>
    </row>
    <row r="92" spans="2:3" s="161" customFormat="1" x14ac:dyDescent="0.25">
      <c r="B92" s="184"/>
      <c r="C92" s="208"/>
    </row>
    <row r="93" spans="2:3" s="161" customFormat="1" x14ac:dyDescent="0.25">
      <c r="B93" s="184"/>
      <c r="C93" s="208"/>
    </row>
    <row r="94" spans="2:3" s="161" customFormat="1" x14ac:dyDescent="0.25">
      <c r="B94" s="184"/>
      <c r="C94" s="208"/>
    </row>
    <row r="95" spans="2:3" s="161" customFormat="1" x14ac:dyDescent="0.25">
      <c r="B95" s="184"/>
      <c r="C95" s="208"/>
    </row>
    <row r="96" spans="2:3" s="161" customFormat="1" x14ac:dyDescent="0.25">
      <c r="B96" s="184"/>
      <c r="C96" s="208"/>
    </row>
    <row r="97" spans="2:3" s="161" customFormat="1" x14ac:dyDescent="0.25">
      <c r="B97" s="184"/>
      <c r="C97" s="208"/>
    </row>
    <row r="98" spans="2:3" s="161" customFormat="1" x14ac:dyDescent="0.25">
      <c r="B98" s="184"/>
      <c r="C98" s="208"/>
    </row>
    <row r="99" spans="2:3" s="161" customFormat="1" x14ac:dyDescent="0.25">
      <c r="B99" s="184"/>
      <c r="C99" s="208"/>
    </row>
    <row r="100" spans="2:3" s="161" customFormat="1" x14ac:dyDescent="0.25">
      <c r="B100" s="184"/>
      <c r="C100" s="208"/>
    </row>
    <row r="101" spans="2:3" s="161" customFormat="1" x14ac:dyDescent="0.25">
      <c r="B101" s="184"/>
      <c r="C101" s="208"/>
    </row>
    <row r="102" spans="2:3" s="161" customFormat="1" x14ac:dyDescent="0.25">
      <c r="B102" s="184"/>
      <c r="C102" s="208"/>
    </row>
    <row r="103" spans="2:3" s="161" customFormat="1" x14ac:dyDescent="0.25">
      <c r="B103" s="184"/>
      <c r="C103" s="208"/>
    </row>
    <row r="104" spans="2:3" s="161" customFormat="1" x14ac:dyDescent="0.25">
      <c r="B104" s="184"/>
      <c r="C104" s="208"/>
    </row>
    <row r="105" spans="2:3" s="161" customFormat="1" x14ac:dyDescent="0.25">
      <c r="B105" s="184"/>
      <c r="C105" s="208"/>
    </row>
    <row r="106" spans="2:3" s="161" customFormat="1" x14ac:dyDescent="0.25">
      <c r="B106" s="184"/>
      <c r="C106" s="208"/>
    </row>
    <row r="107" spans="2:3" s="161" customFormat="1" x14ac:dyDescent="0.25">
      <c r="B107" s="184"/>
      <c r="C107" s="208"/>
    </row>
    <row r="108" spans="2:3" s="161" customFormat="1" x14ac:dyDescent="0.25">
      <c r="B108" s="184"/>
      <c r="C108" s="208"/>
    </row>
    <row r="109" spans="2:3" s="161" customFormat="1" x14ac:dyDescent="0.25">
      <c r="B109" s="184"/>
      <c r="C109" s="208"/>
    </row>
    <row r="110" spans="2:3" s="161" customFormat="1" x14ac:dyDescent="0.25">
      <c r="B110" s="184"/>
      <c r="C110" s="208"/>
    </row>
    <row r="111" spans="2:3" s="161" customFormat="1" x14ac:dyDescent="0.25">
      <c r="B111" s="184"/>
      <c r="C111" s="208"/>
    </row>
    <row r="112" spans="2:3" s="161" customFormat="1" x14ac:dyDescent="0.25">
      <c r="B112" s="184"/>
      <c r="C112" s="208"/>
    </row>
    <row r="113" spans="2:3" s="161" customFormat="1" x14ac:dyDescent="0.25">
      <c r="B113" s="184"/>
      <c r="C113" s="208"/>
    </row>
    <row r="114" spans="2:3" s="161" customFormat="1" x14ac:dyDescent="0.25">
      <c r="B114" s="184"/>
      <c r="C114" s="208"/>
    </row>
    <row r="115" spans="2:3" s="161" customFormat="1" x14ac:dyDescent="0.25">
      <c r="B115" s="184"/>
      <c r="C115" s="208"/>
    </row>
    <row r="116" spans="2:3" s="161" customFormat="1" x14ac:dyDescent="0.25">
      <c r="B116" s="184"/>
      <c r="C116" s="208"/>
    </row>
    <row r="117" spans="2:3" s="161" customFormat="1" x14ac:dyDescent="0.25">
      <c r="B117" s="184"/>
      <c r="C117" s="208"/>
    </row>
    <row r="118" spans="2:3" s="161" customFormat="1" x14ac:dyDescent="0.25">
      <c r="B118" s="184"/>
      <c r="C118" s="208"/>
    </row>
    <row r="119" spans="2:3" s="161" customFormat="1" x14ac:dyDescent="0.25">
      <c r="B119" s="184"/>
      <c r="C119" s="208"/>
    </row>
    <row r="120" spans="2:3" s="161" customFormat="1" x14ac:dyDescent="0.25">
      <c r="B120" s="184"/>
      <c r="C120" s="208"/>
    </row>
    <row r="121" spans="2:3" s="161" customFormat="1" x14ac:dyDescent="0.25">
      <c r="B121" s="184"/>
      <c r="C121" s="208"/>
    </row>
    <row r="122" spans="2:3" s="161" customFormat="1" x14ac:dyDescent="0.25">
      <c r="B122" s="184"/>
      <c r="C122" s="208"/>
    </row>
    <row r="123" spans="2:3" s="161" customFormat="1" x14ac:dyDescent="0.25">
      <c r="B123" s="184"/>
      <c r="C123" s="208"/>
    </row>
    <row r="124" spans="2:3" s="161" customFormat="1" x14ac:dyDescent="0.25">
      <c r="B124" s="184"/>
      <c r="C124" s="208"/>
    </row>
    <row r="125" spans="2:3" s="161" customFormat="1" x14ac:dyDescent="0.25">
      <c r="B125" s="184"/>
      <c r="C125" s="208"/>
    </row>
    <row r="126" spans="2:3" s="161" customFormat="1" x14ac:dyDescent="0.25">
      <c r="B126" s="184"/>
      <c r="C126" s="208"/>
    </row>
    <row r="127" spans="2:3" s="161" customFormat="1" x14ac:dyDescent="0.25">
      <c r="B127" s="184"/>
      <c r="C127" s="208"/>
    </row>
    <row r="128" spans="2:3" s="161" customFormat="1" x14ac:dyDescent="0.25">
      <c r="B128" s="184"/>
      <c r="C128" s="208"/>
    </row>
    <row r="129" spans="2:3" s="161" customFormat="1" x14ac:dyDescent="0.25">
      <c r="B129" s="184"/>
      <c r="C129" s="208"/>
    </row>
    <row r="130" spans="2:3" s="161" customFormat="1" x14ac:dyDescent="0.25">
      <c r="B130" s="184"/>
      <c r="C130" s="208"/>
    </row>
    <row r="131" spans="2:3" s="161" customFormat="1" x14ac:dyDescent="0.25">
      <c r="B131" s="184"/>
      <c r="C131" s="208"/>
    </row>
    <row r="132" spans="2:3" s="161" customFormat="1" x14ac:dyDescent="0.25">
      <c r="B132" s="184"/>
      <c r="C132" s="208"/>
    </row>
    <row r="133" spans="2:3" s="161" customFormat="1" x14ac:dyDescent="0.25">
      <c r="B133" s="184"/>
      <c r="C133" s="208"/>
    </row>
    <row r="134" spans="2:3" s="161" customFormat="1" x14ac:dyDescent="0.25">
      <c r="B134" s="184"/>
      <c r="C134" s="208"/>
    </row>
    <row r="135" spans="2:3" s="161" customFormat="1" x14ac:dyDescent="0.25">
      <c r="B135" s="184"/>
      <c r="C135" s="208"/>
    </row>
    <row r="136" spans="2:3" s="161" customFormat="1" x14ac:dyDescent="0.25">
      <c r="B136" s="184"/>
      <c r="C136" s="208"/>
    </row>
    <row r="137" spans="2:3" s="161" customFormat="1" x14ac:dyDescent="0.25">
      <c r="B137" s="184"/>
      <c r="C137" s="208"/>
    </row>
    <row r="138" spans="2:3" s="161" customFormat="1" x14ac:dyDescent="0.25">
      <c r="B138" s="184"/>
      <c r="C138" s="208"/>
    </row>
    <row r="139" spans="2:3" s="161" customFormat="1" x14ac:dyDescent="0.25">
      <c r="B139" s="184"/>
      <c r="C139" s="208"/>
    </row>
    <row r="140" spans="2:3" s="161" customFormat="1" x14ac:dyDescent="0.25">
      <c r="B140" s="184"/>
      <c r="C140" s="208"/>
    </row>
    <row r="141" spans="2:3" x14ac:dyDescent="0.25">
      <c r="B141" s="184"/>
    </row>
    <row r="142" spans="2:3" x14ac:dyDescent="0.25">
      <c r="B142" s="184"/>
    </row>
    <row r="143" spans="2:3" x14ac:dyDescent="0.25">
      <c r="B143" s="184"/>
    </row>
    <row r="144" spans="2:3" x14ac:dyDescent="0.25">
      <c r="B144" s="184"/>
    </row>
    <row r="145" spans="2:2" x14ac:dyDescent="0.25">
      <c r="B145" s="184"/>
    </row>
    <row r="146" spans="2:2" x14ac:dyDescent="0.25">
      <c r="B146" s="184"/>
    </row>
    <row r="147" spans="2:2" x14ac:dyDescent="0.25">
      <c r="B147" s="184"/>
    </row>
    <row r="148" spans="2:2" x14ac:dyDescent="0.25">
      <c r="B148" s="184"/>
    </row>
    <row r="149" spans="2:2" x14ac:dyDescent="0.25">
      <c r="B149" s="184"/>
    </row>
    <row r="150" spans="2:2" x14ac:dyDescent="0.25">
      <c r="B150" s="184"/>
    </row>
    <row r="151" spans="2:2" x14ac:dyDescent="0.25">
      <c r="B151" s="184"/>
    </row>
    <row r="152" spans="2:2" x14ac:dyDescent="0.25">
      <c r="B152" s="184"/>
    </row>
    <row r="153" spans="2:2" x14ac:dyDescent="0.25">
      <c r="B153" s="184"/>
    </row>
    <row r="154" spans="2:2" x14ac:dyDescent="0.25">
      <c r="B154" s="184"/>
    </row>
    <row r="155" spans="2:2" x14ac:dyDescent="0.25">
      <c r="B155" s="184"/>
    </row>
    <row r="156" spans="2:2" x14ac:dyDescent="0.25">
      <c r="B156" s="184"/>
    </row>
    <row r="157" spans="2:2" x14ac:dyDescent="0.25">
      <c r="B157" s="184"/>
    </row>
    <row r="158" spans="2:2" x14ac:dyDescent="0.25">
      <c r="B158" s="184"/>
    </row>
    <row r="159" spans="2:2" x14ac:dyDescent="0.25">
      <c r="B159" s="184"/>
    </row>
    <row r="160" spans="2:2" x14ac:dyDescent="0.25">
      <c r="B160" s="184"/>
    </row>
    <row r="161" spans="2:2" x14ac:dyDescent="0.25">
      <c r="B161" s="184"/>
    </row>
    <row r="162" spans="2:2" x14ac:dyDescent="0.25">
      <c r="B162" s="184"/>
    </row>
    <row r="163" spans="2:2" x14ac:dyDescent="0.25">
      <c r="B163" s="184"/>
    </row>
    <row r="164" spans="2:2" x14ac:dyDescent="0.25">
      <c r="B164" s="184"/>
    </row>
    <row r="165" spans="2:2" x14ac:dyDescent="0.25">
      <c r="B165" s="184"/>
    </row>
    <row r="166" spans="2:2" x14ac:dyDescent="0.25">
      <c r="B166" s="184"/>
    </row>
    <row r="167" spans="2:2" x14ac:dyDescent="0.25">
      <c r="B167" s="184"/>
    </row>
    <row r="168" spans="2:2" x14ac:dyDescent="0.25">
      <c r="B168" s="184"/>
    </row>
    <row r="169" spans="2:2" x14ac:dyDescent="0.25">
      <c r="B169" s="184"/>
    </row>
    <row r="170" spans="2:2" x14ac:dyDescent="0.25">
      <c r="B170" s="184"/>
    </row>
    <row r="171" spans="2:2" x14ac:dyDescent="0.25">
      <c r="B171" s="184"/>
    </row>
    <row r="172" spans="2:2" x14ac:dyDescent="0.25">
      <c r="B172" s="184"/>
    </row>
    <row r="173" spans="2:2" x14ac:dyDescent="0.25">
      <c r="B173" s="184"/>
    </row>
    <row r="174" spans="2:2" x14ac:dyDescent="0.25">
      <c r="B174" s="184"/>
    </row>
    <row r="175" spans="2:2" x14ac:dyDescent="0.25">
      <c r="B175" s="184"/>
    </row>
    <row r="176" spans="2:2" x14ac:dyDescent="0.25">
      <c r="B176" s="184"/>
    </row>
    <row r="177" spans="2:2" x14ac:dyDescent="0.25">
      <c r="B177" s="184"/>
    </row>
    <row r="178" spans="2:2" x14ac:dyDescent="0.25">
      <c r="B178" s="184"/>
    </row>
    <row r="179" spans="2:2" x14ac:dyDescent="0.25">
      <c r="B179" s="184"/>
    </row>
    <row r="180" spans="2:2" x14ac:dyDescent="0.25">
      <c r="B180" s="184"/>
    </row>
    <row r="181" spans="2:2" x14ac:dyDescent="0.25">
      <c r="B181" s="184"/>
    </row>
    <row r="182" spans="2:2" x14ac:dyDescent="0.25">
      <c r="B182" s="184"/>
    </row>
    <row r="183" spans="2:2" x14ac:dyDescent="0.25">
      <c r="B183" s="184"/>
    </row>
    <row r="184" spans="2:2" x14ac:dyDescent="0.25">
      <c r="B184" s="184"/>
    </row>
    <row r="185" spans="2:2" x14ac:dyDescent="0.25">
      <c r="B185" s="184"/>
    </row>
    <row r="186" spans="2:2" x14ac:dyDescent="0.25">
      <c r="B186" s="184"/>
    </row>
    <row r="187" spans="2:2" x14ac:dyDescent="0.25">
      <c r="B187" s="184"/>
    </row>
    <row r="188" spans="2:2" x14ac:dyDescent="0.25">
      <c r="B188" s="184"/>
    </row>
    <row r="189" spans="2:2" x14ac:dyDescent="0.25">
      <c r="B189" s="184"/>
    </row>
    <row r="190" spans="2:2" x14ac:dyDescent="0.25">
      <c r="B190" s="184"/>
    </row>
    <row r="191" spans="2:2" x14ac:dyDescent="0.25">
      <c r="B191" s="184"/>
    </row>
    <row r="192" spans="2:2" x14ac:dyDescent="0.25">
      <c r="B192" s="184"/>
    </row>
    <row r="193" spans="2:2" x14ac:dyDescent="0.25">
      <c r="B193" s="184"/>
    </row>
    <row r="194" spans="2:2" x14ac:dyDescent="0.25">
      <c r="B194" s="184"/>
    </row>
    <row r="195" spans="2:2" x14ac:dyDescent="0.25">
      <c r="B195" s="184"/>
    </row>
    <row r="196" spans="2:2" x14ac:dyDescent="0.25">
      <c r="B196" s="184"/>
    </row>
    <row r="197" spans="2:2" x14ac:dyDescent="0.25">
      <c r="B197" s="184"/>
    </row>
    <row r="198" spans="2:2" x14ac:dyDescent="0.25">
      <c r="B198" s="184"/>
    </row>
    <row r="199" spans="2:2" x14ac:dyDescent="0.25">
      <c r="B199" s="184"/>
    </row>
    <row r="200" spans="2:2" x14ac:dyDescent="0.25">
      <c r="B200" s="184"/>
    </row>
    <row r="201" spans="2:2" x14ac:dyDescent="0.25">
      <c r="B201" s="184"/>
    </row>
    <row r="202" spans="2:2" x14ac:dyDescent="0.25">
      <c r="B202" s="184"/>
    </row>
    <row r="203" spans="2:2" x14ac:dyDescent="0.25">
      <c r="B203" s="184"/>
    </row>
    <row r="204" spans="2:2" x14ac:dyDescent="0.25">
      <c r="B204" s="184"/>
    </row>
    <row r="205" spans="2:2" x14ac:dyDescent="0.25">
      <c r="B205" s="184"/>
    </row>
    <row r="206" spans="2:2" x14ac:dyDescent="0.25">
      <c r="B206" s="184"/>
    </row>
    <row r="207" spans="2:2" x14ac:dyDescent="0.25">
      <c r="B207" s="184"/>
    </row>
    <row r="208" spans="2:2" x14ac:dyDescent="0.25">
      <c r="B208" s="184"/>
    </row>
    <row r="209" spans="2:2" x14ac:dyDescent="0.25">
      <c r="B209" s="184"/>
    </row>
    <row r="210" spans="2:2" x14ac:dyDescent="0.25">
      <c r="B210" s="184"/>
    </row>
    <row r="211" spans="2:2" x14ac:dyDescent="0.25">
      <c r="B211" s="184"/>
    </row>
    <row r="212" spans="2:2" x14ac:dyDescent="0.25">
      <c r="B212" s="184"/>
    </row>
    <row r="213" spans="2:2" x14ac:dyDescent="0.25">
      <c r="B213" s="184"/>
    </row>
    <row r="214" spans="2:2" x14ac:dyDescent="0.25">
      <c r="B214" s="184"/>
    </row>
    <row r="215" spans="2:2" x14ac:dyDescent="0.25">
      <c r="B215" s="184"/>
    </row>
    <row r="216" spans="2:2" x14ac:dyDescent="0.25">
      <c r="B216" s="184"/>
    </row>
    <row r="217" spans="2:2" x14ac:dyDescent="0.25">
      <c r="B217" s="184"/>
    </row>
    <row r="218" spans="2:2" x14ac:dyDescent="0.25">
      <c r="B218" s="184"/>
    </row>
    <row r="219" spans="2:2" x14ac:dyDescent="0.25">
      <c r="B219" s="184"/>
    </row>
    <row r="220" spans="2:2" x14ac:dyDescent="0.25">
      <c r="B220" s="184"/>
    </row>
    <row r="221" spans="2:2" x14ac:dyDescent="0.25">
      <c r="B221" s="184"/>
    </row>
    <row r="222" spans="2:2" x14ac:dyDescent="0.25">
      <c r="B222" s="184"/>
    </row>
    <row r="223" spans="2:2" x14ac:dyDescent="0.25">
      <c r="B223" s="184"/>
    </row>
    <row r="224" spans="2:2" x14ac:dyDescent="0.25">
      <c r="B224" s="184"/>
    </row>
    <row r="225" spans="2:2" x14ac:dyDescent="0.25">
      <c r="B225" s="184"/>
    </row>
    <row r="226" spans="2:2" x14ac:dyDescent="0.25">
      <c r="B226" s="184"/>
    </row>
    <row r="227" spans="2:2" x14ac:dyDescent="0.25">
      <c r="B227" s="184"/>
    </row>
    <row r="228" spans="2:2" x14ac:dyDescent="0.25">
      <c r="B228" s="184"/>
    </row>
    <row r="229" spans="2:2" x14ac:dyDescent="0.25">
      <c r="B229" s="184"/>
    </row>
    <row r="230" spans="2:2" x14ac:dyDescent="0.25">
      <c r="B230" s="184"/>
    </row>
    <row r="231" spans="2:2" x14ac:dyDescent="0.25">
      <c r="B231" s="184"/>
    </row>
    <row r="232" spans="2:2" x14ac:dyDescent="0.25">
      <c r="B232" s="184"/>
    </row>
    <row r="233" spans="2:2" x14ac:dyDescent="0.25">
      <c r="B233" s="184"/>
    </row>
    <row r="234" spans="2:2" x14ac:dyDescent="0.25">
      <c r="B234" s="184"/>
    </row>
    <row r="235" spans="2:2" x14ac:dyDescent="0.25">
      <c r="B235" s="184"/>
    </row>
    <row r="236" spans="2:2" x14ac:dyDescent="0.25">
      <c r="B236" s="184"/>
    </row>
    <row r="237" spans="2:2" x14ac:dyDescent="0.25">
      <c r="B237" s="184"/>
    </row>
    <row r="238" spans="2:2" x14ac:dyDescent="0.25">
      <c r="B238" s="184"/>
    </row>
    <row r="239" spans="2:2" x14ac:dyDescent="0.25">
      <c r="B239" s="184"/>
    </row>
    <row r="240" spans="2:2" x14ac:dyDescent="0.25">
      <c r="B240" s="184"/>
    </row>
    <row r="241" spans="2:2" x14ac:dyDescent="0.25">
      <c r="B241" s="184"/>
    </row>
    <row r="242" spans="2:2" x14ac:dyDescent="0.25">
      <c r="B242" s="184"/>
    </row>
    <row r="243" spans="2:2" x14ac:dyDescent="0.25">
      <c r="B243" s="184"/>
    </row>
    <row r="244" spans="2:2" x14ac:dyDescent="0.25">
      <c r="B244" s="184"/>
    </row>
    <row r="245" spans="2:2" x14ac:dyDescent="0.25">
      <c r="B245" s="184"/>
    </row>
    <row r="246" spans="2:2" x14ac:dyDescent="0.25">
      <c r="B246" s="184"/>
    </row>
    <row r="247" spans="2:2" x14ac:dyDescent="0.25">
      <c r="B247" s="184"/>
    </row>
    <row r="248" spans="2:2" x14ac:dyDescent="0.25">
      <c r="B248" s="184"/>
    </row>
    <row r="249" spans="2:2" x14ac:dyDescent="0.25">
      <c r="B249" s="184"/>
    </row>
    <row r="250" spans="2:2" x14ac:dyDescent="0.25">
      <c r="B250" s="184"/>
    </row>
    <row r="251" spans="2:2" x14ac:dyDescent="0.25">
      <c r="B251" s="184"/>
    </row>
    <row r="252" spans="2:2" x14ac:dyDescent="0.25">
      <c r="B252" s="184"/>
    </row>
    <row r="253" spans="2:2" x14ac:dyDescent="0.25">
      <c r="B253" s="184"/>
    </row>
  </sheetData>
  <conditionalFormatting sqref="I37:M41">
    <cfRule type="cellIs" dxfId="9" priority="1" operator="lessThan">
      <formula>$J$43</formula>
    </cfRule>
    <cfRule type="cellIs" dxfId="8" priority="2" operator="greaterThan">
      <formula>$J$43</formula>
    </cfRule>
  </conditionalFormatting>
  <conditionalFormatting sqref="I49:M53">
    <cfRule type="cellIs" dxfId="7" priority="3" operator="lessThan">
      <formula>$J$55</formula>
    </cfRule>
    <cfRule type="cellIs" dxfId="6" priority="4" operator="greaterThan">
      <formula>$J$55</formula>
    </cfRule>
  </conditionalFormatting>
  <pageMargins left="0.70000000000000007" right="0.70000000000000007" top="0.75" bottom="0.75" header="0.30000000000000004" footer="0.3000000000000000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AA5E3-C8A9-4DF9-BE6D-CF8D7B7DC51B}">
  <sheetPr>
    <tabColor rgb="FF92D050"/>
  </sheetPr>
  <dimension ref="A1:IU44"/>
  <sheetViews>
    <sheetView workbookViewId="0">
      <selection activeCell="C55" sqref="C55"/>
    </sheetView>
  </sheetViews>
  <sheetFormatPr defaultRowHeight="11.25" x14ac:dyDescent="0.2"/>
  <cols>
    <col min="1" max="1" width="20.85546875" style="4" customWidth="1"/>
    <col min="2" max="11" width="47.85546875" style="4" customWidth="1"/>
    <col min="12" max="13" width="25.85546875" style="4" customWidth="1"/>
    <col min="14" max="14" width="47.85546875" style="4" customWidth="1"/>
    <col min="15" max="16" width="25.85546875" style="4" customWidth="1"/>
    <col min="17" max="20" width="47.85546875" style="4" customWidth="1"/>
    <col min="21" max="256" width="8.7109375" style="4" customWidth="1"/>
    <col min="257" max="257" width="20.85546875" style="4" customWidth="1"/>
    <col min="258" max="267" width="47.85546875" style="4" customWidth="1"/>
    <col min="268" max="269" width="25.85546875" style="4" customWidth="1"/>
    <col min="270" max="270" width="47.85546875" style="4" customWidth="1"/>
    <col min="271" max="272" width="25.85546875" style="4" customWidth="1"/>
    <col min="273" max="276" width="47.85546875" style="4" customWidth="1"/>
    <col min="277" max="512" width="8.7109375" style="4" customWidth="1"/>
    <col min="513" max="513" width="20.85546875" style="4" customWidth="1"/>
    <col min="514" max="523" width="47.85546875" style="4" customWidth="1"/>
    <col min="524" max="525" width="25.85546875" style="4" customWidth="1"/>
    <col min="526" max="526" width="47.85546875" style="4" customWidth="1"/>
    <col min="527" max="528" width="25.85546875" style="4" customWidth="1"/>
    <col min="529" max="532" width="47.85546875" style="4" customWidth="1"/>
    <col min="533" max="768" width="8.7109375" style="4" customWidth="1"/>
    <col min="769" max="769" width="20.85546875" style="4" customWidth="1"/>
    <col min="770" max="779" width="47.85546875" style="4" customWidth="1"/>
    <col min="780" max="781" width="25.85546875" style="4" customWidth="1"/>
    <col min="782" max="782" width="47.85546875" style="4" customWidth="1"/>
    <col min="783" max="784" width="25.85546875" style="4" customWidth="1"/>
    <col min="785" max="788" width="47.85546875" style="4" customWidth="1"/>
    <col min="789" max="1024" width="8.7109375" style="4" customWidth="1"/>
    <col min="1025" max="1025" width="20.85546875" style="4" customWidth="1"/>
    <col min="1026" max="1035" width="47.85546875" style="4" customWidth="1"/>
    <col min="1036" max="1037" width="25.85546875" style="4" customWidth="1"/>
    <col min="1038" max="1038" width="47.85546875" style="4" customWidth="1"/>
    <col min="1039" max="1040" width="25.85546875" style="4" customWidth="1"/>
    <col min="1041" max="1044" width="47.85546875" style="4" customWidth="1"/>
    <col min="1045" max="1280" width="8.7109375" style="4" customWidth="1"/>
    <col min="1281" max="1281" width="20.85546875" style="4" customWidth="1"/>
    <col min="1282" max="1291" width="47.85546875" style="4" customWidth="1"/>
    <col min="1292" max="1293" width="25.85546875" style="4" customWidth="1"/>
    <col min="1294" max="1294" width="47.85546875" style="4" customWidth="1"/>
    <col min="1295" max="1296" width="25.85546875" style="4" customWidth="1"/>
    <col min="1297" max="1300" width="47.85546875" style="4" customWidth="1"/>
    <col min="1301" max="1536" width="8.7109375" style="4" customWidth="1"/>
    <col min="1537" max="1537" width="20.85546875" style="4" customWidth="1"/>
    <col min="1538" max="1547" width="47.85546875" style="4" customWidth="1"/>
    <col min="1548" max="1549" width="25.85546875" style="4" customWidth="1"/>
    <col min="1550" max="1550" width="47.85546875" style="4" customWidth="1"/>
    <col min="1551" max="1552" width="25.85546875" style="4" customWidth="1"/>
    <col min="1553" max="1556" width="47.85546875" style="4" customWidth="1"/>
    <col min="1557" max="1792" width="8.7109375" style="4" customWidth="1"/>
    <col min="1793" max="1793" width="20.85546875" style="4" customWidth="1"/>
    <col min="1794" max="1803" width="47.85546875" style="4" customWidth="1"/>
    <col min="1804" max="1805" width="25.85546875" style="4" customWidth="1"/>
    <col min="1806" max="1806" width="47.85546875" style="4" customWidth="1"/>
    <col min="1807" max="1808" width="25.85546875" style="4" customWidth="1"/>
    <col min="1809" max="1812" width="47.85546875" style="4" customWidth="1"/>
    <col min="1813" max="2048" width="8.7109375" style="4" customWidth="1"/>
    <col min="2049" max="2049" width="20.85546875" style="4" customWidth="1"/>
    <col min="2050" max="2059" width="47.85546875" style="4" customWidth="1"/>
    <col min="2060" max="2061" width="25.85546875" style="4" customWidth="1"/>
    <col min="2062" max="2062" width="47.85546875" style="4" customWidth="1"/>
    <col min="2063" max="2064" width="25.85546875" style="4" customWidth="1"/>
    <col min="2065" max="2068" width="47.85546875" style="4" customWidth="1"/>
    <col min="2069" max="2304" width="8.7109375" style="4" customWidth="1"/>
    <col min="2305" max="2305" width="20.85546875" style="4" customWidth="1"/>
    <col min="2306" max="2315" width="47.85546875" style="4" customWidth="1"/>
    <col min="2316" max="2317" width="25.85546875" style="4" customWidth="1"/>
    <col min="2318" max="2318" width="47.85546875" style="4" customWidth="1"/>
    <col min="2319" max="2320" width="25.85546875" style="4" customWidth="1"/>
    <col min="2321" max="2324" width="47.85546875" style="4" customWidth="1"/>
    <col min="2325" max="2560" width="8.7109375" style="4" customWidth="1"/>
    <col min="2561" max="2561" width="20.85546875" style="4" customWidth="1"/>
    <col min="2562" max="2571" width="47.85546875" style="4" customWidth="1"/>
    <col min="2572" max="2573" width="25.85546875" style="4" customWidth="1"/>
    <col min="2574" max="2574" width="47.85546875" style="4" customWidth="1"/>
    <col min="2575" max="2576" width="25.85546875" style="4" customWidth="1"/>
    <col min="2577" max="2580" width="47.85546875" style="4" customWidth="1"/>
    <col min="2581" max="2816" width="8.7109375" style="4" customWidth="1"/>
    <col min="2817" max="2817" width="20.85546875" style="4" customWidth="1"/>
    <col min="2818" max="2827" width="47.85546875" style="4" customWidth="1"/>
    <col min="2828" max="2829" width="25.85546875" style="4" customWidth="1"/>
    <col min="2830" max="2830" width="47.85546875" style="4" customWidth="1"/>
    <col min="2831" max="2832" width="25.85546875" style="4" customWidth="1"/>
    <col min="2833" max="2836" width="47.85546875" style="4" customWidth="1"/>
    <col min="2837" max="3072" width="8.7109375" style="4" customWidth="1"/>
    <col min="3073" max="3073" width="20.85546875" style="4" customWidth="1"/>
    <col min="3074" max="3083" width="47.85546875" style="4" customWidth="1"/>
    <col min="3084" max="3085" width="25.85546875" style="4" customWidth="1"/>
    <col min="3086" max="3086" width="47.85546875" style="4" customWidth="1"/>
    <col min="3087" max="3088" width="25.85546875" style="4" customWidth="1"/>
    <col min="3089" max="3092" width="47.85546875" style="4" customWidth="1"/>
    <col min="3093" max="3328" width="8.7109375" style="4" customWidth="1"/>
    <col min="3329" max="3329" width="20.85546875" style="4" customWidth="1"/>
    <col min="3330" max="3339" width="47.85546875" style="4" customWidth="1"/>
    <col min="3340" max="3341" width="25.85546875" style="4" customWidth="1"/>
    <col min="3342" max="3342" width="47.85546875" style="4" customWidth="1"/>
    <col min="3343" max="3344" width="25.85546875" style="4" customWidth="1"/>
    <col min="3345" max="3348" width="47.85546875" style="4" customWidth="1"/>
    <col min="3349" max="3584" width="8.7109375" style="4" customWidth="1"/>
    <col min="3585" max="3585" width="20.85546875" style="4" customWidth="1"/>
    <col min="3586" max="3595" width="47.85546875" style="4" customWidth="1"/>
    <col min="3596" max="3597" width="25.85546875" style="4" customWidth="1"/>
    <col min="3598" max="3598" width="47.85546875" style="4" customWidth="1"/>
    <col min="3599" max="3600" width="25.85546875" style="4" customWidth="1"/>
    <col min="3601" max="3604" width="47.85546875" style="4" customWidth="1"/>
    <col min="3605" max="3840" width="8.7109375" style="4" customWidth="1"/>
    <col min="3841" max="3841" width="20.85546875" style="4" customWidth="1"/>
    <col min="3842" max="3851" width="47.85546875" style="4" customWidth="1"/>
    <col min="3852" max="3853" width="25.85546875" style="4" customWidth="1"/>
    <col min="3854" max="3854" width="47.85546875" style="4" customWidth="1"/>
    <col min="3855" max="3856" width="25.85546875" style="4" customWidth="1"/>
    <col min="3857" max="3860" width="47.85546875" style="4" customWidth="1"/>
    <col min="3861" max="4096" width="8.7109375" style="4" customWidth="1"/>
    <col min="4097" max="4097" width="20.85546875" style="4" customWidth="1"/>
    <col min="4098" max="4107" width="47.85546875" style="4" customWidth="1"/>
    <col min="4108" max="4109" width="25.85546875" style="4" customWidth="1"/>
    <col min="4110" max="4110" width="47.85546875" style="4" customWidth="1"/>
    <col min="4111" max="4112" width="25.85546875" style="4" customWidth="1"/>
    <col min="4113" max="4116" width="47.85546875" style="4" customWidth="1"/>
    <col min="4117" max="4352" width="8.7109375" style="4" customWidth="1"/>
    <col min="4353" max="4353" width="20.85546875" style="4" customWidth="1"/>
    <col min="4354" max="4363" width="47.85546875" style="4" customWidth="1"/>
    <col min="4364" max="4365" width="25.85546875" style="4" customWidth="1"/>
    <col min="4366" max="4366" width="47.85546875" style="4" customWidth="1"/>
    <col min="4367" max="4368" width="25.85546875" style="4" customWidth="1"/>
    <col min="4369" max="4372" width="47.85546875" style="4" customWidth="1"/>
    <col min="4373" max="4608" width="8.7109375" style="4" customWidth="1"/>
    <col min="4609" max="4609" width="20.85546875" style="4" customWidth="1"/>
    <col min="4610" max="4619" width="47.85546875" style="4" customWidth="1"/>
    <col min="4620" max="4621" width="25.85546875" style="4" customWidth="1"/>
    <col min="4622" max="4622" width="47.85546875" style="4" customWidth="1"/>
    <col min="4623" max="4624" width="25.85546875" style="4" customWidth="1"/>
    <col min="4625" max="4628" width="47.85546875" style="4" customWidth="1"/>
    <col min="4629" max="4864" width="8.7109375" style="4" customWidth="1"/>
    <col min="4865" max="4865" width="20.85546875" style="4" customWidth="1"/>
    <col min="4866" max="4875" width="47.85546875" style="4" customWidth="1"/>
    <col min="4876" max="4877" width="25.85546875" style="4" customWidth="1"/>
    <col min="4878" max="4878" width="47.85546875" style="4" customWidth="1"/>
    <col min="4879" max="4880" width="25.85546875" style="4" customWidth="1"/>
    <col min="4881" max="4884" width="47.85546875" style="4" customWidth="1"/>
    <col min="4885" max="5120" width="8.7109375" style="4" customWidth="1"/>
    <col min="5121" max="5121" width="20.85546875" style="4" customWidth="1"/>
    <col min="5122" max="5131" width="47.85546875" style="4" customWidth="1"/>
    <col min="5132" max="5133" width="25.85546875" style="4" customWidth="1"/>
    <col min="5134" max="5134" width="47.85546875" style="4" customWidth="1"/>
    <col min="5135" max="5136" width="25.85546875" style="4" customWidth="1"/>
    <col min="5137" max="5140" width="47.85546875" style="4" customWidth="1"/>
    <col min="5141" max="5376" width="8.7109375" style="4" customWidth="1"/>
    <col min="5377" max="5377" width="20.85546875" style="4" customWidth="1"/>
    <col min="5378" max="5387" width="47.85546875" style="4" customWidth="1"/>
    <col min="5388" max="5389" width="25.85546875" style="4" customWidth="1"/>
    <col min="5390" max="5390" width="47.85546875" style="4" customWidth="1"/>
    <col min="5391" max="5392" width="25.85546875" style="4" customWidth="1"/>
    <col min="5393" max="5396" width="47.85546875" style="4" customWidth="1"/>
    <col min="5397" max="5632" width="8.7109375" style="4" customWidth="1"/>
    <col min="5633" max="5633" width="20.85546875" style="4" customWidth="1"/>
    <col min="5634" max="5643" width="47.85546875" style="4" customWidth="1"/>
    <col min="5644" max="5645" width="25.85546875" style="4" customWidth="1"/>
    <col min="5646" max="5646" width="47.85546875" style="4" customWidth="1"/>
    <col min="5647" max="5648" width="25.85546875" style="4" customWidth="1"/>
    <col min="5649" max="5652" width="47.85546875" style="4" customWidth="1"/>
    <col min="5653" max="5888" width="8.7109375" style="4" customWidth="1"/>
    <col min="5889" max="5889" width="20.85546875" style="4" customWidth="1"/>
    <col min="5890" max="5899" width="47.85546875" style="4" customWidth="1"/>
    <col min="5900" max="5901" width="25.85546875" style="4" customWidth="1"/>
    <col min="5902" max="5902" width="47.85546875" style="4" customWidth="1"/>
    <col min="5903" max="5904" width="25.85546875" style="4" customWidth="1"/>
    <col min="5905" max="5908" width="47.85546875" style="4" customWidth="1"/>
    <col min="5909" max="6144" width="8.7109375" style="4" customWidth="1"/>
    <col min="6145" max="6145" width="20.85546875" style="4" customWidth="1"/>
    <col min="6146" max="6155" width="47.85546875" style="4" customWidth="1"/>
    <col min="6156" max="6157" width="25.85546875" style="4" customWidth="1"/>
    <col min="6158" max="6158" width="47.85546875" style="4" customWidth="1"/>
    <col min="6159" max="6160" width="25.85546875" style="4" customWidth="1"/>
    <col min="6161" max="6164" width="47.85546875" style="4" customWidth="1"/>
    <col min="6165" max="6400" width="8.7109375" style="4" customWidth="1"/>
    <col min="6401" max="6401" width="20.85546875" style="4" customWidth="1"/>
    <col min="6402" max="6411" width="47.85546875" style="4" customWidth="1"/>
    <col min="6412" max="6413" width="25.85546875" style="4" customWidth="1"/>
    <col min="6414" max="6414" width="47.85546875" style="4" customWidth="1"/>
    <col min="6415" max="6416" width="25.85546875" style="4" customWidth="1"/>
    <col min="6417" max="6420" width="47.85546875" style="4" customWidth="1"/>
    <col min="6421" max="6656" width="8.7109375" style="4" customWidth="1"/>
    <col min="6657" max="6657" width="20.85546875" style="4" customWidth="1"/>
    <col min="6658" max="6667" width="47.85546875" style="4" customWidth="1"/>
    <col min="6668" max="6669" width="25.85546875" style="4" customWidth="1"/>
    <col min="6670" max="6670" width="47.85546875" style="4" customWidth="1"/>
    <col min="6671" max="6672" width="25.85546875" style="4" customWidth="1"/>
    <col min="6673" max="6676" width="47.85546875" style="4" customWidth="1"/>
    <col min="6677" max="6912" width="8.7109375" style="4" customWidth="1"/>
    <col min="6913" max="6913" width="20.85546875" style="4" customWidth="1"/>
    <col min="6914" max="6923" width="47.85546875" style="4" customWidth="1"/>
    <col min="6924" max="6925" width="25.85546875" style="4" customWidth="1"/>
    <col min="6926" max="6926" width="47.85546875" style="4" customWidth="1"/>
    <col min="6927" max="6928" width="25.85546875" style="4" customWidth="1"/>
    <col min="6929" max="6932" width="47.85546875" style="4" customWidth="1"/>
    <col min="6933" max="7168" width="8.7109375" style="4" customWidth="1"/>
    <col min="7169" max="7169" width="20.85546875" style="4" customWidth="1"/>
    <col min="7170" max="7179" width="47.85546875" style="4" customWidth="1"/>
    <col min="7180" max="7181" width="25.85546875" style="4" customWidth="1"/>
    <col min="7182" max="7182" width="47.85546875" style="4" customWidth="1"/>
    <col min="7183" max="7184" width="25.85546875" style="4" customWidth="1"/>
    <col min="7185" max="7188" width="47.85546875" style="4" customWidth="1"/>
    <col min="7189" max="7424" width="8.7109375" style="4" customWidth="1"/>
    <col min="7425" max="7425" width="20.85546875" style="4" customWidth="1"/>
    <col min="7426" max="7435" width="47.85546875" style="4" customWidth="1"/>
    <col min="7436" max="7437" width="25.85546875" style="4" customWidth="1"/>
    <col min="7438" max="7438" width="47.85546875" style="4" customWidth="1"/>
    <col min="7439" max="7440" width="25.85546875" style="4" customWidth="1"/>
    <col min="7441" max="7444" width="47.85546875" style="4" customWidth="1"/>
    <col min="7445" max="7680" width="8.7109375" style="4" customWidth="1"/>
    <col min="7681" max="7681" width="20.85546875" style="4" customWidth="1"/>
    <col min="7682" max="7691" width="47.85546875" style="4" customWidth="1"/>
    <col min="7692" max="7693" width="25.85546875" style="4" customWidth="1"/>
    <col min="7694" max="7694" width="47.85546875" style="4" customWidth="1"/>
    <col min="7695" max="7696" width="25.85546875" style="4" customWidth="1"/>
    <col min="7697" max="7700" width="47.85546875" style="4" customWidth="1"/>
    <col min="7701" max="7936" width="8.7109375" style="4" customWidth="1"/>
    <col min="7937" max="7937" width="20.85546875" style="4" customWidth="1"/>
    <col min="7938" max="7947" width="47.85546875" style="4" customWidth="1"/>
    <col min="7948" max="7949" width="25.85546875" style="4" customWidth="1"/>
    <col min="7950" max="7950" width="47.85546875" style="4" customWidth="1"/>
    <col min="7951" max="7952" width="25.85546875" style="4" customWidth="1"/>
    <col min="7953" max="7956" width="47.85546875" style="4" customWidth="1"/>
    <col min="7957" max="8192" width="8.7109375" style="4" customWidth="1"/>
    <col min="8193" max="8193" width="20.85546875" style="4" customWidth="1"/>
    <col min="8194" max="8203" width="47.85546875" style="4" customWidth="1"/>
    <col min="8204" max="8205" width="25.85546875" style="4" customWidth="1"/>
    <col min="8206" max="8206" width="47.85546875" style="4" customWidth="1"/>
    <col min="8207" max="8208" width="25.85546875" style="4" customWidth="1"/>
    <col min="8209" max="8212" width="47.85546875" style="4" customWidth="1"/>
    <col min="8213" max="8448" width="8.7109375" style="4" customWidth="1"/>
    <col min="8449" max="8449" width="20.85546875" style="4" customWidth="1"/>
    <col min="8450" max="8459" width="47.85546875" style="4" customWidth="1"/>
    <col min="8460" max="8461" width="25.85546875" style="4" customWidth="1"/>
    <col min="8462" max="8462" width="47.85546875" style="4" customWidth="1"/>
    <col min="8463" max="8464" width="25.85546875" style="4" customWidth="1"/>
    <col min="8465" max="8468" width="47.85546875" style="4" customWidth="1"/>
    <col min="8469" max="8704" width="8.7109375" style="4" customWidth="1"/>
    <col min="8705" max="8705" width="20.85546875" style="4" customWidth="1"/>
    <col min="8706" max="8715" width="47.85546875" style="4" customWidth="1"/>
    <col min="8716" max="8717" width="25.85546875" style="4" customWidth="1"/>
    <col min="8718" max="8718" width="47.85546875" style="4" customWidth="1"/>
    <col min="8719" max="8720" width="25.85546875" style="4" customWidth="1"/>
    <col min="8721" max="8724" width="47.85546875" style="4" customWidth="1"/>
    <col min="8725" max="8960" width="8.7109375" style="4" customWidth="1"/>
    <col min="8961" max="8961" width="20.85546875" style="4" customWidth="1"/>
    <col min="8962" max="8971" width="47.85546875" style="4" customWidth="1"/>
    <col min="8972" max="8973" width="25.85546875" style="4" customWidth="1"/>
    <col min="8974" max="8974" width="47.85546875" style="4" customWidth="1"/>
    <col min="8975" max="8976" width="25.85546875" style="4" customWidth="1"/>
    <col min="8977" max="8980" width="47.85546875" style="4" customWidth="1"/>
    <col min="8981" max="9216" width="8.7109375" style="4" customWidth="1"/>
    <col min="9217" max="9217" width="20.85546875" style="4" customWidth="1"/>
    <col min="9218" max="9227" width="47.85546875" style="4" customWidth="1"/>
    <col min="9228" max="9229" width="25.85546875" style="4" customWidth="1"/>
    <col min="9230" max="9230" width="47.85546875" style="4" customWidth="1"/>
    <col min="9231" max="9232" width="25.85546875" style="4" customWidth="1"/>
    <col min="9233" max="9236" width="47.85546875" style="4" customWidth="1"/>
    <col min="9237" max="9472" width="8.7109375" style="4" customWidth="1"/>
    <col min="9473" max="9473" width="20.85546875" style="4" customWidth="1"/>
    <col min="9474" max="9483" width="47.85546875" style="4" customWidth="1"/>
    <col min="9484" max="9485" width="25.85546875" style="4" customWidth="1"/>
    <col min="9486" max="9486" width="47.85546875" style="4" customWidth="1"/>
    <col min="9487" max="9488" width="25.85546875" style="4" customWidth="1"/>
    <col min="9489" max="9492" width="47.85546875" style="4" customWidth="1"/>
    <col min="9493" max="9728" width="8.7109375" style="4" customWidth="1"/>
    <col min="9729" max="9729" width="20.85546875" style="4" customWidth="1"/>
    <col min="9730" max="9739" width="47.85546875" style="4" customWidth="1"/>
    <col min="9740" max="9741" width="25.85546875" style="4" customWidth="1"/>
    <col min="9742" max="9742" width="47.85546875" style="4" customWidth="1"/>
    <col min="9743" max="9744" width="25.85546875" style="4" customWidth="1"/>
    <col min="9745" max="9748" width="47.85546875" style="4" customWidth="1"/>
    <col min="9749" max="9984" width="8.7109375" style="4" customWidth="1"/>
    <col min="9985" max="9985" width="20.85546875" style="4" customWidth="1"/>
    <col min="9986" max="9995" width="47.85546875" style="4" customWidth="1"/>
    <col min="9996" max="9997" width="25.85546875" style="4" customWidth="1"/>
    <col min="9998" max="9998" width="47.85546875" style="4" customWidth="1"/>
    <col min="9999" max="10000" width="25.85546875" style="4" customWidth="1"/>
    <col min="10001" max="10004" width="47.85546875" style="4" customWidth="1"/>
    <col min="10005" max="10240" width="8.7109375" style="4" customWidth="1"/>
    <col min="10241" max="10241" width="20.85546875" style="4" customWidth="1"/>
    <col min="10242" max="10251" width="47.85546875" style="4" customWidth="1"/>
    <col min="10252" max="10253" width="25.85546875" style="4" customWidth="1"/>
    <col min="10254" max="10254" width="47.85546875" style="4" customWidth="1"/>
    <col min="10255" max="10256" width="25.85546875" style="4" customWidth="1"/>
    <col min="10257" max="10260" width="47.85546875" style="4" customWidth="1"/>
    <col min="10261" max="10496" width="8.7109375" style="4" customWidth="1"/>
    <col min="10497" max="10497" width="20.85546875" style="4" customWidth="1"/>
    <col min="10498" max="10507" width="47.85546875" style="4" customWidth="1"/>
    <col min="10508" max="10509" width="25.85546875" style="4" customWidth="1"/>
    <col min="10510" max="10510" width="47.85546875" style="4" customWidth="1"/>
    <col min="10511" max="10512" width="25.85546875" style="4" customWidth="1"/>
    <col min="10513" max="10516" width="47.85546875" style="4" customWidth="1"/>
    <col min="10517" max="10752" width="8.7109375" style="4" customWidth="1"/>
    <col min="10753" max="10753" width="20.85546875" style="4" customWidth="1"/>
    <col min="10754" max="10763" width="47.85546875" style="4" customWidth="1"/>
    <col min="10764" max="10765" width="25.85546875" style="4" customWidth="1"/>
    <col min="10766" max="10766" width="47.85546875" style="4" customWidth="1"/>
    <col min="10767" max="10768" width="25.85546875" style="4" customWidth="1"/>
    <col min="10769" max="10772" width="47.85546875" style="4" customWidth="1"/>
    <col min="10773" max="11008" width="8.7109375" style="4" customWidth="1"/>
    <col min="11009" max="11009" width="20.85546875" style="4" customWidth="1"/>
    <col min="11010" max="11019" width="47.85546875" style="4" customWidth="1"/>
    <col min="11020" max="11021" width="25.85546875" style="4" customWidth="1"/>
    <col min="11022" max="11022" width="47.85546875" style="4" customWidth="1"/>
    <col min="11023" max="11024" width="25.85546875" style="4" customWidth="1"/>
    <col min="11025" max="11028" width="47.85546875" style="4" customWidth="1"/>
    <col min="11029" max="11264" width="8.7109375" style="4" customWidth="1"/>
    <col min="11265" max="11265" width="20.85546875" style="4" customWidth="1"/>
    <col min="11266" max="11275" width="47.85546875" style="4" customWidth="1"/>
    <col min="11276" max="11277" width="25.85546875" style="4" customWidth="1"/>
    <col min="11278" max="11278" width="47.85546875" style="4" customWidth="1"/>
    <col min="11279" max="11280" width="25.85546875" style="4" customWidth="1"/>
    <col min="11281" max="11284" width="47.85546875" style="4" customWidth="1"/>
    <col min="11285" max="11520" width="8.7109375" style="4" customWidth="1"/>
    <col min="11521" max="11521" width="20.85546875" style="4" customWidth="1"/>
    <col min="11522" max="11531" width="47.85546875" style="4" customWidth="1"/>
    <col min="11532" max="11533" width="25.85546875" style="4" customWidth="1"/>
    <col min="11534" max="11534" width="47.85546875" style="4" customWidth="1"/>
    <col min="11535" max="11536" width="25.85546875" style="4" customWidth="1"/>
    <col min="11537" max="11540" width="47.85546875" style="4" customWidth="1"/>
    <col min="11541" max="11776" width="8.7109375" style="4" customWidth="1"/>
    <col min="11777" max="11777" width="20.85546875" style="4" customWidth="1"/>
    <col min="11778" max="11787" width="47.85546875" style="4" customWidth="1"/>
    <col min="11788" max="11789" width="25.85546875" style="4" customWidth="1"/>
    <col min="11790" max="11790" width="47.85546875" style="4" customWidth="1"/>
    <col min="11791" max="11792" width="25.85546875" style="4" customWidth="1"/>
    <col min="11793" max="11796" width="47.85546875" style="4" customWidth="1"/>
    <col min="11797" max="12032" width="8.7109375" style="4" customWidth="1"/>
    <col min="12033" max="12033" width="20.85546875" style="4" customWidth="1"/>
    <col min="12034" max="12043" width="47.85546875" style="4" customWidth="1"/>
    <col min="12044" max="12045" width="25.85546875" style="4" customWidth="1"/>
    <col min="12046" max="12046" width="47.85546875" style="4" customWidth="1"/>
    <col min="12047" max="12048" width="25.85546875" style="4" customWidth="1"/>
    <col min="12049" max="12052" width="47.85546875" style="4" customWidth="1"/>
    <col min="12053" max="12288" width="8.7109375" style="4" customWidth="1"/>
    <col min="12289" max="12289" width="20.85546875" style="4" customWidth="1"/>
    <col min="12290" max="12299" width="47.85546875" style="4" customWidth="1"/>
    <col min="12300" max="12301" width="25.85546875" style="4" customWidth="1"/>
    <col min="12302" max="12302" width="47.85546875" style="4" customWidth="1"/>
    <col min="12303" max="12304" width="25.85546875" style="4" customWidth="1"/>
    <col min="12305" max="12308" width="47.85546875" style="4" customWidth="1"/>
    <col min="12309" max="12544" width="8.7109375" style="4" customWidth="1"/>
    <col min="12545" max="12545" width="20.85546875" style="4" customWidth="1"/>
    <col min="12546" max="12555" width="47.85546875" style="4" customWidth="1"/>
    <col min="12556" max="12557" width="25.85546875" style="4" customWidth="1"/>
    <col min="12558" max="12558" width="47.85546875" style="4" customWidth="1"/>
    <col min="12559" max="12560" width="25.85546875" style="4" customWidth="1"/>
    <col min="12561" max="12564" width="47.85546875" style="4" customWidth="1"/>
    <col min="12565" max="12800" width="8.7109375" style="4" customWidth="1"/>
    <col min="12801" max="12801" width="20.85546875" style="4" customWidth="1"/>
    <col min="12802" max="12811" width="47.85546875" style="4" customWidth="1"/>
    <col min="12812" max="12813" width="25.85546875" style="4" customWidth="1"/>
    <col min="12814" max="12814" width="47.85546875" style="4" customWidth="1"/>
    <col min="12815" max="12816" width="25.85546875" style="4" customWidth="1"/>
    <col min="12817" max="12820" width="47.85546875" style="4" customWidth="1"/>
    <col min="12821" max="13056" width="8.7109375" style="4" customWidth="1"/>
    <col min="13057" max="13057" width="20.85546875" style="4" customWidth="1"/>
    <col min="13058" max="13067" width="47.85546875" style="4" customWidth="1"/>
    <col min="13068" max="13069" width="25.85546875" style="4" customWidth="1"/>
    <col min="13070" max="13070" width="47.85546875" style="4" customWidth="1"/>
    <col min="13071" max="13072" width="25.85546875" style="4" customWidth="1"/>
    <col min="13073" max="13076" width="47.85546875" style="4" customWidth="1"/>
    <col min="13077" max="13312" width="8.7109375" style="4" customWidth="1"/>
    <col min="13313" max="13313" width="20.85546875" style="4" customWidth="1"/>
    <col min="13314" max="13323" width="47.85546875" style="4" customWidth="1"/>
    <col min="13324" max="13325" width="25.85546875" style="4" customWidth="1"/>
    <col min="13326" max="13326" width="47.85546875" style="4" customWidth="1"/>
    <col min="13327" max="13328" width="25.85546875" style="4" customWidth="1"/>
    <col min="13329" max="13332" width="47.85546875" style="4" customWidth="1"/>
    <col min="13333" max="13568" width="8.7109375" style="4" customWidth="1"/>
    <col min="13569" max="13569" width="20.85546875" style="4" customWidth="1"/>
    <col min="13570" max="13579" width="47.85546875" style="4" customWidth="1"/>
    <col min="13580" max="13581" width="25.85546875" style="4" customWidth="1"/>
    <col min="13582" max="13582" width="47.85546875" style="4" customWidth="1"/>
    <col min="13583" max="13584" width="25.85546875" style="4" customWidth="1"/>
    <col min="13585" max="13588" width="47.85546875" style="4" customWidth="1"/>
    <col min="13589" max="13824" width="8.7109375" style="4" customWidth="1"/>
    <col min="13825" max="13825" width="20.85546875" style="4" customWidth="1"/>
    <col min="13826" max="13835" width="47.85546875" style="4" customWidth="1"/>
    <col min="13836" max="13837" width="25.85546875" style="4" customWidth="1"/>
    <col min="13838" max="13838" width="47.85546875" style="4" customWidth="1"/>
    <col min="13839" max="13840" width="25.85546875" style="4" customWidth="1"/>
    <col min="13841" max="13844" width="47.85546875" style="4" customWidth="1"/>
    <col min="13845" max="14080" width="8.7109375" style="4" customWidth="1"/>
    <col min="14081" max="14081" width="20.85546875" style="4" customWidth="1"/>
    <col min="14082" max="14091" width="47.85546875" style="4" customWidth="1"/>
    <col min="14092" max="14093" width="25.85546875" style="4" customWidth="1"/>
    <col min="14094" max="14094" width="47.85546875" style="4" customWidth="1"/>
    <col min="14095" max="14096" width="25.85546875" style="4" customWidth="1"/>
    <col min="14097" max="14100" width="47.85546875" style="4" customWidth="1"/>
    <col min="14101" max="14336" width="8.7109375" style="4" customWidth="1"/>
    <col min="14337" max="14337" width="20.85546875" style="4" customWidth="1"/>
    <col min="14338" max="14347" width="47.85546875" style="4" customWidth="1"/>
    <col min="14348" max="14349" width="25.85546875" style="4" customWidth="1"/>
    <col min="14350" max="14350" width="47.85546875" style="4" customWidth="1"/>
    <col min="14351" max="14352" width="25.85546875" style="4" customWidth="1"/>
    <col min="14353" max="14356" width="47.85546875" style="4" customWidth="1"/>
    <col min="14357" max="14592" width="8.7109375" style="4" customWidth="1"/>
    <col min="14593" max="14593" width="20.85546875" style="4" customWidth="1"/>
    <col min="14594" max="14603" width="47.85546875" style="4" customWidth="1"/>
    <col min="14604" max="14605" width="25.85546875" style="4" customWidth="1"/>
    <col min="14606" max="14606" width="47.85546875" style="4" customWidth="1"/>
    <col min="14607" max="14608" width="25.85546875" style="4" customWidth="1"/>
    <col min="14609" max="14612" width="47.85546875" style="4" customWidth="1"/>
    <col min="14613" max="14848" width="8.7109375" style="4" customWidth="1"/>
    <col min="14849" max="14849" width="20.85546875" style="4" customWidth="1"/>
    <col min="14850" max="14859" width="47.85546875" style="4" customWidth="1"/>
    <col min="14860" max="14861" width="25.85546875" style="4" customWidth="1"/>
    <col min="14862" max="14862" width="47.85546875" style="4" customWidth="1"/>
    <col min="14863" max="14864" width="25.85546875" style="4" customWidth="1"/>
    <col min="14865" max="14868" width="47.85546875" style="4" customWidth="1"/>
    <col min="14869" max="15104" width="8.7109375" style="4" customWidth="1"/>
    <col min="15105" max="15105" width="20.85546875" style="4" customWidth="1"/>
    <col min="15106" max="15115" width="47.85546875" style="4" customWidth="1"/>
    <col min="15116" max="15117" width="25.85546875" style="4" customWidth="1"/>
    <col min="15118" max="15118" width="47.85546875" style="4" customWidth="1"/>
    <col min="15119" max="15120" width="25.85546875" style="4" customWidth="1"/>
    <col min="15121" max="15124" width="47.85546875" style="4" customWidth="1"/>
    <col min="15125" max="15360" width="8.7109375" style="4" customWidth="1"/>
    <col min="15361" max="15361" width="20.85546875" style="4" customWidth="1"/>
    <col min="15362" max="15371" width="47.85546875" style="4" customWidth="1"/>
    <col min="15372" max="15373" width="25.85546875" style="4" customWidth="1"/>
    <col min="15374" max="15374" width="47.85546875" style="4" customWidth="1"/>
    <col min="15375" max="15376" width="25.85546875" style="4" customWidth="1"/>
    <col min="15377" max="15380" width="47.85546875" style="4" customWidth="1"/>
    <col min="15381" max="15616" width="8.7109375" style="4" customWidth="1"/>
    <col min="15617" max="15617" width="20.85546875" style="4" customWidth="1"/>
    <col min="15618" max="15627" width="47.85546875" style="4" customWidth="1"/>
    <col min="15628" max="15629" width="25.85546875" style="4" customWidth="1"/>
    <col min="15630" max="15630" width="47.85546875" style="4" customWidth="1"/>
    <col min="15631" max="15632" width="25.85546875" style="4" customWidth="1"/>
    <col min="15633" max="15636" width="47.85546875" style="4" customWidth="1"/>
    <col min="15637" max="15872" width="8.7109375" style="4" customWidth="1"/>
    <col min="15873" max="15873" width="20.85546875" style="4" customWidth="1"/>
    <col min="15874" max="15883" width="47.85546875" style="4" customWidth="1"/>
    <col min="15884" max="15885" width="25.85546875" style="4" customWidth="1"/>
    <col min="15886" max="15886" width="47.85546875" style="4" customWidth="1"/>
    <col min="15887" max="15888" width="25.85546875" style="4" customWidth="1"/>
    <col min="15889" max="15892" width="47.85546875" style="4" customWidth="1"/>
    <col min="15893" max="16128" width="8.7109375" style="4" customWidth="1"/>
    <col min="16129" max="16129" width="20.85546875" style="4" customWidth="1"/>
    <col min="16130" max="16139" width="47.85546875" style="4" customWidth="1"/>
    <col min="16140" max="16141" width="25.85546875" style="4" customWidth="1"/>
    <col min="16142" max="16142" width="47.85546875" style="4" customWidth="1"/>
    <col min="16143" max="16144" width="25.85546875" style="4" customWidth="1"/>
    <col min="16145" max="16148" width="47.85546875" style="4" customWidth="1"/>
    <col min="16149" max="16384" width="8.7109375" style="4" customWidth="1"/>
  </cols>
  <sheetData>
    <row r="1" spans="1:255" s="359" customFormat="1" x14ac:dyDescent="0.2"/>
    <row r="2" spans="1:255" s="359" customFormat="1" x14ac:dyDescent="0.2"/>
    <row r="3" spans="1:255" s="359" customFormat="1" x14ac:dyDescent="0.2"/>
    <row r="4" spans="1:255" s="359" customFormat="1" ht="15.75" x14ac:dyDescent="0.2">
      <c r="A4" s="360" t="s">
        <v>769</v>
      </c>
    </row>
    <row r="5" spans="1:255" s="359" customFormat="1" x14ac:dyDescent="0.2"/>
    <row r="6" spans="1:255" s="359" customFormat="1" x14ac:dyDescent="0.2"/>
    <row r="7" spans="1:255" s="359" customFormat="1" x14ac:dyDescent="0.2">
      <c r="A7" s="361" t="s">
        <v>770</v>
      </c>
      <c r="B7" s="361"/>
      <c r="C7" s="361"/>
      <c r="D7" s="361"/>
      <c r="E7" s="361"/>
      <c r="F7" s="361"/>
      <c r="G7" s="361"/>
      <c r="H7" s="361"/>
      <c r="I7" s="361"/>
      <c r="J7" s="361"/>
      <c r="K7" s="361"/>
      <c r="L7" s="361"/>
      <c r="M7" s="361"/>
      <c r="N7" s="361"/>
      <c r="O7" s="362"/>
      <c r="P7" s="362"/>
      <c r="Q7" s="362"/>
      <c r="R7" s="362"/>
      <c r="S7" s="362"/>
      <c r="T7" s="362"/>
      <c r="U7" s="362"/>
      <c r="V7" s="362"/>
      <c r="W7" s="362"/>
      <c r="X7" s="362"/>
      <c r="Y7" s="362"/>
      <c r="Z7" s="362"/>
      <c r="AA7" s="362"/>
      <c r="AB7" s="362"/>
      <c r="AC7" s="362"/>
      <c r="AD7" s="362"/>
      <c r="AE7" s="362"/>
      <c r="AF7" s="362"/>
      <c r="AG7" s="362"/>
      <c r="AH7" s="362"/>
      <c r="AI7" s="362"/>
      <c r="AJ7" s="362"/>
      <c r="AK7" s="362"/>
      <c r="AL7" s="362"/>
      <c r="AM7" s="362"/>
      <c r="AN7" s="362"/>
      <c r="AO7" s="362"/>
      <c r="AP7" s="362"/>
      <c r="AQ7" s="362"/>
      <c r="AR7" s="362"/>
      <c r="AS7" s="362"/>
      <c r="AT7" s="362"/>
      <c r="AU7" s="362"/>
      <c r="AV7" s="362"/>
      <c r="AW7" s="362"/>
      <c r="AX7" s="362"/>
      <c r="AY7" s="362"/>
      <c r="AZ7" s="362"/>
      <c r="BA7" s="362"/>
      <c r="BB7" s="362"/>
      <c r="BC7" s="362"/>
      <c r="BD7" s="362"/>
      <c r="BE7" s="362"/>
      <c r="BF7" s="362"/>
      <c r="BG7" s="362"/>
      <c r="BH7" s="362"/>
      <c r="BI7" s="362"/>
      <c r="BJ7" s="362"/>
      <c r="BK7" s="362"/>
      <c r="BL7" s="362"/>
      <c r="BM7" s="362"/>
      <c r="BN7" s="362"/>
      <c r="BO7" s="362"/>
      <c r="BP7" s="362"/>
      <c r="BQ7" s="362"/>
      <c r="BR7" s="362"/>
      <c r="BS7" s="362"/>
      <c r="BT7" s="362"/>
      <c r="BU7" s="362"/>
      <c r="BV7" s="362"/>
      <c r="BW7" s="362"/>
      <c r="BX7" s="362"/>
      <c r="BY7" s="362"/>
      <c r="BZ7" s="362"/>
      <c r="CA7" s="362"/>
      <c r="CB7" s="362"/>
      <c r="CC7" s="362"/>
      <c r="CD7" s="362"/>
      <c r="CE7" s="362"/>
      <c r="CF7" s="362"/>
      <c r="CG7" s="362"/>
      <c r="CH7" s="362"/>
      <c r="CI7" s="362"/>
      <c r="CJ7" s="362"/>
      <c r="CK7" s="362"/>
      <c r="CL7" s="362"/>
      <c r="CM7" s="362"/>
      <c r="CN7" s="362"/>
      <c r="CO7" s="362"/>
      <c r="CP7" s="362"/>
      <c r="CQ7" s="362"/>
      <c r="CR7" s="362"/>
      <c r="CS7" s="362"/>
      <c r="CT7" s="362"/>
      <c r="CU7" s="362"/>
      <c r="CV7" s="362"/>
      <c r="CW7" s="362"/>
      <c r="CX7" s="362"/>
      <c r="CY7" s="362"/>
      <c r="CZ7" s="362"/>
      <c r="DA7" s="362"/>
      <c r="DB7" s="362"/>
      <c r="DC7" s="362"/>
      <c r="DD7" s="362"/>
      <c r="DE7" s="362"/>
      <c r="DF7" s="362"/>
      <c r="DG7" s="362"/>
      <c r="DH7" s="362"/>
      <c r="DI7" s="362"/>
      <c r="DJ7" s="362"/>
      <c r="DK7" s="362"/>
      <c r="DL7" s="362"/>
      <c r="DM7" s="362"/>
      <c r="DN7" s="362"/>
      <c r="DO7" s="362"/>
      <c r="DP7" s="362"/>
      <c r="DQ7" s="362"/>
      <c r="DR7" s="362"/>
      <c r="DS7" s="362"/>
      <c r="DT7" s="362"/>
      <c r="DU7" s="362"/>
      <c r="DV7" s="362"/>
      <c r="DW7" s="362"/>
      <c r="DX7" s="362"/>
      <c r="DY7" s="362"/>
      <c r="DZ7" s="362"/>
      <c r="EA7" s="362"/>
      <c r="EB7" s="362"/>
      <c r="EC7" s="362"/>
      <c r="ED7" s="362"/>
      <c r="EE7" s="362"/>
      <c r="EF7" s="362"/>
      <c r="EG7" s="362"/>
      <c r="EH7" s="362"/>
      <c r="EI7" s="362"/>
      <c r="EJ7" s="362"/>
      <c r="EK7" s="362"/>
      <c r="EL7" s="362"/>
      <c r="EM7" s="362"/>
      <c r="EN7" s="362"/>
      <c r="EO7" s="362"/>
      <c r="EP7" s="362"/>
      <c r="EQ7" s="362"/>
      <c r="ER7" s="362"/>
      <c r="ES7" s="362"/>
      <c r="ET7" s="362"/>
      <c r="EU7" s="362"/>
      <c r="EV7" s="362"/>
      <c r="EW7" s="362"/>
      <c r="EX7" s="362"/>
      <c r="EY7" s="362"/>
      <c r="EZ7" s="362"/>
      <c r="FA7" s="362"/>
      <c r="FB7" s="362"/>
      <c r="FC7" s="362"/>
      <c r="FD7" s="362"/>
      <c r="FE7" s="362"/>
      <c r="FF7" s="362"/>
      <c r="FG7" s="362"/>
      <c r="FH7" s="362"/>
      <c r="FI7" s="362"/>
      <c r="FJ7" s="362"/>
      <c r="FK7" s="362"/>
      <c r="FL7" s="362"/>
      <c r="FM7" s="362"/>
      <c r="FN7" s="362"/>
      <c r="FO7" s="362"/>
      <c r="FP7" s="362"/>
      <c r="FQ7" s="362"/>
      <c r="FR7" s="362"/>
      <c r="FS7" s="362"/>
      <c r="FT7" s="362"/>
      <c r="FU7" s="362"/>
      <c r="FV7" s="362"/>
      <c r="FW7" s="362"/>
      <c r="FX7" s="362"/>
      <c r="FY7" s="362"/>
      <c r="FZ7" s="362"/>
      <c r="GA7" s="362"/>
      <c r="GB7" s="362"/>
      <c r="GC7" s="362"/>
      <c r="GD7" s="362"/>
      <c r="GE7" s="362"/>
      <c r="GF7" s="362"/>
      <c r="GG7" s="362"/>
      <c r="GH7" s="362"/>
      <c r="GI7" s="362"/>
      <c r="GJ7" s="362"/>
      <c r="GK7" s="362"/>
      <c r="GL7" s="362"/>
      <c r="GM7" s="362"/>
      <c r="GN7" s="362"/>
      <c r="GO7" s="362"/>
      <c r="GP7" s="362"/>
      <c r="GQ7" s="362"/>
      <c r="GR7" s="362"/>
      <c r="GS7" s="362"/>
      <c r="GT7" s="362"/>
      <c r="GU7" s="362"/>
      <c r="GV7" s="362"/>
      <c r="GW7" s="362"/>
      <c r="GX7" s="362"/>
      <c r="GY7" s="362"/>
      <c r="GZ7" s="362"/>
      <c r="HA7" s="362"/>
      <c r="HB7" s="362"/>
      <c r="HC7" s="362"/>
      <c r="HD7" s="362"/>
      <c r="HE7" s="362"/>
      <c r="HF7" s="362"/>
      <c r="HG7" s="362"/>
      <c r="HH7" s="362"/>
      <c r="HI7" s="362"/>
      <c r="HJ7" s="362"/>
      <c r="HK7" s="362"/>
      <c r="HL7" s="362"/>
      <c r="HM7" s="362"/>
      <c r="HN7" s="362"/>
      <c r="HO7" s="362"/>
      <c r="HP7" s="362"/>
      <c r="HQ7" s="362"/>
      <c r="HR7" s="362"/>
      <c r="HS7" s="362"/>
      <c r="HT7" s="362"/>
      <c r="HU7" s="362"/>
      <c r="HV7" s="362"/>
      <c r="HW7" s="362"/>
      <c r="HX7" s="362"/>
      <c r="HY7" s="362"/>
      <c r="HZ7" s="362"/>
      <c r="IA7" s="362"/>
      <c r="IB7" s="362"/>
      <c r="IC7" s="362"/>
      <c r="ID7" s="362"/>
      <c r="IE7" s="362"/>
      <c r="IF7" s="362"/>
      <c r="IG7" s="362"/>
      <c r="IH7" s="362"/>
      <c r="II7" s="362"/>
      <c r="IJ7" s="362"/>
      <c r="IK7" s="362"/>
      <c r="IL7" s="362"/>
      <c r="IM7" s="362"/>
      <c r="IN7" s="362"/>
      <c r="IO7" s="362"/>
      <c r="IP7" s="362"/>
      <c r="IQ7" s="362"/>
      <c r="IR7" s="362"/>
      <c r="IS7" s="362"/>
      <c r="IT7" s="362"/>
      <c r="IU7" s="362"/>
    </row>
    <row r="8" spans="1:255" s="359" customFormat="1" x14ac:dyDescent="0.2">
      <c r="A8" s="363" t="s">
        <v>771</v>
      </c>
      <c r="B8" s="364" t="s">
        <v>772</v>
      </c>
    </row>
    <row r="9" spans="1:255" s="359" customFormat="1" x14ac:dyDescent="0.2">
      <c r="A9" s="363" t="s">
        <v>773</v>
      </c>
      <c r="B9" s="364" t="s">
        <v>774</v>
      </c>
    </row>
    <row r="10" spans="1:255" s="359" customFormat="1" x14ac:dyDescent="0.2">
      <c r="A10" s="363" t="s">
        <v>775</v>
      </c>
      <c r="B10" s="365">
        <v>45657</v>
      </c>
    </row>
    <row r="11" spans="1:255" s="359" customFormat="1" x14ac:dyDescent="0.2">
      <c r="A11" s="366"/>
    </row>
    <row r="12" spans="1:255" s="359" customFormat="1" x14ac:dyDescent="0.2"/>
    <row r="13" spans="1:255" s="359" customFormat="1" x14ac:dyDescent="0.2">
      <c r="A13" s="361" t="s">
        <v>776</v>
      </c>
      <c r="B13" s="361"/>
      <c r="C13" s="361"/>
      <c r="D13" s="361"/>
      <c r="E13" s="361"/>
      <c r="F13" s="361"/>
      <c r="G13" s="361"/>
      <c r="H13" s="361"/>
      <c r="I13" s="361"/>
      <c r="J13" s="361"/>
      <c r="K13" s="361"/>
      <c r="L13" s="361"/>
      <c r="M13" s="361"/>
      <c r="N13" s="361"/>
      <c r="O13" s="362"/>
      <c r="P13" s="362"/>
      <c r="Q13" s="362"/>
      <c r="R13" s="362"/>
      <c r="S13" s="362"/>
      <c r="T13" s="362"/>
      <c r="U13" s="362"/>
      <c r="V13" s="362"/>
      <c r="W13" s="362"/>
      <c r="X13" s="362"/>
      <c r="Y13" s="362"/>
      <c r="Z13" s="362"/>
      <c r="AA13" s="362"/>
      <c r="AB13" s="362"/>
      <c r="AC13" s="362"/>
      <c r="AD13" s="362"/>
      <c r="AE13" s="362"/>
      <c r="AF13" s="362"/>
      <c r="AG13" s="362"/>
      <c r="AH13" s="362"/>
      <c r="AI13" s="362"/>
      <c r="AJ13" s="362"/>
      <c r="AK13" s="362"/>
      <c r="AL13" s="362"/>
      <c r="AM13" s="362"/>
      <c r="AN13" s="362"/>
      <c r="AO13" s="362"/>
      <c r="AP13" s="362"/>
      <c r="AQ13" s="362"/>
      <c r="AR13" s="362"/>
      <c r="AS13" s="362"/>
      <c r="AT13" s="362"/>
      <c r="AU13" s="362"/>
      <c r="AV13" s="362"/>
      <c r="AW13" s="362"/>
      <c r="AX13" s="362"/>
      <c r="AY13" s="362"/>
      <c r="AZ13" s="362"/>
      <c r="BA13" s="362"/>
      <c r="BB13" s="362"/>
      <c r="BC13" s="362"/>
      <c r="BD13" s="362"/>
      <c r="BE13" s="362"/>
      <c r="BF13" s="362"/>
      <c r="BG13" s="362"/>
      <c r="BH13" s="362"/>
      <c r="BI13" s="362"/>
      <c r="BJ13" s="362"/>
      <c r="BK13" s="362"/>
      <c r="BL13" s="362"/>
      <c r="BM13" s="362"/>
      <c r="BN13" s="362"/>
      <c r="BO13" s="362"/>
      <c r="BP13" s="362"/>
      <c r="BQ13" s="362"/>
      <c r="BR13" s="362"/>
      <c r="BS13" s="362"/>
      <c r="BT13" s="362"/>
      <c r="BU13" s="362"/>
      <c r="BV13" s="362"/>
      <c r="BW13" s="362"/>
      <c r="BX13" s="362"/>
      <c r="BY13" s="362"/>
      <c r="BZ13" s="362"/>
      <c r="CA13" s="362"/>
      <c r="CB13" s="362"/>
      <c r="CC13" s="362"/>
      <c r="CD13" s="362"/>
      <c r="CE13" s="362"/>
      <c r="CF13" s="362"/>
      <c r="CG13" s="362"/>
      <c r="CH13" s="362"/>
      <c r="CI13" s="362"/>
      <c r="CJ13" s="362"/>
      <c r="CK13" s="362"/>
      <c r="CL13" s="362"/>
      <c r="CM13" s="362"/>
      <c r="CN13" s="362"/>
      <c r="CO13" s="362"/>
      <c r="CP13" s="362"/>
      <c r="CQ13" s="362"/>
      <c r="CR13" s="362"/>
      <c r="CS13" s="362"/>
      <c r="CT13" s="362"/>
      <c r="CU13" s="362"/>
      <c r="CV13" s="362"/>
      <c r="CW13" s="362"/>
      <c r="CX13" s="362"/>
      <c r="CY13" s="362"/>
      <c r="CZ13" s="362"/>
      <c r="DA13" s="362"/>
      <c r="DB13" s="362"/>
      <c r="DC13" s="362"/>
      <c r="DD13" s="362"/>
      <c r="DE13" s="362"/>
      <c r="DF13" s="362"/>
      <c r="DG13" s="362"/>
      <c r="DH13" s="362"/>
      <c r="DI13" s="362"/>
      <c r="DJ13" s="362"/>
      <c r="DK13" s="362"/>
      <c r="DL13" s="362"/>
      <c r="DM13" s="362"/>
      <c r="DN13" s="362"/>
      <c r="DO13" s="362"/>
      <c r="DP13" s="362"/>
      <c r="DQ13" s="362"/>
      <c r="DR13" s="362"/>
      <c r="DS13" s="362"/>
      <c r="DT13" s="362"/>
      <c r="DU13" s="362"/>
      <c r="DV13" s="362"/>
      <c r="DW13" s="362"/>
      <c r="DX13" s="362"/>
      <c r="DY13" s="362"/>
      <c r="DZ13" s="362"/>
      <c r="EA13" s="362"/>
      <c r="EB13" s="362"/>
      <c r="EC13" s="362"/>
      <c r="ED13" s="362"/>
      <c r="EE13" s="362"/>
      <c r="EF13" s="362"/>
      <c r="EG13" s="362"/>
      <c r="EH13" s="362"/>
      <c r="EI13" s="362"/>
      <c r="EJ13" s="362"/>
      <c r="EK13" s="362"/>
      <c r="EL13" s="362"/>
      <c r="EM13" s="362"/>
      <c r="EN13" s="362"/>
      <c r="EO13" s="362"/>
      <c r="EP13" s="362"/>
      <c r="EQ13" s="362"/>
      <c r="ER13" s="362"/>
      <c r="ES13" s="362"/>
      <c r="ET13" s="362"/>
      <c r="EU13" s="362"/>
      <c r="EV13" s="362"/>
      <c r="EW13" s="362"/>
      <c r="EX13" s="362"/>
      <c r="EY13" s="362"/>
      <c r="EZ13" s="362"/>
      <c r="FA13" s="362"/>
      <c r="FB13" s="362"/>
      <c r="FC13" s="362"/>
      <c r="FD13" s="362"/>
      <c r="FE13" s="362"/>
      <c r="FF13" s="362"/>
      <c r="FG13" s="362"/>
      <c r="FH13" s="362"/>
      <c r="FI13" s="362"/>
      <c r="FJ13" s="362"/>
      <c r="FK13" s="362"/>
      <c r="FL13" s="362"/>
      <c r="FM13" s="362"/>
      <c r="FN13" s="362"/>
      <c r="FO13" s="362"/>
      <c r="FP13" s="362"/>
      <c r="FQ13" s="362"/>
      <c r="FR13" s="362"/>
      <c r="FS13" s="362"/>
      <c r="FT13" s="362"/>
      <c r="FU13" s="362"/>
      <c r="FV13" s="362"/>
      <c r="FW13" s="362"/>
      <c r="FX13" s="362"/>
      <c r="FY13" s="362"/>
      <c r="FZ13" s="362"/>
      <c r="GA13" s="362"/>
      <c r="GB13" s="362"/>
      <c r="GC13" s="362"/>
      <c r="GD13" s="362"/>
      <c r="GE13" s="362"/>
      <c r="GF13" s="362"/>
      <c r="GG13" s="362"/>
      <c r="GH13" s="362"/>
      <c r="GI13" s="362"/>
      <c r="GJ13" s="362"/>
      <c r="GK13" s="362"/>
      <c r="GL13" s="362"/>
      <c r="GM13" s="362"/>
      <c r="GN13" s="362"/>
      <c r="GO13" s="362"/>
      <c r="GP13" s="362"/>
      <c r="GQ13" s="362"/>
      <c r="GR13" s="362"/>
      <c r="GS13" s="362"/>
      <c r="GT13" s="362"/>
      <c r="GU13" s="362"/>
      <c r="GV13" s="362"/>
      <c r="GW13" s="362"/>
      <c r="GX13" s="362"/>
      <c r="GY13" s="362"/>
      <c r="GZ13" s="362"/>
      <c r="HA13" s="362"/>
      <c r="HB13" s="362"/>
      <c r="HC13" s="362"/>
      <c r="HD13" s="362"/>
      <c r="HE13" s="362"/>
      <c r="HF13" s="362"/>
      <c r="HG13" s="362"/>
      <c r="HH13" s="362"/>
      <c r="HI13" s="362"/>
      <c r="HJ13" s="362"/>
      <c r="HK13" s="362"/>
      <c r="HL13" s="362"/>
      <c r="HM13" s="362"/>
      <c r="HN13" s="362"/>
      <c r="HO13" s="362"/>
      <c r="HP13" s="362"/>
      <c r="HQ13" s="362"/>
      <c r="HR13" s="362"/>
      <c r="HS13" s="362"/>
      <c r="HT13" s="362"/>
      <c r="HU13" s="362"/>
      <c r="HV13" s="362"/>
      <c r="HW13" s="362"/>
      <c r="HX13" s="362"/>
      <c r="HY13" s="362"/>
      <c r="HZ13" s="362"/>
      <c r="IA13" s="362"/>
      <c r="IB13" s="362"/>
      <c r="IC13" s="362"/>
      <c r="ID13" s="362"/>
      <c r="IE13" s="362"/>
      <c r="IF13" s="362"/>
      <c r="IG13" s="362"/>
      <c r="IH13" s="362"/>
      <c r="II13" s="362"/>
      <c r="IJ13" s="362"/>
      <c r="IK13" s="362"/>
      <c r="IL13" s="362"/>
      <c r="IM13" s="362"/>
      <c r="IN13" s="362"/>
      <c r="IO13" s="362"/>
      <c r="IP13" s="362"/>
      <c r="IQ13" s="362"/>
      <c r="IR13" s="362"/>
      <c r="IS13" s="362"/>
      <c r="IT13" s="362"/>
      <c r="IU13" s="362"/>
    </row>
    <row r="14" spans="1:255" s="359" customFormat="1" x14ac:dyDescent="0.2">
      <c r="A14" s="367" t="s">
        <v>443</v>
      </c>
      <c r="B14" s="368" t="s">
        <v>666</v>
      </c>
      <c r="C14" s="368" t="s">
        <v>667</v>
      </c>
      <c r="D14" s="368" t="s">
        <v>668</v>
      </c>
      <c r="E14" s="368" t="s">
        <v>669</v>
      </c>
      <c r="F14" s="368" t="s">
        <v>670</v>
      </c>
      <c r="G14" s="368" t="s">
        <v>671</v>
      </c>
      <c r="H14" s="368" t="s">
        <v>672</v>
      </c>
      <c r="I14" s="368" t="s">
        <v>673</v>
      </c>
      <c r="J14" s="369" t="s">
        <v>674</v>
      </c>
      <c r="K14" s="368" t="s">
        <v>588</v>
      </c>
      <c r="L14" s="368" t="s">
        <v>590</v>
      </c>
      <c r="M14" s="368" t="s">
        <v>587</v>
      </c>
      <c r="N14" s="368" t="s">
        <v>675</v>
      </c>
    </row>
    <row r="15" spans="1:255" s="359" customFormat="1" ht="12" customHeight="1" x14ac:dyDescent="0.2">
      <c r="A15" s="367" t="s">
        <v>777</v>
      </c>
      <c r="B15" s="370">
        <v>113.86</v>
      </c>
      <c r="C15" s="371">
        <v>222.2</v>
      </c>
      <c r="D15" s="371">
        <v>25295.1</v>
      </c>
      <c r="E15" s="371">
        <v>-2809.3</v>
      </c>
      <c r="F15" s="372" t="s">
        <v>7</v>
      </c>
      <c r="G15" s="370">
        <v>966.8</v>
      </c>
      <c r="H15" s="371">
        <v>23452.6</v>
      </c>
      <c r="I15" s="370">
        <v>32.46</v>
      </c>
      <c r="J15" s="373">
        <v>45597</v>
      </c>
      <c r="K15" s="371">
        <v>6911.1</v>
      </c>
      <c r="L15" s="371">
        <v>2648.4</v>
      </c>
      <c r="M15" s="371">
        <v>2129.1</v>
      </c>
      <c r="N15" s="370">
        <v>9.1300000000000008</v>
      </c>
    </row>
    <row r="16" spans="1:255" s="359" customFormat="1" ht="12" customHeight="1" x14ac:dyDescent="0.2">
      <c r="A16" s="367" t="s">
        <v>778</v>
      </c>
      <c r="B16" s="370">
        <v>17.48</v>
      </c>
      <c r="C16" s="371">
        <v>449.4</v>
      </c>
      <c r="D16" s="371">
        <v>7856.2</v>
      </c>
      <c r="E16" s="371">
        <v>-154.6</v>
      </c>
      <c r="F16" s="370">
        <v>4010.5</v>
      </c>
      <c r="G16" s="370">
        <v>1152.3</v>
      </c>
      <c r="H16" s="371">
        <v>12864.4</v>
      </c>
      <c r="I16" s="370">
        <v>-8.4600000000000009</v>
      </c>
      <c r="J16" s="373">
        <v>45594</v>
      </c>
      <c r="K16" s="371">
        <v>5887.4</v>
      </c>
      <c r="L16" s="371">
        <v>1053</v>
      </c>
      <c r="M16" s="371">
        <v>871.1</v>
      </c>
      <c r="N16" s="370">
        <v>-0.91</v>
      </c>
    </row>
    <row r="17" spans="1:14" s="359" customFormat="1" ht="12" customHeight="1" x14ac:dyDescent="0.2">
      <c r="A17" s="367" t="s">
        <v>779</v>
      </c>
      <c r="B17" s="370">
        <v>172.05</v>
      </c>
      <c r="C17" s="371">
        <v>767.9</v>
      </c>
      <c r="D17" s="371">
        <v>132116.4</v>
      </c>
      <c r="E17" s="371">
        <v>10343</v>
      </c>
      <c r="F17" s="372" t="s">
        <v>7</v>
      </c>
      <c r="G17" s="370">
        <v>12457.28</v>
      </c>
      <c r="H17" s="372" t="s">
        <v>7</v>
      </c>
      <c r="I17" s="370">
        <v>6.44</v>
      </c>
      <c r="J17" s="373">
        <v>45597</v>
      </c>
      <c r="K17" s="371">
        <v>11138.3</v>
      </c>
      <c r="L17" s="372" t="s">
        <v>7</v>
      </c>
      <c r="M17" s="372" t="s">
        <v>7</v>
      </c>
      <c r="N17" s="370">
        <v>2.9</v>
      </c>
    </row>
    <row r="18" spans="1:14" s="359" customFormat="1" ht="12" customHeight="1" x14ac:dyDescent="0.2">
      <c r="A18" s="367" t="s">
        <v>780</v>
      </c>
      <c r="B18" s="370">
        <v>102.74</v>
      </c>
      <c r="C18" s="371">
        <v>198.2</v>
      </c>
      <c r="D18" s="371">
        <v>20365</v>
      </c>
      <c r="E18" s="371">
        <v>7781.3</v>
      </c>
      <c r="F18" s="370">
        <v>884.9</v>
      </c>
      <c r="G18" s="372" t="s">
        <v>7</v>
      </c>
      <c r="H18" s="372" t="s">
        <v>7</v>
      </c>
      <c r="I18" s="370">
        <v>45.57</v>
      </c>
      <c r="J18" s="373">
        <v>45594</v>
      </c>
      <c r="K18" s="371">
        <v>7857.6</v>
      </c>
      <c r="L18" s="372" t="s">
        <v>7</v>
      </c>
      <c r="M18" s="372" t="s">
        <v>7</v>
      </c>
      <c r="N18" s="370">
        <v>8</v>
      </c>
    </row>
    <row r="19" spans="1:14" s="359" customFormat="1" ht="12" customHeight="1" x14ac:dyDescent="0.2">
      <c r="A19" s="367" t="s">
        <v>781</v>
      </c>
      <c r="B19" s="370">
        <v>1027.43</v>
      </c>
      <c r="C19" s="371">
        <v>154.9</v>
      </c>
      <c r="D19" s="371">
        <v>159127.29999999999</v>
      </c>
      <c r="E19" s="371">
        <v>-237</v>
      </c>
      <c r="F19" s="372" t="s">
        <v>7</v>
      </c>
      <c r="G19" s="370">
        <v>2446</v>
      </c>
      <c r="H19" s="371">
        <v>161336.29999999999</v>
      </c>
      <c r="I19" s="370">
        <v>49.87</v>
      </c>
      <c r="J19" s="373">
        <v>45603</v>
      </c>
      <c r="K19" s="371">
        <v>19361</v>
      </c>
      <c r="L19" s="371">
        <v>7674</v>
      </c>
      <c r="M19" s="371">
        <v>7234</v>
      </c>
      <c r="N19" s="370">
        <v>40.520000000000003</v>
      </c>
    </row>
    <row r="20" spans="1:14" s="359" customFormat="1" ht="12" customHeight="1" x14ac:dyDescent="0.2">
      <c r="A20" s="367" t="s">
        <v>782</v>
      </c>
      <c r="B20" s="370">
        <v>50.52</v>
      </c>
      <c r="C20" s="371">
        <v>357.7</v>
      </c>
      <c r="D20" s="371">
        <v>18070.099999999999</v>
      </c>
      <c r="E20" s="371">
        <v>7381.7</v>
      </c>
      <c r="F20" s="372" t="s">
        <v>7</v>
      </c>
      <c r="G20" s="370">
        <v>788.7</v>
      </c>
      <c r="H20" s="372" t="s">
        <v>7</v>
      </c>
      <c r="I20" s="370">
        <v>13.63</v>
      </c>
      <c r="J20" s="373">
        <v>45603</v>
      </c>
      <c r="K20" s="371">
        <v>4636.5</v>
      </c>
      <c r="L20" s="372" t="s">
        <v>7</v>
      </c>
      <c r="M20" s="372" t="s">
        <v>7</v>
      </c>
      <c r="N20" s="370">
        <v>0.33</v>
      </c>
    </row>
    <row r="21" spans="1:14" s="359" customFormat="1" ht="12" customHeight="1" x14ac:dyDescent="0.2">
      <c r="A21" s="367" t="s">
        <v>783</v>
      </c>
      <c r="B21" s="370">
        <v>63.41</v>
      </c>
      <c r="C21" s="371">
        <v>104.1</v>
      </c>
      <c r="D21" s="371">
        <v>6598.2</v>
      </c>
      <c r="E21" s="371">
        <v>385.4</v>
      </c>
      <c r="F21" s="372" t="s">
        <v>7</v>
      </c>
      <c r="G21" s="370">
        <v>2663.93</v>
      </c>
      <c r="H21" s="371">
        <v>9647.5</v>
      </c>
      <c r="I21" s="370">
        <v>-2.69</v>
      </c>
      <c r="J21" s="373">
        <v>45600</v>
      </c>
      <c r="K21" s="371">
        <v>3406.8</v>
      </c>
      <c r="L21" s="371">
        <v>204.1</v>
      </c>
      <c r="M21" s="371">
        <v>83.2</v>
      </c>
      <c r="N21" s="370">
        <v>-0.34</v>
      </c>
    </row>
    <row r="22" spans="1:14" s="359" customFormat="1" ht="12" customHeight="1" x14ac:dyDescent="0.2">
      <c r="A22" s="367" t="s">
        <v>784</v>
      </c>
      <c r="B22" s="370">
        <v>73.930000000000007</v>
      </c>
      <c r="C22" s="371">
        <v>1830.6</v>
      </c>
      <c r="D22" s="371">
        <v>135333</v>
      </c>
      <c r="E22" s="371">
        <v>-4167</v>
      </c>
      <c r="F22" s="370">
        <v>9191</v>
      </c>
      <c r="G22" s="372" t="s">
        <v>7</v>
      </c>
      <c r="H22" s="372" t="s">
        <v>7</v>
      </c>
      <c r="I22" s="370">
        <v>9.9499999999999993</v>
      </c>
      <c r="J22" s="373">
        <v>45604</v>
      </c>
      <c r="K22" s="371">
        <v>18736</v>
      </c>
      <c r="L22" s="372" t="s">
        <v>7</v>
      </c>
      <c r="M22" s="372" t="s">
        <v>7</v>
      </c>
      <c r="N22" s="370">
        <v>2.56</v>
      </c>
    </row>
    <row r="23" spans="1:14" s="359" customFormat="1" ht="12" customHeight="1" x14ac:dyDescent="0.2">
      <c r="A23" s="367" t="s">
        <v>785</v>
      </c>
      <c r="B23" s="370">
        <v>98.28</v>
      </c>
      <c r="C23" s="371">
        <v>293.2</v>
      </c>
      <c r="D23" s="371">
        <v>28810.799999999999</v>
      </c>
      <c r="E23" s="371">
        <v>-68119</v>
      </c>
      <c r="F23" s="370">
        <v>2816</v>
      </c>
      <c r="G23" s="372" t="s">
        <v>7</v>
      </c>
      <c r="H23" s="372" t="s">
        <v>7</v>
      </c>
      <c r="I23" s="370">
        <v>47.63</v>
      </c>
      <c r="J23" s="373">
        <v>45596</v>
      </c>
      <c r="K23" s="371">
        <v>12548</v>
      </c>
      <c r="L23" s="372" t="s">
        <v>7</v>
      </c>
      <c r="M23" s="372" t="s">
        <v>7</v>
      </c>
      <c r="N23" s="370">
        <v>6.3</v>
      </c>
    </row>
    <row r="24" spans="1:14" s="359" customFormat="1" ht="12" customHeight="1" x14ac:dyDescent="0.2">
      <c r="A24" s="367" t="s">
        <v>786</v>
      </c>
      <c r="B24" s="370">
        <v>179.02</v>
      </c>
      <c r="C24" s="371">
        <v>201.9</v>
      </c>
      <c r="D24" s="371">
        <v>36140.6</v>
      </c>
      <c r="E24" s="371">
        <v>12755.3</v>
      </c>
      <c r="F24" s="372" t="s">
        <v>7</v>
      </c>
      <c r="G24" s="370">
        <v>3803.46</v>
      </c>
      <c r="H24" s="371">
        <v>52699.3</v>
      </c>
      <c r="I24" s="370">
        <v>-0.13</v>
      </c>
      <c r="J24" s="373">
        <v>45604</v>
      </c>
      <c r="K24" s="371">
        <v>3679.8</v>
      </c>
      <c r="L24" s="371">
        <v>1138.5999999999999</v>
      </c>
      <c r="M24" s="371">
        <v>982.2</v>
      </c>
      <c r="N24" s="370">
        <v>2.19</v>
      </c>
    </row>
    <row r="25" spans="1:14" s="359" customFormat="1" x14ac:dyDescent="0.2">
      <c r="A25" s="374"/>
      <c r="B25" s="374"/>
      <c r="C25" s="374"/>
      <c r="D25" s="374"/>
      <c r="E25" s="374"/>
      <c r="F25" s="374"/>
      <c r="G25" s="374"/>
      <c r="H25" s="374"/>
      <c r="I25" s="374"/>
      <c r="J25" s="374"/>
      <c r="K25" s="374"/>
      <c r="L25" s="374"/>
      <c r="M25" s="374"/>
      <c r="N25" s="374"/>
    </row>
    <row r="26" spans="1:14" s="359" customFormat="1" x14ac:dyDescent="0.2">
      <c r="A26" s="375"/>
      <c r="B26" s="375"/>
      <c r="C26" s="375"/>
      <c r="D26" s="375"/>
      <c r="E26" s="375"/>
      <c r="F26" s="375"/>
      <c r="G26" s="375"/>
      <c r="H26" s="375"/>
      <c r="I26" s="375"/>
      <c r="J26" s="375"/>
      <c r="K26" s="375"/>
      <c r="L26" s="375"/>
      <c r="M26" s="375"/>
      <c r="N26" s="375"/>
    </row>
    <row r="27" spans="1:14" s="359" customFormat="1" ht="12" customHeight="1" x14ac:dyDescent="0.2">
      <c r="A27" s="367" t="s">
        <v>787</v>
      </c>
      <c r="B27" s="370">
        <v>20.11</v>
      </c>
      <c r="C27" s="371">
        <v>523.70000000000005</v>
      </c>
      <c r="D27" s="371">
        <v>10531</v>
      </c>
      <c r="E27" s="371">
        <v>435.9</v>
      </c>
      <c r="F27" s="372" t="s">
        <v>7</v>
      </c>
      <c r="G27" s="370">
        <v>2056.6999999999998</v>
      </c>
      <c r="H27" s="371">
        <v>13023.6</v>
      </c>
      <c r="I27" s="370">
        <v>2.85</v>
      </c>
      <c r="J27" s="373">
        <v>45608</v>
      </c>
      <c r="K27" s="371">
        <v>8478</v>
      </c>
      <c r="L27" s="371">
        <v>1707.7</v>
      </c>
      <c r="M27" s="371">
        <v>1253</v>
      </c>
      <c r="N27" s="370">
        <v>0.85</v>
      </c>
    </row>
    <row r="28" spans="1:14" s="359" customFormat="1" x14ac:dyDescent="0.2">
      <c r="A28" s="374"/>
      <c r="B28" s="374"/>
      <c r="C28" s="374"/>
      <c r="D28" s="374"/>
      <c r="E28" s="374"/>
      <c r="F28" s="374"/>
      <c r="G28" s="374"/>
      <c r="H28" s="374"/>
      <c r="I28" s="374"/>
      <c r="J28" s="374"/>
      <c r="K28" s="374"/>
      <c r="L28" s="374"/>
      <c r="M28" s="374"/>
      <c r="N28" s="374"/>
    </row>
    <row r="29" spans="1:14" s="359" customFormat="1" x14ac:dyDescent="0.2">
      <c r="A29" s="367" t="s">
        <v>788</v>
      </c>
      <c r="B29" s="368" t="s">
        <v>666</v>
      </c>
      <c r="C29" s="368" t="s">
        <v>667</v>
      </c>
      <c r="D29" s="368" t="s">
        <v>668</v>
      </c>
      <c r="E29" s="368" t="s">
        <v>669</v>
      </c>
      <c r="F29" s="368" t="s">
        <v>670</v>
      </c>
      <c r="G29" s="368" t="s">
        <v>671</v>
      </c>
      <c r="H29" s="368" t="s">
        <v>672</v>
      </c>
      <c r="I29" s="368" t="s">
        <v>673</v>
      </c>
      <c r="J29" s="369" t="s">
        <v>674</v>
      </c>
      <c r="K29" s="368" t="s">
        <v>588</v>
      </c>
      <c r="L29" s="368" t="s">
        <v>590</v>
      </c>
      <c r="M29" s="368" t="s">
        <v>587</v>
      </c>
      <c r="N29" s="368" t="s">
        <v>675</v>
      </c>
    </row>
    <row r="30" spans="1:14" s="359" customFormat="1" x14ac:dyDescent="0.2">
      <c r="A30" s="367" t="s">
        <v>789</v>
      </c>
      <c r="B30" s="370">
        <v>1027.43</v>
      </c>
      <c r="C30" s="371">
        <v>1830.6</v>
      </c>
      <c r="D30" s="371">
        <v>159127.29999999999</v>
      </c>
      <c r="E30" s="371">
        <v>12755.3</v>
      </c>
      <c r="F30" s="370">
        <v>9191</v>
      </c>
      <c r="G30" s="370">
        <v>12457.28</v>
      </c>
      <c r="H30" s="371">
        <v>161336.29999999999</v>
      </c>
      <c r="I30" s="370">
        <v>49.87</v>
      </c>
      <c r="J30" s="376" t="s">
        <v>7</v>
      </c>
      <c r="K30" s="371">
        <v>19361</v>
      </c>
      <c r="L30" s="371">
        <v>7674</v>
      </c>
      <c r="M30" s="371">
        <v>7234</v>
      </c>
      <c r="N30" s="370">
        <v>40.520000000000003</v>
      </c>
    </row>
    <row r="31" spans="1:14" s="359" customFormat="1" x14ac:dyDescent="0.2">
      <c r="A31" s="367" t="s">
        <v>790</v>
      </c>
      <c r="B31" s="370">
        <v>17.48</v>
      </c>
      <c r="C31" s="371">
        <v>104.1</v>
      </c>
      <c r="D31" s="371">
        <v>6598.2</v>
      </c>
      <c r="E31" s="371">
        <v>-68119</v>
      </c>
      <c r="F31" s="370">
        <v>884.9</v>
      </c>
      <c r="G31" s="370">
        <v>788.7</v>
      </c>
      <c r="H31" s="371">
        <v>9647.5</v>
      </c>
      <c r="I31" s="370">
        <v>-8.4600000000000009</v>
      </c>
      <c r="J31" s="376" t="s">
        <v>7</v>
      </c>
      <c r="K31" s="371">
        <v>3406.8</v>
      </c>
      <c r="L31" s="371">
        <v>204.1</v>
      </c>
      <c r="M31" s="371">
        <v>83.2</v>
      </c>
      <c r="N31" s="370">
        <v>-0.91</v>
      </c>
    </row>
    <row r="32" spans="1:14" s="359" customFormat="1" x14ac:dyDescent="0.2">
      <c r="A32" s="367" t="s">
        <v>459</v>
      </c>
      <c r="B32" s="370">
        <v>189.87</v>
      </c>
      <c r="C32" s="371">
        <v>458</v>
      </c>
      <c r="D32" s="371">
        <v>56971.3</v>
      </c>
      <c r="E32" s="371">
        <v>-3684</v>
      </c>
      <c r="F32" s="370">
        <v>4225.6000000000004</v>
      </c>
      <c r="G32" s="370">
        <v>3468.35</v>
      </c>
      <c r="H32" s="371">
        <v>52000</v>
      </c>
      <c r="I32" s="370">
        <v>19.43</v>
      </c>
      <c r="J32" s="376" t="s">
        <v>7</v>
      </c>
      <c r="K32" s="371">
        <v>9416.2000000000007</v>
      </c>
      <c r="L32" s="371">
        <v>2543.6</v>
      </c>
      <c r="M32" s="371">
        <v>2259.9</v>
      </c>
      <c r="N32" s="370">
        <v>7.07</v>
      </c>
    </row>
    <row r="33" spans="1:14" s="359" customFormat="1" x14ac:dyDescent="0.2">
      <c r="A33" s="367" t="s">
        <v>458</v>
      </c>
      <c r="B33" s="370">
        <v>100.51</v>
      </c>
      <c r="C33" s="371">
        <v>257.7</v>
      </c>
      <c r="D33" s="371">
        <v>27053</v>
      </c>
      <c r="E33" s="371">
        <v>115.4</v>
      </c>
      <c r="F33" s="370">
        <v>3413.25</v>
      </c>
      <c r="G33" s="370">
        <v>2446</v>
      </c>
      <c r="H33" s="371">
        <v>23452.6</v>
      </c>
      <c r="I33" s="370">
        <v>11.79</v>
      </c>
      <c r="J33" s="376" t="s">
        <v>7</v>
      </c>
      <c r="K33" s="371">
        <v>7384.4</v>
      </c>
      <c r="L33" s="371">
        <v>1138.5999999999999</v>
      </c>
      <c r="M33" s="371">
        <v>982.2</v>
      </c>
      <c r="N33" s="370">
        <v>2.73</v>
      </c>
    </row>
    <row r="34" spans="1:14" s="359" customFormat="1" x14ac:dyDescent="0.2">
      <c r="A34" s="377"/>
      <c r="B34" s="377"/>
      <c r="C34" s="377"/>
      <c r="D34" s="377"/>
      <c r="E34" s="377"/>
      <c r="F34" s="377"/>
      <c r="G34" s="377"/>
      <c r="H34" s="377"/>
      <c r="I34" s="377"/>
      <c r="J34" s="377"/>
      <c r="K34" s="377"/>
      <c r="L34" s="377"/>
      <c r="M34" s="377"/>
      <c r="N34" s="377"/>
    </row>
    <row r="35" spans="1:14" s="359" customFormat="1" x14ac:dyDescent="0.2"/>
    <row r="36" spans="1:14" s="359" customFormat="1" x14ac:dyDescent="0.2">
      <c r="A36" s="366"/>
    </row>
    <row r="44" spans="1:14" ht="24.95" customHeight="1" x14ac:dyDescent="0.2">
      <c r="A44" s="533"/>
      <c r="B44" s="533"/>
      <c r="C44" s="533"/>
    </row>
  </sheetData>
  <mergeCells count="1">
    <mergeCell ref="A44:C44"/>
  </mergeCells>
  <pageMargins left="0.70000000000000007" right="0.70000000000000007" top="0.75" bottom="0.75" header="0.30000000000000004" footer="0.30000000000000004"/>
  <pageSetup paperSize="0" fitToWidth="0" fitToHeight="0" orientation="portrait" horizontalDpi="0" verticalDpi="0" copie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9A94-877F-402C-85FF-1A87FB69DC99}">
  <sheetPr>
    <tabColor rgb="FF92D050"/>
  </sheetPr>
  <dimension ref="A1:U92"/>
  <sheetViews>
    <sheetView zoomScale="85" zoomScaleNormal="85" workbookViewId="0">
      <selection activeCell="F17" sqref="F17"/>
    </sheetView>
  </sheetViews>
  <sheetFormatPr defaultColWidth="9.140625" defaultRowHeight="15.75" x14ac:dyDescent="0.25"/>
  <cols>
    <col min="1" max="1" width="57.42578125" style="136" bestFit="1" customWidth="1"/>
    <col min="2" max="3" width="15.42578125" style="144" customWidth="1"/>
    <col min="4" max="9" width="15.42578125" style="118" customWidth="1"/>
    <col min="10" max="10" width="12.7109375" style="118" customWidth="1"/>
    <col min="11" max="16" width="15.42578125" style="118" customWidth="1"/>
    <col min="17" max="17" width="26.7109375" style="118" customWidth="1"/>
    <col min="18" max="18" width="9.140625" style="118" customWidth="1"/>
    <col min="19" max="16384" width="9.140625" style="118"/>
  </cols>
  <sheetData>
    <row r="1" spans="1:21" ht="110.25" x14ac:dyDescent="0.25">
      <c r="A1" s="236" t="s">
        <v>443</v>
      </c>
      <c r="B1" s="237" t="s">
        <v>666</v>
      </c>
      <c r="C1" s="237" t="s">
        <v>667</v>
      </c>
      <c r="D1" s="237" t="s">
        <v>668</v>
      </c>
      <c r="E1" s="237" t="s">
        <v>669</v>
      </c>
      <c r="F1" s="237" t="s">
        <v>670</v>
      </c>
      <c r="G1" s="237" t="s">
        <v>671</v>
      </c>
      <c r="H1" s="237" t="s">
        <v>672</v>
      </c>
      <c r="I1" s="237" t="s">
        <v>673</v>
      </c>
      <c r="J1" s="286" t="s">
        <v>674</v>
      </c>
      <c r="K1" s="237" t="s">
        <v>588</v>
      </c>
      <c r="L1" s="237" t="s">
        <v>590</v>
      </c>
      <c r="M1" s="237" t="s">
        <v>587</v>
      </c>
      <c r="N1" s="237" t="s">
        <v>675</v>
      </c>
      <c r="O1" s="287" t="s">
        <v>676</v>
      </c>
      <c r="P1" s="287" t="s">
        <v>677</v>
      </c>
      <c r="Q1" s="287" t="s">
        <v>678</v>
      </c>
      <c r="R1" s="118" t="s">
        <v>679</v>
      </c>
      <c r="S1" s="118" t="s">
        <v>680</v>
      </c>
      <c r="T1" s="118" t="s">
        <v>681</v>
      </c>
      <c r="U1" s="118" t="s">
        <v>682</v>
      </c>
    </row>
    <row r="2" spans="1:21" ht="15.75" customHeight="1" x14ac:dyDescent="0.25">
      <c r="A2" s="239"/>
      <c r="B2" s="239"/>
      <c r="C2" s="239"/>
      <c r="D2" s="422"/>
      <c r="E2" s="239"/>
      <c r="F2" s="239"/>
      <c r="G2" s="239"/>
      <c r="H2" s="239"/>
      <c r="I2" s="239"/>
      <c r="J2" s="421"/>
      <c r="K2" s="239"/>
      <c r="L2" s="239"/>
      <c r="M2" s="239"/>
      <c r="N2" s="239"/>
      <c r="O2" s="289"/>
      <c r="P2" s="289"/>
      <c r="Q2" s="290"/>
      <c r="R2" s="118">
        <v>823.6</v>
      </c>
      <c r="S2" s="118">
        <v>747.3</v>
      </c>
      <c r="T2" s="118">
        <v>779.9</v>
      </c>
      <c r="U2" s="118">
        <v>702.5</v>
      </c>
    </row>
    <row r="3" spans="1:21" x14ac:dyDescent="0.25">
      <c r="A3" s="239"/>
      <c r="B3" s="239"/>
      <c r="C3" s="239"/>
      <c r="D3" s="422"/>
      <c r="E3" s="239"/>
      <c r="F3" s="239"/>
      <c r="G3" s="239"/>
      <c r="H3" s="239"/>
      <c r="I3" s="239"/>
      <c r="J3" s="421"/>
      <c r="K3" s="239"/>
      <c r="L3" s="239"/>
      <c r="M3" s="239"/>
      <c r="N3" s="239"/>
      <c r="O3" s="289"/>
      <c r="P3" s="289"/>
      <c r="Q3" s="290"/>
    </row>
    <row r="4" spans="1:21" x14ac:dyDescent="0.25">
      <c r="A4" s="239"/>
      <c r="B4" s="239"/>
      <c r="C4" s="239"/>
      <c r="D4" s="422"/>
      <c r="E4" s="239"/>
      <c r="F4" s="239"/>
      <c r="G4" s="239"/>
      <c r="H4" s="239"/>
      <c r="I4" s="239"/>
      <c r="J4" s="421"/>
      <c r="K4" s="239"/>
      <c r="L4" s="239"/>
      <c r="M4" s="239"/>
      <c r="N4" s="239"/>
      <c r="O4" s="289"/>
      <c r="P4" s="289"/>
      <c r="Q4" s="290"/>
    </row>
    <row r="5" spans="1:21" ht="15.75" customHeight="1" x14ac:dyDescent="0.25">
      <c r="A5" s="239"/>
      <c r="B5" s="239"/>
      <c r="C5" s="239"/>
      <c r="D5" s="422"/>
      <c r="E5" s="239"/>
      <c r="F5" s="239"/>
      <c r="G5" s="239"/>
      <c r="H5" s="239"/>
      <c r="I5" s="239"/>
      <c r="J5" s="421"/>
      <c r="K5" s="239"/>
      <c r="L5" s="239"/>
      <c r="M5" s="239"/>
      <c r="N5" s="239"/>
      <c r="O5" s="289"/>
      <c r="P5" s="289"/>
      <c r="Q5" s="290"/>
      <c r="R5" s="118">
        <v>3.5</v>
      </c>
      <c r="S5" s="118">
        <v>2.2999999999999998</v>
      </c>
      <c r="T5" s="291">
        <v>51.8</v>
      </c>
      <c r="U5" s="118">
        <v>49.2</v>
      </c>
    </row>
    <row r="6" spans="1:21" ht="15" customHeight="1" x14ac:dyDescent="0.25">
      <c r="A6" s="239"/>
      <c r="B6" s="239"/>
      <c r="C6" s="239"/>
      <c r="D6" s="422"/>
      <c r="E6" s="239"/>
      <c r="F6" s="239"/>
      <c r="G6" s="239"/>
      <c r="H6" s="239"/>
      <c r="I6" s="239"/>
      <c r="J6" s="421"/>
      <c r="K6" s="239"/>
      <c r="L6" s="239"/>
      <c r="M6" s="239"/>
      <c r="N6" s="239"/>
      <c r="O6" s="289"/>
      <c r="P6" s="289"/>
      <c r="Q6" s="290"/>
    </row>
    <row r="7" spans="1:21" x14ac:dyDescent="0.25">
      <c r="A7" s="239"/>
      <c r="B7" s="239"/>
      <c r="C7" s="239"/>
      <c r="D7" s="422"/>
      <c r="E7" s="239"/>
      <c r="F7" s="239"/>
      <c r="G7" s="239"/>
      <c r="H7" s="239"/>
      <c r="I7" s="239"/>
      <c r="J7" s="421"/>
      <c r="K7" s="239"/>
      <c r="L7" s="239"/>
      <c r="M7" s="239"/>
      <c r="N7" s="239"/>
      <c r="O7" s="289"/>
      <c r="P7" s="289"/>
      <c r="Q7" s="290"/>
    </row>
    <row r="8" spans="1:21" x14ac:dyDescent="0.25">
      <c r="A8" s="239"/>
      <c r="B8" s="239"/>
      <c r="C8" s="239"/>
      <c r="D8" s="422"/>
      <c r="E8" s="239"/>
      <c r="F8" s="239"/>
      <c r="G8" s="239"/>
      <c r="H8" s="239"/>
      <c r="I8" s="239"/>
      <c r="J8" s="421"/>
      <c r="K8" s="239"/>
      <c r="L8" s="239"/>
      <c r="M8" s="239"/>
      <c r="N8" s="239"/>
      <c r="O8" s="289"/>
      <c r="P8" s="289"/>
      <c r="Q8" s="290"/>
      <c r="R8" s="118">
        <v>-34.200000000000003</v>
      </c>
      <c r="S8" s="118">
        <v>-54.2</v>
      </c>
      <c r="T8" s="118">
        <v>109.5</v>
      </c>
      <c r="U8" s="118">
        <v>100.5</v>
      </c>
    </row>
    <row r="9" spans="1:21" ht="15.75" customHeight="1" x14ac:dyDescent="0.25">
      <c r="A9" s="239"/>
      <c r="B9" s="239"/>
      <c r="C9" s="239"/>
      <c r="D9" s="422"/>
      <c r="E9" s="239"/>
      <c r="F9" s="239"/>
      <c r="G9" s="239"/>
      <c r="H9" s="239"/>
      <c r="I9" s="239"/>
      <c r="J9" s="421"/>
      <c r="K9" s="239"/>
      <c r="L9" s="239"/>
      <c r="M9" s="239"/>
      <c r="N9" s="239"/>
      <c r="O9" s="289"/>
      <c r="P9" s="289"/>
      <c r="Q9" s="290"/>
    </row>
    <row r="10" spans="1:21" x14ac:dyDescent="0.25">
      <c r="A10" s="239"/>
      <c r="B10" s="239"/>
      <c r="C10" s="239"/>
      <c r="D10" s="422"/>
      <c r="E10" s="239"/>
      <c r="F10" s="239"/>
      <c r="G10" s="239"/>
      <c r="H10" s="239"/>
      <c r="I10" s="239"/>
      <c r="J10" s="421"/>
      <c r="K10" s="239"/>
      <c r="L10" s="239"/>
      <c r="M10" s="239"/>
      <c r="N10" s="239"/>
      <c r="O10" s="289"/>
      <c r="P10" s="289"/>
      <c r="Q10" s="290"/>
    </row>
    <row r="11" spans="1:21" x14ac:dyDescent="0.25">
      <c r="A11" s="239"/>
      <c r="B11" s="239"/>
      <c r="C11" s="239"/>
      <c r="D11" s="422"/>
      <c r="E11" s="239"/>
      <c r="F11" s="239"/>
      <c r="G11" s="239"/>
      <c r="H11" s="239"/>
      <c r="I11" s="239"/>
      <c r="J11" s="421"/>
      <c r="K11" s="239"/>
      <c r="L11" s="239"/>
      <c r="M11" s="239"/>
      <c r="N11" s="239"/>
      <c r="O11" s="289"/>
      <c r="P11" s="289"/>
      <c r="Q11" s="290"/>
    </row>
    <row r="12" spans="1:21" x14ac:dyDescent="0.25">
      <c r="A12" s="292"/>
      <c r="B12" s="245"/>
      <c r="C12" s="247"/>
      <c r="D12" s="246"/>
      <c r="E12" s="247"/>
      <c r="F12" s="247"/>
      <c r="G12" s="247"/>
      <c r="H12" s="247"/>
      <c r="I12" s="245"/>
      <c r="J12" s="293"/>
      <c r="K12" s="247"/>
      <c r="L12" s="247"/>
      <c r="M12" s="247"/>
      <c r="N12" s="246"/>
      <c r="O12" s="378">
        <f t="shared" ref="O2:O14" si="0">T12</f>
        <v>0</v>
      </c>
      <c r="P12" s="378">
        <f t="shared" ref="P2:P14" si="1">U12</f>
        <v>0</v>
      </c>
      <c r="Q12" s="294"/>
    </row>
    <row r="13" spans="1:21" x14ac:dyDescent="0.25">
      <c r="A13" s="292"/>
      <c r="B13" s="245"/>
      <c r="C13" s="247"/>
      <c r="D13" s="246"/>
      <c r="E13" s="247"/>
      <c r="F13" s="247"/>
      <c r="G13" s="247"/>
      <c r="H13" s="247"/>
      <c r="I13" s="245"/>
      <c r="J13" s="293"/>
      <c r="K13" s="247"/>
      <c r="L13" s="247"/>
      <c r="M13" s="247"/>
      <c r="N13" s="246"/>
      <c r="O13" s="378">
        <f t="shared" si="0"/>
        <v>0</v>
      </c>
      <c r="P13" s="378">
        <f t="shared" si="1"/>
        <v>0</v>
      </c>
      <c r="Q13" s="294"/>
    </row>
    <row r="14" spans="1:21" ht="18" customHeight="1" x14ac:dyDescent="0.25">
      <c r="A14" s="239"/>
      <c r="B14" s="239"/>
      <c r="C14" s="239"/>
      <c r="D14" s="422"/>
      <c r="E14" s="239"/>
      <c r="F14" s="239"/>
      <c r="G14" s="239"/>
      <c r="H14" s="239"/>
      <c r="I14" s="239"/>
      <c r="J14" s="288"/>
      <c r="K14" s="239"/>
      <c r="L14" s="239"/>
      <c r="M14" s="239"/>
      <c r="N14" s="239"/>
      <c r="O14" s="289"/>
      <c r="P14" s="289"/>
      <c r="Q14" s="290"/>
      <c r="R14" s="118">
        <v>967.7</v>
      </c>
      <c r="S14" s="118">
        <v>858.3</v>
      </c>
      <c r="T14" s="118">
        <v>1103.18</v>
      </c>
      <c r="U14" s="118">
        <v>986.73749999999995</v>
      </c>
    </row>
    <row r="15" spans="1:21" x14ac:dyDescent="0.25">
      <c r="A15" s="136" t="s">
        <v>591</v>
      </c>
    </row>
    <row r="16" spans="1:21" x14ac:dyDescent="0.25">
      <c r="A16" s="118" t="s">
        <v>683</v>
      </c>
      <c r="B16" s="118"/>
      <c r="C16" s="118"/>
      <c r="J16" s="295"/>
      <c r="K16" s="295"/>
      <c r="L16" s="295"/>
      <c r="M16" s="295"/>
      <c r="N16" s="295"/>
      <c r="O16" s="295"/>
      <c r="P16" s="295"/>
      <c r="Q16" s="295"/>
    </row>
    <row r="17" spans="1:19" x14ac:dyDescent="0.25">
      <c r="A17" s="296"/>
      <c r="B17" s="296"/>
      <c r="C17" s="296"/>
      <c r="D17" s="296"/>
      <c r="E17" s="296"/>
      <c r="F17" s="296"/>
      <c r="G17" s="296"/>
      <c r="H17" s="296"/>
      <c r="I17" s="296"/>
      <c r="J17" s="295"/>
      <c r="K17" s="295"/>
      <c r="L17" s="295"/>
      <c r="M17" s="295"/>
      <c r="N17" s="295"/>
      <c r="O17" s="295"/>
      <c r="P17" s="295"/>
      <c r="Q17" s="295"/>
    </row>
    <row r="18" spans="1:19" x14ac:dyDescent="0.25">
      <c r="P18" s="297"/>
      <c r="Q18" s="298"/>
      <c r="S18" s="299"/>
    </row>
    <row r="19" spans="1:19" ht="32.25" thickBot="1" x14ac:dyDescent="0.3">
      <c r="A19" s="141" t="s">
        <v>684</v>
      </c>
      <c r="B19" s="300" t="s">
        <v>685</v>
      </c>
      <c r="C19" s="300" t="s">
        <v>686</v>
      </c>
      <c r="J19" s="118" t="e">
        <f>(fin_model!C5*C14)/L14</f>
        <v>#DIV/0!</v>
      </c>
      <c r="O19" s="118" t="s">
        <v>687</v>
      </c>
      <c r="P19" s="118" t="s">
        <v>688</v>
      </c>
    </row>
    <row r="20" spans="1:19" ht="16.5" thickBot="1" x14ac:dyDescent="0.3">
      <c r="A20" s="141" t="s">
        <v>689</v>
      </c>
      <c r="B20" s="142" t="e">
        <f t="array" ref="B20:B26">TRANSPOSE(B44:H44)</f>
        <v>#DIV/0!</v>
      </c>
      <c r="C20" s="142" t="e">
        <f t="array" ref="C20:C26">TRANSPOSE(B45:H45)</f>
        <v>#DIV/0!</v>
      </c>
      <c r="D20" s="301"/>
      <c r="E20" s="302" t="s">
        <v>690</v>
      </c>
      <c r="O20" s="297"/>
      <c r="P20" s="298"/>
    </row>
    <row r="21" spans="1:19" ht="16.5" thickBot="1" x14ac:dyDescent="0.3">
      <c r="A21" s="141" t="s">
        <v>691</v>
      </c>
      <c r="B21" s="142" t="e">
        <v>#DIV/0!</v>
      </c>
      <c r="C21" s="142" t="e">
        <v>#DIV/0!</v>
      </c>
      <c r="D21" s="301"/>
      <c r="E21" s="198" t="s">
        <v>692</v>
      </c>
      <c r="F21" s="419" t="s">
        <v>689</v>
      </c>
      <c r="G21" s="419" t="s">
        <v>691</v>
      </c>
      <c r="H21" s="419" t="s">
        <v>693</v>
      </c>
      <c r="I21" s="419" t="s">
        <v>694</v>
      </c>
      <c r="J21" s="419" t="s">
        <v>695</v>
      </c>
      <c r="K21" s="419" t="s">
        <v>696</v>
      </c>
      <c r="L21" s="419" t="s">
        <v>697</v>
      </c>
    </row>
    <row r="22" spans="1:19" ht="48.75" thickBot="1" x14ac:dyDescent="0.3">
      <c r="A22" s="141" t="s">
        <v>698</v>
      </c>
      <c r="B22" s="142" t="e">
        <v>#DIV/0!</v>
      </c>
      <c r="C22" s="142" t="e">
        <v>#DIV/0!</v>
      </c>
      <c r="D22" s="301"/>
      <c r="E22" s="418">
        <f>A2</f>
        <v>0</v>
      </c>
      <c r="F22" s="420" t="e">
        <f>H2/L2</f>
        <v>#DIV/0!</v>
      </c>
      <c r="G22" s="420" t="e">
        <f>H2/M2</f>
        <v>#DIV/0!</v>
      </c>
      <c r="H22" s="420" t="e">
        <f>H2/K2</f>
        <v>#DIV/0!</v>
      </c>
      <c r="I22" s="420" t="e">
        <f>B2/N2</f>
        <v>#DIV/0!</v>
      </c>
      <c r="J22" s="420" t="e">
        <f>B2/I2</f>
        <v>#DIV/0!</v>
      </c>
      <c r="K22" s="420" t="e">
        <f>H2/O2</f>
        <v>#DIV/0!</v>
      </c>
      <c r="L22" s="420" t="e">
        <f>B2/P2</f>
        <v>#DIV/0!</v>
      </c>
      <c r="O22" s="297"/>
      <c r="P22" s="304"/>
    </row>
    <row r="23" spans="1:19" ht="24" x14ac:dyDescent="0.25">
      <c r="A23" s="141" t="s">
        <v>694</v>
      </c>
      <c r="B23" s="142" t="e">
        <v>#DIV/0!</v>
      </c>
      <c r="C23" s="142" t="e">
        <v>#DIV/0!</v>
      </c>
      <c r="D23" s="301"/>
      <c r="E23" s="418">
        <f>A3</f>
        <v>0</v>
      </c>
      <c r="F23" s="420" t="e">
        <f t="shared" ref="F23:F31" si="2">H3/L3</f>
        <v>#DIV/0!</v>
      </c>
      <c r="G23" s="420" t="e">
        <f t="shared" ref="G23:G31" si="3">H3/M3</f>
        <v>#DIV/0!</v>
      </c>
      <c r="H23" s="420" t="e">
        <f t="shared" ref="H23:H31" si="4">H3/K3</f>
        <v>#DIV/0!</v>
      </c>
      <c r="I23" s="420"/>
      <c r="J23" s="420"/>
      <c r="K23" s="420"/>
      <c r="L23" s="420"/>
    </row>
    <row r="24" spans="1:19" x14ac:dyDescent="0.25">
      <c r="A24" s="141" t="s">
        <v>695</v>
      </c>
      <c r="B24" s="142" t="e">
        <v>#DIV/0!</v>
      </c>
      <c r="C24" s="142" t="e">
        <v>#DIV/0!</v>
      </c>
      <c r="D24" s="301"/>
      <c r="E24" s="418"/>
      <c r="F24" s="420"/>
      <c r="G24" s="420"/>
      <c r="H24" s="420"/>
      <c r="I24" s="420"/>
      <c r="J24" s="420"/>
      <c r="K24" s="420"/>
      <c r="L24" s="420"/>
    </row>
    <row r="25" spans="1:19" ht="48" x14ac:dyDescent="0.25">
      <c r="A25" s="141" t="s">
        <v>696</v>
      </c>
      <c r="B25" s="142" t="e">
        <v>#DIV/0!</v>
      </c>
      <c r="C25" s="142" t="e">
        <v>#DIV/0!</v>
      </c>
      <c r="E25" s="418">
        <f t="shared" ref="E25:E31" si="5">A5</f>
        <v>0</v>
      </c>
      <c r="F25" s="420"/>
      <c r="G25" s="420"/>
      <c r="H25" s="420"/>
      <c r="I25" s="420" t="e">
        <f t="shared" ref="I25:I31" si="6">B5/N5</f>
        <v>#DIV/0!</v>
      </c>
      <c r="J25" s="420" t="e">
        <f t="shared" ref="J25:J30" si="7">B5/I5</f>
        <v>#DIV/0!</v>
      </c>
      <c r="K25" s="420"/>
      <c r="L25" s="420" t="e">
        <f t="shared" ref="L25:L28" si="8">B5/P5</f>
        <v>#DIV/0!</v>
      </c>
      <c r="N25" s="118" t="s">
        <v>699</v>
      </c>
    </row>
    <row r="26" spans="1:19" x14ac:dyDescent="0.25">
      <c r="A26" s="141" t="s">
        <v>700</v>
      </c>
      <c r="B26" s="142" t="e">
        <v>#DIV/0!</v>
      </c>
      <c r="C26" s="142" t="e">
        <v>#DIV/0!</v>
      </c>
      <c r="E26" s="418"/>
      <c r="F26" s="420"/>
      <c r="G26" s="420"/>
      <c r="H26" s="420"/>
      <c r="I26" s="420"/>
      <c r="J26" s="420"/>
      <c r="K26" s="420"/>
      <c r="L26" s="420"/>
      <c r="N26" s="305" t="e">
        <f>MIN(F22:L31)</f>
        <v>#DIV/0!</v>
      </c>
    </row>
    <row r="27" spans="1:19" x14ac:dyDescent="0.25">
      <c r="A27" s="136" t="s">
        <v>701</v>
      </c>
      <c r="E27" s="418"/>
      <c r="F27" s="420"/>
      <c r="G27" s="420"/>
      <c r="H27" s="420"/>
      <c r="I27" s="420"/>
      <c r="J27" s="420"/>
      <c r="K27" s="420"/>
      <c r="L27" s="420"/>
    </row>
    <row r="28" spans="1:19" ht="24" x14ac:dyDescent="0.25">
      <c r="E28" s="418">
        <f t="shared" si="5"/>
        <v>0</v>
      </c>
      <c r="F28" s="420" t="e">
        <f t="shared" si="2"/>
        <v>#DIV/0!</v>
      </c>
      <c r="G28" s="420" t="e">
        <f t="shared" si="3"/>
        <v>#DIV/0!</v>
      </c>
      <c r="H28" s="420" t="e">
        <f t="shared" si="4"/>
        <v>#DIV/0!</v>
      </c>
      <c r="I28" s="420"/>
      <c r="J28" s="420"/>
      <c r="K28" s="420" t="e">
        <f t="shared" ref="K28" si="9">H8/O8</f>
        <v>#DIV/0!</v>
      </c>
      <c r="L28" s="420" t="e">
        <f t="shared" si="8"/>
        <v>#DIV/0!</v>
      </c>
    </row>
    <row r="29" spans="1:19" x14ac:dyDescent="0.25">
      <c r="E29" s="418"/>
      <c r="F29" s="420"/>
      <c r="G29" s="420"/>
      <c r="H29" s="420"/>
      <c r="I29" s="420"/>
      <c r="J29" s="420"/>
      <c r="K29" s="420"/>
      <c r="L29" s="420"/>
    </row>
    <row r="30" spans="1:19" s="295" customFormat="1" ht="31.5" customHeight="1" x14ac:dyDescent="0.25">
      <c r="A30" s="306" t="s">
        <v>684</v>
      </c>
      <c r="B30" s="300" t="s">
        <v>702</v>
      </c>
      <c r="C30" s="300" t="s">
        <v>703</v>
      </c>
      <c r="E30" s="418">
        <f>A10</f>
        <v>0</v>
      </c>
      <c r="F30" s="420"/>
      <c r="G30" s="420"/>
      <c r="H30" s="420"/>
      <c r="I30" s="420" t="e">
        <f t="shared" si="6"/>
        <v>#DIV/0!</v>
      </c>
      <c r="J30" s="420" t="e">
        <f t="shared" si="7"/>
        <v>#DIV/0!</v>
      </c>
      <c r="K30" s="420"/>
      <c r="L30" s="420"/>
      <c r="M30" s="118"/>
      <c r="N30" s="118"/>
    </row>
    <row r="31" spans="1:19" ht="48" x14ac:dyDescent="0.25">
      <c r="A31" s="141" t="s">
        <v>689</v>
      </c>
      <c r="B31" s="307" t="e">
        <f t="array" ref="B31:B37">TRANSPOSE(B60:H60)</f>
        <v>#DIV/0!</v>
      </c>
      <c r="C31" s="307" t="e">
        <f t="array" ref="C31:C37">TRANSPOSE(B61:H61)</f>
        <v>#DIV/0!</v>
      </c>
      <c r="E31" s="418">
        <f t="shared" si="5"/>
        <v>0</v>
      </c>
      <c r="F31" s="420" t="e">
        <f t="shared" si="2"/>
        <v>#DIV/0!</v>
      </c>
      <c r="G31" s="420" t="e">
        <f t="shared" si="3"/>
        <v>#DIV/0!</v>
      </c>
      <c r="H31" s="420" t="e">
        <f t="shared" si="4"/>
        <v>#DIV/0!</v>
      </c>
      <c r="I31" s="420" t="e">
        <f t="shared" si="6"/>
        <v>#DIV/0!</v>
      </c>
      <c r="J31" s="420"/>
      <c r="K31" s="420"/>
      <c r="L31" s="420"/>
    </row>
    <row r="32" spans="1:19" x14ac:dyDescent="0.25">
      <c r="A32" s="141" t="s">
        <v>691</v>
      </c>
      <c r="B32" s="307" t="e">
        <v>#DIV/0!</v>
      </c>
      <c r="C32" s="307" t="e">
        <v>#DIV/0!</v>
      </c>
    </row>
    <row r="33" spans="1:14" x14ac:dyDescent="0.25">
      <c r="A33" s="141" t="s">
        <v>698</v>
      </c>
      <c r="B33" s="307" t="e">
        <v>#DIV/0!</v>
      </c>
      <c r="C33" s="307" t="e">
        <v>#DIV/0!</v>
      </c>
    </row>
    <row r="34" spans="1:14" x14ac:dyDescent="0.25">
      <c r="A34" s="141" t="s">
        <v>694</v>
      </c>
      <c r="B34" s="307" t="e">
        <v>#DIV/0!</v>
      </c>
      <c r="C34" s="307" t="e">
        <v>#DIV/0!</v>
      </c>
    </row>
    <row r="35" spans="1:14" x14ac:dyDescent="0.25">
      <c r="A35" s="141" t="s">
        <v>695</v>
      </c>
      <c r="B35" s="307" t="e">
        <v>#DIV/0!</v>
      </c>
      <c r="C35" s="307" t="e">
        <v>#DIV/0!</v>
      </c>
      <c r="N35" s="118" t="s">
        <v>704</v>
      </c>
    </row>
    <row r="36" spans="1:14" x14ac:dyDescent="0.25">
      <c r="A36" s="141" t="s">
        <v>696</v>
      </c>
      <c r="B36" s="308" t="e">
        <v>#DIV/0!</v>
      </c>
      <c r="C36" s="307" t="e">
        <v>#DIV/0!</v>
      </c>
      <c r="N36" s="305" t="e">
        <f>MIN(F22:L24)</f>
        <v>#DIV/0!</v>
      </c>
    </row>
    <row r="37" spans="1:14" x14ac:dyDescent="0.25">
      <c r="A37" s="141" t="s">
        <v>700</v>
      </c>
      <c r="B37" s="307" t="e">
        <v>#DIV/0!</v>
      </c>
      <c r="C37" s="307" t="e">
        <v>#DIV/0!</v>
      </c>
    </row>
    <row r="38" spans="1:14" x14ac:dyDescent="0.25">
      <c r="A38" s="136" t="s">
        <v>705</v>
      </c>
      <c r="B38" s="309"/>
      <c r="C38" s="309"/>
    </row>
    <row r="39" spans="1:14" x14ac:dyDescent="0.25">
      <c r="E39" s="310"/>
      <c r="F39" s="311"/>
      <c r="G39" s="311"/>
      <c r="H39" s="311"/>
      <c r="I39" s="311"/>
      <c r="J39" s="311"/>
      <c r="K39" s="311"/>
      <c r="L39" s="311"/>
    </row>
    <row r="40" spans="1:14" x14ac:dyDescent="0.25">
      <c r="E40" s="312"/>
      <c r="F40" s="305"/>
      <c r="G40" s="305"/>
      <c r="H40" s="305"/>
      <c r="I40" s="305"/>
      <c r="J40" s="305"/>
      <c r="K40" s="305"/>
      <c r="L40" s="305"/>
    </row>
    <row r="43" spans="1:14" x14ac:dyDescent="0.25">
      <c r="A43" s="313" t="s">
        <v>706</v>
      </c>
      <c r="B43" s="314" t="s">
        <v>689</v>
      </c>
      <c r="C43" s="314" t="s">
        <v>691</v>
      </c>
      <c r="D43" s="314" t="s">
        <v>698</v>
      </c>
      <c r="E43" s="314" t="s">
        <v>694</v>
      </c>
      <c r="F43" s="314" t="s">
        <v>695</v>
      </c>
      <c r="G43" s="314" t="s">
        <v>696</v>
      </c>
      <c r="H43" s="314" t="s">
        <v>697</v>
      </c>
    </row>
    <row r="44" spans="1:14" x14ac:dyDescent="0.25">
      <c r="A44" s="198" t="s">
        <v>707</v>
      </c>
      <c r="B44" s="303" t="e">
        <f t="shared" ref="B44:G44" si="10">_xlfn.PERCENTILE.INC(F22:F31,0.35)</f>
        <v>#DIV/0!</v>
      </c>
      <c r="C44" s="303" t="e">
        <f t="shared" si="10"/>
        <v>#DIV/0!</v>
      </c>
      <c r="D44" s="303" t="e">
        <f t="shared" si="10"/>
        <v>#DIV/0!</v>
      </c>
      <c r="E44" s="303" t="e">
        <f t="shared" si="10"/>
        <v>#DIV/0!</v>
      </c>
      <c r="F44" s="303" t="e">
        <f t="shared" si="10"/>
        <v>#DIV/0!</v>
      </c>
      <c r="G44" s="303" t="e">
        <f t="shared" si="10"/>
        <v>#DIV/0!</v>
      </c>
      <c r="H44" s="303" t="e">
        <f>_xlfn.PERCENTILE.INC(L22:L31,0.35)</f>
        <v>#DIV/0!</v>
      </c>
    </row>
    <row r="45" spans="1:14" x14ac:dyDescent="0.25">
      <c r="A45" s="315" t="s">
        <v>708</v>
      </c>
      <c r="B45" s="303" t="e">
        <f t="shared" ref="B45:H45" si="11">_xlfn.PERCENTILE.INC(F22:F31,0.65)</f>
        <v>#DIV/0!</v>
      </c>
      <c r="C45" s="303" t="e">
        <f t="shared" si="11"/>
        <v>#DIV/0!</v>
      </c>
      <c r="D45" s="303" t="e">
        <f t="shared" si="11"/>
        <v>#DIV/0!</v>
      </c>
      <c r="E45" s="303" t="e">
        <f t="shared" si="11"/>
        <v>#DIV/0!</v>
      </c>
      <c r="F45" s="303" t="e">
        <f t="shared" si="11"/>
        <v>#DIV/0!</v>
      </c>
      <c r="G45" s="303" t="e">
        <f t="shared" si="11"/>
        <v>#DIV/0!</v>
      </c>
      <c r="H45" s="303" t="e">
        <f t="shared" si="11"/>
        <v>#DIV/0!</v>
      </c>
    </row>
    <row r="47" spans="1:14" x14ac:dyDescent="0.25">
      <c r="A47" s="316"/>
      <c r="B47" s="305"/>
      <c r="C47" s="305"/>
      <c r="D47" s="305"/>
      <c r="E47" s="305"/>
      <c r="F47" s="305"/>
      <c r="G47" s="305"/>
      <c r="H47" s="305"/>
    </row>
    <row r="48" spans="1:14" x14ac:dyDescent="0.25">
      <c r="A48" s="118"/>
      <c r="B48" s="118"/>
      <c r="C48" s="118"/>
    </row>
    <row r="49" spans="1:17" x14ac:dyDescent="0.25">
      <c r="A49" s="313" t="s">
        <v>709</v>
      </c>
      <c r="B49" s="314" t="s">
        <v>689</v>
      </c>
      <c r="C49" s="314" t="s">
        <v>691</v>
      </c>
      <c r="D49" s="314" t="s">
        <v>698</v>
      </c>
      <c r="E49" s="314" t="s">
        <v>694</v>
      </c>
      <c r="F49" s="314" t="s">
        <v>695</v>
      </c>
      <c r="G49" s="314" t="s">
        <v>696</v>
      </c>
      <c r="H49" s="314" t="s">
        <v>697</v>
      </c>
    </row>
    <row r="50" spans="1:17" x14ac:dyDescent="0.25">
      <c r="A50" s="315" t="s">
        <v>707</v>
      </c>
      <c r="B50" s="317" t="e">
        <f>B44*$L$14</f>
        <v>#DIV/0!</v>
      </c>
      <c r="C50" s="317" t="e">
        <f>C44*$M$14</f>
        <v>#DIV/0!</v>
      </c>
      <c r="D50" s="317" t="e">
        <f>D44*$K$14</f>
        <v>#DIV/0!</v>
      </c>
      <c r="E50" s="318"/>
      <c r="F50" s="318"/>
      <c r="G50" s="317" t="e">
        <f>G44*O14</f>
        <v>#DIV/0!</v>
      </c>
      <c r="H50" s="318"/>
    </row>
    <row r="51" spans="1:17" x14ac:dyDescent="0.25">
      <c r="A51" s="315" t="s">
        <v>708</v>
      </c>
      <c r="B51" s="317" t="e">
        <f>B45*$L$14</f>
        <v>#DIV/0!</v>
      </c>
      <c r="C51" s="317" t="e">
        <f>C45*$M$14</f>
        <v>#DIV/0!</v>
      </c>
      <c r="D51" s="317" t="e">
        <f>D45*$K$14</f>
        <v>#DIV/0!</v>
      </c>
      <c r="E51" s="318"/>
      <c r="F51" s="318"/>
      <c r="G51" s="317" t="e">
        <f>G45*O14</f>
        <v>#DIV/0!</v>
      </c>
      <c r="H51" s="319"/>
    </row>
    <row r="52" spans="1:17" x14ac:dyDescent="0.25">
      <c r="A52" s="316"/>
      <c r="B52" s="320"/>
      <c r="C52" s="320"/>
      <c r="D52" s="320"/>
      <c r="G52" s="320"/>
    </row>
    <row r="53" spans="1:17" x14ac:dyDescent="0.25">
      <c r="A53" s="316"/>
      <c r="B53" s="320"/>
      <c r="C53" s="320"/>
      <c r="D53" s="320"/>
      <c r="G53" s="320"/>
    </row>
    <row r="54" spans="1:17" x14ac:dyDescent="0.25">
      <c r="A54" s="313" t="s">
        <v>710</v>
      </c>
      <c r="B54" s="314" t="s">
        <v>689</v>
      </c>
      <c r="C54" s="314" t="s">
        <v>691</v>
      </c>
      <c r="D54" s="314" t="s">
        <v>698</v>
      </c>
      <c r="E54" s="314" t="s">
        <v>694</v>
      </c>
      <c r="F54" s="314" t="s">
        <v>695</v>
      </c>
      <c r="G54" s="314" t="s">
        <v>696</v>
      </c>
      <c r="H54" s="314" t="s">
        <v>697</v>
      </c>
    </row>
    <row r="55" spans="1:17" x14ac:dyDescent="0.25">
      <c r="A55" s="315" t="s">
        <v>707</v>
      </c>
      <c r="B55" s="317" t="e">
        <f t="shared" ref="B55:D56" si="12">B50-SUM($E$14:$G$14)</f>
        <v>#DIV/0!</v>
      </c>
      <c r="C55" s="317" t="e">
        <f t="shared" si="12"/>
        <v>#DIV/0!</v>
      </c>
      <c r="D55" s="317" t="e">
        <f t="shared" si="12"/>
        <v>#DIV/0!</v>
      </c>
      <c r="E55" s="318"/>
      <c r="F55" s="318"/>
      <c r="G55" s="317" t="e">
        <f>G50-SUM($E$14:$G$14)</f>
        <v>#DIV/0!</v>
      </c>
      <c r="H55" s="318"/>
    </row>
    <row r="56" spans="1:17" x14ac:dyDescent="0.25">
      <c r="A56" s="315" t="s">
        <v>708</v>
      </c>
      <c r="B56" s="317" t="e">
        <f t="shared" si="12"/>
        <v>#DIV/0!</v>
      </c>
      <c r="C56" s="317" t="e">
        <f t="shared" si="12"/>
        <v>#DIV/0!</v>
      </c>
      <c r="D56" s="317" t="e">
        <f t="shared" si="12"/>
        <v>#DIV/0!</v>
      </c>
      <c r="E56" s="318"/>
      <c r="F56" s="318"/>
      <c r="G56" s="317" t="e">
        <f>G51-SUM($E$14:$G$14)</f>
        <v>#DIV/0!</v>
      </c>
      <c r="H56" s="321"/>
    </row>
    <row r="57" spans="1:17" x14ac:dyDescent="0.25">
      <c r="A57" s="118"/>
      <c r="B57" s="118"/>
      <c r="C57" s="118"/>
    </row>
    <row r="58" spans="1:17" x14ac:dyDescent="0.25">
      <c r="A58" s="118"/>
      <c r="B58" s="118"/>
      <c r="C58" s="118"/>
      <c r="J58" s="312"/>
      <c r="K58" s="305"/>
      <c r="L58" s="305"/>
      <c r="M58" s="305"/>
      <c r="N58" s="305"/>
      <c r="O58" s="305"/>
      <c r="P58" s="305"/>
      <c r="Q58" s="305"/>
    </row>
    <row r="59" spans="1:17" x14ac:dyDescent="0.25">
      <c r="A59" s="313" t="s">
        <v>711</v>
      </c>
      <c r="B59" s="314" t="s">
        <v>689</v>
      </c>
      <c r="C59" s="314" t="s">
        <v>691</v>
      </c>
      <c r="D59" s="314" t="s">
        <v>698</v>
      </c>
      <c r="E59" s="314" t="s">
        <v>694</v>
      </c>
      <c r="F59" s="314" t="s">
        <v>695</v>
      </c>
      <c r="G59" s="314" t="s">
        <v>696</v>
      </c>
      <c r="H59" s="314" t="s">
        <v>697</v>
      </c>
      <c r="J59" s="312"/>
      <c r="K59" s="305"/>
      <c r="L59" s="305"/>
      <c r="M59" s="305"/>
      <c r="O59" s="305"/>
      <c r="P59" s="305"/>
      <c r="Q59" s="305"/>
    </row>
    <row r="60" spans="1:17" x14ac:dyDescent="0.25">
      <c r="A60" s="315" t="s">
        <v>707</v>
      </c>
      <c r="B60" s="219" t="e">
        <f t="shared" ref="B60:D61" si="13">B55/$C$14</f>
        <v>#DIV/0!</v>
      </c>
      <c r="C60" s="219" t="e">
        <f t="shared" si="13"/>
        <v>#DIV/0!</v>
      </c>
      <c r="D60" s="219" t="e">
        <f t="shared" si="13"/>
        <v>#DIV/0!</v>
      </c>
      <c r="E60" s="322" t="e">
        <f>E44*N14</f>
        <v>#DIV/0!</v>
      </c>
      <c r="F60" s="323" t="e">
        <f>F44*$I$14</f>
        <v>#DIV/0!</v>
      </c>
      <c r="G60" s="219" t="e">
        <f>G55/$C$14</f>
        <v>#DIV/0!</v>
      </c>
      <c r="H60" s="219" t="e">
        <f>H44*Q14</f>
        <v>#DIV/0!</v>
      </c>
    </row>
    <row r="61" spans="1:17" x14ac:dyDescent="0.25">
      <c r="A61" s="315" t="s">
        <v>708</v>
      </c>
      <c r="B61" s="219" t="e">
        <f t="shared" si="13"/>
        <v>#DIV/0!</v>
      </c>
      <c r="C61" s="219" t="e">
        <f t="shared" si="13"/>
        <v>#DIV/0!</v>
      </c>
      <c r="D61" s="219" t="e">
        <f t="shared" si="13"/>
        <v>#DIV/0!</v>
      </c>
      <c r="E61" s="322" t="e">
        <f>E45*N14</f>
        <v>#DIV/0!</v>
      </c>
      <c r="F61" s="323" t="e">
        <f>F45*$I$14</f>
        <v>#DIV/0!</v>
      </c>
      <c r="G61" s="219" t="e">
        <f>G56/$C$14</f>
        <v>#DIV/0!</v>
      </c>
      <c r="H61" s="219" t="e">
        <f>H45*Q14</f>
        <v>#DIV/0!</v>
      </c>
      <c r="K61" s="305"/>
      <c r="L61" s="305"/>
      <c r="M61" s="305"/>
      <c r="N61" s="305"/>
      <c r="O61" s="305"/>
      <c r="P61" s="305"/>
      <c r="Q61" s="305"/>
    </row>
    <row r="62" spans="1:17" x14ac:dyDescent="0.25">
      <c r="A62" s="118"/>
      <c r="B62" s="118"/>
      <c r="C62" s="118"/>
    </row>
    <row r="63" spans="1:17" x14ac:dyDescent="0.25">
      <c r="C63" s="144" t="s">
        <v>712</v>
      </c>
      <c r="D63" s="118" t="s">
        <v>713</v>
      </c>
      <c r="E63" s="118" t="s">
        <v>714</v>
      </c>
      <c r="F63" s="118" t="s">
        <v>715</v>
      </c>
    </row>
    <row r="64" spans="1:17" x14ac:dyDescent="0.25">
      <c r="B64" s="136"/>
      <c r="C64" s="324">
        <v>0.35</v>
      </c>
      <c r="E64" s="325">
        <v>0.65</v>
      </c>
      <c r="K64" s="325"/>
      <c r="L64" s="325"/>
    </row>
    <row r="65" spans="1:10" x14ac:dyDescent="0.25">
      <c r="B65" s="136" t="str">
        <f t="array" ref="B65:B71">TRANSPOSE(B59:H59)</f>
        <v>EV/EBITDA</v>
      </c>
      <c r="C65" s="305" t="e">
        <f t="array" ref="C65:C71">TRANSPOSE(B60:H60)</f>
        <v>#DIV/0!</v>
      </c>
      <c r="D65" s="305" t="e">
        <f t="shared" ref="D65:D71" si="14">C65</f>
        <v>#DIV/0!</v>
      </c>
      <c r="E65" s="305" t="e">
        <f t="array" ref="E65:E71">TRANSPOSE(B61:H61)</f>
        <v>#DIV/0!</v>
      </c>
      <c r="F65" s="305" t="e">
        <f t="shared" ref="F65:F71" si="15">E65</f>
        <v>#DIV/0!</v>
      </c>
      <c r="I65" s="325"/>
    </row>
    <row r="66" spans="1:10" x14ac:dyDescent="0.25">
      <c r="A66" s="118"/>
      <c r="B66" s="136" t="str">
        <v>EV/EBIT</v>
      </c>
      <c r="C66" s="305" t="e">
        <v>#DIV/0!</v>
      </c>
      <c r="D66" s="305" t="e">
        <f t="shared" si="14"/>
        <v>#DIV/0!</v>
      </c>
      <c r="E66" s="305" t="e">
        <v>#DIV/0!</v>
      </c>
      <c r="F66" s="305" t="e">
        <f t="shared" si="15"/>
        <v>#DIV/0!</v>
      </c>
      <c r="I66" s="325"/>
    </row>
    <row r="67" spans="1:10" x14ac:dyDescent="0.25">
      <c r="A67" s="118"/>
      <c r="B67" s="136" t="str">
        <v>EV/sales</v>
      </c>
      <c r="C67" s="305" t="e">
        <v>#DIV/0!</v>
      </c>
      <c r="D67" s="305" t="e">
        <f t="shared" si="14"/>
        <v>#DIV/0!</v>
      </c>
      <c r="E67" s="305" t="e">
        <v>#DIV/0!</v>
      </c>
      <c r="F67" s="305" t="e">
        <f t="shared" si="15"/>
        <v>#DIV/0!</v>
      </c>
      <c r="I67" s="325"/>
    </row>
    <row r="68" spans="1:10" x14ac:dyDescent="0.25">
      <c r="B68" s="136" t="str">
        <v>P/E</v>
      </c>
      <c r="C68" s="305" t="e">
        <v>#DIV/0!</v>
      </c>
      <c r="D68" s="305" t="e">
        <f t="shared" si="14"/>
        <v>#DIV/0!</v>
      </c>
      <c r="E68" s="305" t="e">
        <v>#DIV/0!</v>
      </c>
      <c r="F68" s="305" t="e">
        <f t="shared" si="15"/>
        <v>#DIV/0!</v>
      </c>
      <c r="I68" s="325"/>
    </row>
    <row r="69" spans="1:10" x14ac:dyDescent="0.25">
      <c r="A69" s="316"/>
      <c r="B69" s="326" t="str">
        <v>P/B</v>
      </c>
      <c r="C69" s="305" t="e">
        <v>#DIV/0!</v>
      </c>
      <c r="D69" s="305" t="e">
        <f t="shared" si="14"/>
        <v>#DIV/0!</v>
      </c>
      <c r="E69" s="305" t="e">
        <v>#DIV/0!</v>
      </c>
      <c r="F69" s="305" t="e">
        <f t="shared" si="15"/>
        <v>#DIV/0!</v>
      </c>
      <c r="I69" s="325"/>
      <c r="J69" s="320"/>
    </row>
    <row r="70" spans="1:10" x14ac:dyDescent="0.25">
      <c r="A70" s="316"/>
      <c r="B70" s="326" t="str">
        <v>EV/FCFF</v>
      </c>
      <c r="C70" s="305" t="e">
        <v>#DIV/0!</v>
      </c>
      <c r="D70" s="305" t="e">
        <f t="shared" si="14"/>
        <v>#DIV/0!</v>
      </c>
      <c r="E70" s="305" t="e">
        <v>#DIV/0!</v>
      </c>
      <c r="F70" s="305" t="e">
        <f t="shared" si="15"/>
        <v>#DIV/0!</v>
      </c>
      <c r="I70" s="325"/>
      <c r="J70" s="320"/>
    </row>
    <row r="71" spans="1:10" x14ac:dyDescent="0.25">
      <c r="B71" s="136" t="str">
        <v>P/FCFE</v>
      </c>
      <c r="C71" s="305" t="e">
        <v>#DIV/0!</v>
      </c>
      <c r="D71" s="305" t="e">
        <f t="shared" si="14"/>
        <v>#DIV/0!</v>
      </c>
      <c r="E71" s="305" t="e">
        <v>#DIV/0!</v>
      </c>
      <c r="F71" s="305" t="e">
        <f t="shared" si="15"/>
        <v>#DIV/0!</v>
      </c>
      <c r="I71" s="325"/>
    </row>
    <row r="72" spans="1:10" x14ac:dyDescent="0.25">
      <c r="A72" s="316"/>
      <c r="B72" s="320"/>
      <c r="C72" s="320"/>
      <c r="D72" s="320"/>
      <c r="J72" s="320"/>
    </row>
    <row r="73" spans="1:10" x14ac:dyDescent="0.25">
      <c r="A73" s="118"/>
      <c r="B73" s="118"/>
      <c r="C73" s="118"/>
    </row>
    <row r="74" spans="1:10" x14ac:dyDescent="0.25">
      <c r="A74" s="118"/>
      <c r="B74" s="118"/>
      <c r="C74" s="118"/>
      <c r="I74" s="325"/>
    </row>
    <row r="76" spans="1:10" x14ac:dyDescent="0.25">
      <c r="A76" s="118"/>
      <c r="B76" s="118"/>
      <c r="C76" s="118"/>
    </row>
    <row r="77" spans="1:10" x14ac:dyDescent="0.25">
      <c r="A77" s="118"/>
      <c r="B77" s="118"/>
      <c r="C77" s="118"/>
    </row>
    <row r="79" spans="1:10" x14ac:dyDescent="0.25">
      <c r="A79" s="316"/>
      <c r="B79" s="230"/>
      <c r="C79" s="230"/>
      <c r="D79" s="230"/>
      <c r="E79" s="327"/>
      <c r="F79" s="328"/>
      <c r="G79" s="305"/>
      <c r="H79" s="327"/>
    </row>
    <row r="80" spans="1:10" x14ac:dyDescent="0.25">
      <c r="A80" s="316"/>
      <c r="B80" s="230"/>
      <c r="C80" s="230"/>
      <c r="D80" s="230"/>
      <c r="E80" s="327"/>
      <c r="F80" s="328"/>
      <c r="G80" s="305"/>
      <c r="H80" s="327"/>
    </row>
    <row r="82" spans="1:8" x14ac:dyDescent="0.25">
      <c r="A82" s="316"/>
      <c r="B82" s="230"/>
      <c r="C82" s="230"/>
      <c r="D82" s="230"/>
      <c r="E82" s="327"/>
      <c r="F82" s="328"/>
      <c r="G82" s="305"/>
      <c r="H82" s="327"/>
    </row>
    <row r="86" spans="1:8" x14ac:dyDescent="0.25">
      <c r="A86" s="268"/>
      <c r="B86" s="329"/>
      <c r="C86" s="329"/>
      <c r="D86" s="329"/>
      <c r="E86" s="329"/>
      <c r="F86" s="329"/>
      <c r="G86" s="329"/>
      <c r="H86" s="329"/>
    </row>
    <row r="87" spans="1:8" x14ac:dyDescent="0.25">
      <c r="A87" s="316"/>
      <c r="B87" s="301"/>
      <c r="C87" s="301"/>
      <c r="D87" s="301"/>
      <c r="E87" s="301"/>
      <c r="F87" s="301"/>
      <c r="G87" s="301"/>
      <c r="H87" s="301"/>
    </row>
    <row r="88" spans="1:8" x14ac:dyDescent="0.25">
      <c r="A88" s="316"/>
      <c r="B88" s="301"/>
      <c r="C88" s="301"/>
      <c r="D88" s="301"/>
      <c r="E88" s="301"/>
      <c r="F88" s="301"/>
      <c r="G88" s="301"/>
      <c r="H88" s="301"/>
    </row>
    <row r="89" spans="1:8" x14ac:dyDescent="0.25">
      <c r="A89" s="316"/>
      <c r="B89" s="301"/>
      <c r="C89" s="301"/>
      <c r="D89" s="301"/>
      <c r="E89" s="301"/>
      <c r="F89" s="301"/>
      <c r="G89" s="301"/>
      <c r="H89" s="301"/>
    </row>
    <row r="90" spans="1:8" x14ac:dyDescent="0.25">
      <c r="A90" s="316"/>
      <c r="B90" s="301"/>
      <c r="C90" s="301"/>
      <c r="D90" s="301"/>
      <c r="E90" s="301"/>
      <c r="F90" s="301"/>
      <c r="G90" s="301"/>
      <c r="H90" s="301"/>
    </row>
    <row r="91" spans="1:8" x14ac:dyDescent="0.25">
      <c r="A91" s="316"/>
      <c r="B91" s="301"/>
      <c r="C91" s="301"/>
      <c r="D91" s="301"/>
      <c r="E91" s="301"/>
      <c r="F91" s="301"/>
      <c r="G91" s="301"/>
      <c r="H91" s="301"/>
    </row>
    <row r="92" spans="1:8" x14ac:dyDescent="0.25">
      <c r="A92" s="316"/>
      <c r="B92" s="301"/>
      <c r="C92" s="301"/>
      <c r="D92" s="301"/>
      <c r="E92" s="301"/>
      <c r="F92" s="301"/>
      <c r="G92" s="301"/>
      <c r="H92" s="301"/>
    </row>
  </sheetData>
  <pageMargins left="0.70000000000000007" right="0.70000000000000007" top="0.75" bottom="0.75" header="0.30000000000000004" footer="0.30000000000000004"/>
  <pageSetup paperSize="0" fitToWidth="0" fitToHeight="0" orientation="portrait" horizontalDpi="0" verticalDpi="0" copie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933F-2789-4224-BBDD-59662EFDF8C8}">
  <sheetPr>
    <tabColor rgb="FFED7D31"/>
  </sheetPr>
  <dimension ref="B1:R51"/>
  <sheetViews>
    <sheetView workbookViewId="0">
      <selection activeCell="N68" sqref="N65:P68"/>
    </sheetView>
  </sheetViews>
  <sheetFormatPr defaultColWidth="9.140625" defaultRowHeight="15.75" x14ac:dyDescent="0.25"/>
  <cols>
    <col min="1" max="1" width="2.42578125" style="118" customWidth="1"/>
    <col min="2" max="2" width="51" style="118" customWidth="1"/>
    <col min="3" max="9" width="14.28515625" style="144" customWidth="1"/>
    <col min="10" max="10" width="9.140625" style="144" customWidth="1"/>
    <col min="11" max="11" width="15.42578125" style="144" bestFit="1" customWidth="1"/>
    <col min="12" max="12" width="14.28515625" style="144" customWidth="1"/>
    <col min="13" max="18" width="9.140625" style="144" customWidth="1"/>
    <col min="19" max="19" width="9.140625" style="118" customWidth="1"/>
    <col min="20" max="16384" width="9.140625" style="118"/>
  </cols>
  <sheetData>
    <row r="1" spans="2:9" x14ac:dyDescent="0.25">
      <c r="B1" s="174" t="s">
        <v>550</v>
      </c>
      <c r="C1" s="263">
        <f>'DCF_-_FCFE_timing'!C30</f>
        <v>0</v>
      </c>
    </row>
    <row r="2" spans="2:9" x14ac:dyDescent="0.25">
      <c r="B2" s="174" t="s">
        <v>174</v>
      </c>
      <c r="C2" s="263">
        <f>'DCF_-_FCFE_timing'!C31</f>
        <v>0</v>
      </c>
    </row>
    <row r="3" spans="2:9" x14ac:dyDescent="0.25">
      <c r="B3" s="174" t="s">
        <v>632</v>
      </c>
      <c r="C3" s="264">
        <f>WACC!B36</f>
        <v>0.1242</v>
      </c>
    </row>
    <row r="4" spans="2:9" x14ac:dyDescent="0.25">
      <c r="B4" s="198" t="s">
        <v>633</v>
      </c>
      <c r="C4" s="265">
        <f>fin_model!H54</f>
        <v>0</v>
      </c>
      <c r="D4" s="266"/>
      <c r="E4" s="266"/>
      <c r="F4" s="266"/>
      <c r="G4" s="266"/>
      <c r="H4" s="266"/>
      <c r="I4" s="266"/>
    </row>
    <row r="5" spans="2:9" x14ac:dyDescent="0.25">
      <c r="B5" s="174" t="s">
        <v>634</v>
      </c>
      <c r="C5" s="267">
        <f>'DCF_-_FCFE_341'!C19</f>
        <v>0.01</v>
      </c>
      <c r="D5" s="266"/>
      <c r="E5" s="266"/>
      <c r="F5" s="266"/>
      <c r="G5" s="266"/>
      <c r="H5" s="266"/>
      <c r="I5" s="266"/>
    </row>
    <row r="6" spans="2:9" x14ac:dyDescent="0.25">
      <c r="B6" s="174" t="s">
        <v>635</v>
      </c>
      <c r="C6" s="143">
        <v>0.5</v>
      </c>
      <c r="E6" s="266" t="s">
        <v>636</v>
      </c>
      <c r="F6" s="266"/>
      <c r="G6" s="266"/>
      <c r="H6" s="266"/>
      <c r="I6" s="266"/>
    </row>
    <row r="7" spans="2:9" x14ac:dyDescent="0.25">
      <c r="B7" s="182"/>
      <c r="C7" s="266"/>
      <c r="D7" s="266"/>
      <c r="E7" s="266"/>
      <c r="F7" s="266"/>
      <c r="G7" s="266"/>
      <c r="H7" s="266"/>
      <c r="I7" s="266"/>
    </row>
    <row r="8" spans="2:9" x14ac:dyDescent="0.25">
      <c r="B8" s="144"/>
    </row>
    <row r="9" spans="2:9" x14ac:dyDescent="0.25">
      <c r="B9" s="268" t="s">
        <v>637</v>
      </c>
    </row>
    <row r="10" spans="2:9" x14ac:dyDescent="0.25">
      <c r="B10" s="198"/>
      <c r="C10" s="269" t="s">
        <v>638</v>
      </c>
      <c r="D10" s="269" t="s">
        <v>639</v>
      </c>
      <c r="E10" s="269" t="s">
        <v>640</v>
      </c>
      <c r="F10" s="269" t="s">
        <v>641</v>
      </c>
      <c r="G10" s="269" t="s">
        <v>642</v>
      </c>
      <c r="H10" s="269" t="s">
        <v>643</v>
      </c>
      <c r="I10" s="269" t="s">
        <v>566</v>
      </c>
    </row>
    <row r="11" spans="2:9" x14ac:dyDescent="0.25">
      <c r="B11" s="198" t="s">
        <v>644</v>
      </c>
      <c r="C11" s="270">
        <v>0</v>
      </c>
      <c r="D11" s="270">
        <v>1</v>
      </c>
      <c r="E11" s="270">
        <v>2</v>
      </c>
      <c r="F11" s="270">
        <v>3</v>
      </c>
      <c r="G11" s="270">
        <v>4</v>
      </c>
      <c r="H11" s="270">
        <v>5</v>
      </c>
      <c r="I11" s="270">
        <v>5</v>
      </c>
    </row>
    <row r="12" spans="2:9" x14ac:dyDescent="0.25">
      <c r="B12" s="198" t="s">
        <v>645</v>
      </c>
      <c r="C12" s="271">
        <f>fin_model!H51</f>
        <v>0</v>
      </c>
      <c r="D12" s="271" t="e">
        <f>D39</f>
        <v>#DIV/0!</v>
      </c>
      <c r="E12" s="271" t="e">
        <f>E39</f>
        <v>#DIV/0!</v>
      </c>
      <c r="F12" s="271" t="e">
        <f>F39</f>
        <v>#DIV/0!</v>
      </c>
      <c r="G12" s="271" t="e">
        <f>G39</f>
        <v>#DIV/0!</v>
      </c>
      <c r="H12" s="271" t="e">
        <f>H39</f>
        <v>#DIV/0!</v>
      </c>
      <c r="I12" s="271" t="e">
        <f>J44</f>
        <v>#DIV/0!</v>
      </c>
    </row>
    <row r="13" spans="2:9" x14ac:dyDescent="0.25">
      <c r="B13" s="198" t="s">
        <v>646</v>
      </c>
      <c r="C13" s="271">
        <f>C12/(1+$C$3)^C11</f>
        <v>0</v>
      </c>
      <c r="D13" s="271" t="e">
        <f t="shared" ref="D13:H13" si="0">D12/(1+$C$3)^D11</f>
        <v>#DIV/0!</v>
      </c>
      <c r="E13" s="271" t="e">
        <f t="shared" si="0"/>
        <v>#DIV/0!</v>
      </c>
      <c r="F13" s="271" t="e">
        <f t="shared" si="0"/>
        <v>#DIV/0!</v>
      </c>
      <c r="G13" s="271" t="e">
        <f t="shared" si="0"/>
        <v>#DIV/0!</v>
      </c>
      <c r="H13" s="271" t="e">
        <f t="shared" si="0"/>
        <v>#DIV/0!</v>
      </c>
      <c r="I13" s="271" t="e">
        <f>I12/(1+$C$3)^I11</f>
        <v>#DIV/0!</v>
      </c>
    </row>
    <row r="14" spans="2:9" x14ac:dyDescent="0.25">
      <c r="B14" s="198" t="s">
        <v>647</v>
      </c>
      <c r="C14" s="271" t="e">
        <f>SUM(C13:I13)</f>
        <v>#DIV/0!</v>
      </c>
      <c r="D14" s="272"/>
      <c r="E14" s="272"/>
      <c r="F14" s="272"/>
      <c r="G14" s="272"/>
      <c r="H14" s="272"/>
      <c r="I14" s="272"/>
    </row>
    <row r="15" spans="2:9" x14ac:dyDescent="0.25">
      <c r="B15" s="198" t="s">
        <v>648</v>
      </c>
      <c r="C15" s="273" t="e">
        <f>C14/C4</f>
        <v>#DIV/0!</v>
      </c>
      <c r="D15" s="266"/>
      <c r="F15" s="266"/>
      <c r="G15" s="266"/>
      <c r="H15" s="266"/>
      <c r="I15" s="266"/>
    </row>
    <row r="16" spans="2:9" x14ac:dyDescent="0.25">
      <c r="B16" s="174" t="s">
        <v>649</v>
      </c>
      <c r="C16" s="274" t="e">
        <f>C15*(1+C3)^E29</f>
        <v>#DIV/0!</v>
      </c>
      <c r="D16" s="266"/>
      <c r="F16" s="266"/>
      <c r="G16" s="266"/>
      <c r="H16" s="266"/>
      <c r="I16" s="266"/>
    </row>
    <row r="17" spans="2:17" x14ac:dyDescent="0.25">
      <c r="B17" s="182"/>
      <c r="C17" s="266"/>
      <c r="D17" s="266"/>
      <c r="E17" s="266"/>
      <c r="F17" s="266"/>
      <c r="G17" s="266"/>
      <c r="H17" s="266"/>
      <c r="I17" s="266"/>
    </row>
    <row r="18" spans="2:17" x14ac:dyDescent="0.25">
      <c r="C18" s="266"/>
      <c r="D18" s="266"/>
      <c r="E18" s="266"/>
      <c r="F18" s="266"/>
      <c r="G18" s="266"/>
      <c r="H18" s="266"/>
      <c r="I18" s="266"/>
    </row>
    <row r="19" spans="2:17" x14ac:dyDescent="0.25">
      <c r="B19" s="268" t="s">
        <v>650</v>
      </c>
      <c r="N19" s="118"/>
      <c r="O19" s="118"/>
      <c r="P19" s="118"/>
      <c r="Q19" s="118"/>
    </row>
    <row r="20" spans="2:17" x14ac:dyDescent="0.25">
      <c r="B20" s="198"/>
      <c r="C20" s="269" t="s">
        <v>638</v>
      </c>
      <c r="D20" s="269" t="s">
        <v>639</v>
      </c>
      <c r="E20" s="269" t="s">
        <v>640</v>
      </c>
      <c r="F20" s="269" t="s">
        <v>641</v>
      </c>
      <c r="G20" s="269" t="s">
        <v>642</v>
      </c>
      <c r="H20" s="269" t="s">
        <v>643</v>
      </c>
      <c r="I20" s="269" t="s">
        <v>651</v>
      </c>
      <c r="K20" s="269" t="s">
        <v>652</v>
      </c>
      <c r="L20" s="275" t="e">
        <f>C26</f>
        <v>#DIV/0!</v>
      </c>
      <c r="N20" s="118"/>
      <c r="O20" s="118"/>
      <c r="P20" s="118"/>
      <c r="Q20" s="118"/>
    </row>
    <row r="21" spans="2:17" x14ac:dyDescent="0.25">
      <c r="B21" s="198" t="s">
        <v>644</v>
      </c>
      <c r="C21" s="270">
        <v>0</v>
      </c>
      <c r="D21" s="270">
        <v>1</v>
      </c>
      <c r="E21" s="270">
        <v>2</v>
      </c>
      <c r="F21" s="270">
        <v>3</v>
      </c>
      <c r="G21" s="270">
        <v>4</v>
      </c>
      <c r="H21" s="270">
        <v>5</v>
      </c>
      <c r="I21" s="270">
        <v>5</v>
      </c>
      <c r="K21" s="276">
        <v>0</v>
      </c>
      <c r="L21" s="277" t="e">
        <f t="dataTable" ref="L21:L31" dt2D="0" dtr="0" r1="C6"/>
        <v>#DIV/0!</v>
      </c>
      <c r="N21" s="118"/>
      <c r="O21" s="118"/>
      <c r="P21" s="118"/>
      <c r="Q21" s="118"/>
    </row>
    <row r="22" spans="2:17" x14ac:dyDescent="0.25">
      <c r="B22" s="198" t="s">
        <v>645</v>
      </c>
      <c r="C22" s="271">
        <f>fin_model!H51</f>
        <v>0</v>
      </c>
      <c r="D22" s="271" t="e">
        <f>D39</f>
        <v>#DIV/0!</v>
      </c>
      <c r="E22" s="271" t="e">
        <f>E39</f>
        <v>#DIV/0!</v>
      </c>
      <c r="F22" s="271" t="e">
        <f>F39</f>
        <v>#DIV/0!</v>
      </c>
      <c r="G22" s="271" t="e">
        <f>G39</f>
        <v>#DIV/0!</v>
      </c>
      <c r="H22" s="271" t="e">
        <f>H39</f>
        <v>#DIV/0!</v>
      </c>
      <c r="I22" s="271" t="e">
        <f>H51</f>
        <v>#DIV/0!</v>
      </c>
      <c r="K22" s="276">
        <v>0.1</v>
      </c>
      <c r="L22" s="277" t="e">
        <v>#DIV/0!</v>
      </c>
      <c r="N22" s="118"/>
      <c r="O22" s="118"/>
      <c r="P22" s="118"/>
      <c r="Q22" s="118"/>
    </row>
    <row r="23" spans="2:17" x14ac:dyDescent="0.25">
      <c r="B23" s="198" t="s">
        <v>646</v>
      </c>
      <c r="C23" s="271">
        <f>C22/(1+$C3)^C21</f>
        <v>0</v>
      </c>
      <c r="D23" s="271" t="e">
        <f>D22/(1+$C3)^D21</f>
        <v>#DIV/0!</v>
      </c>
      <c r="E23" s="271" t="e">
        <f>E22/(1+$C3)^E21</f>
        <v>#DIV/0!</v>
      </c>
      <c r="F23" s="271" t="e">
        <f t="shared" ref="F23:H23" si="1">F22/(1+$C3)^F21</f>
        <v>#DIV/0!</v>
      </c>
      <c r="G23" s="271" t="e">
        <f t="shared" si="1"/>
        <v>#DIV/0!</v>
      </c>
      <c r="H23" s="271" t="e">
        <f t="shared" si="1"/>
        <v>#DIV/0!</v>
      </c>
      <c r="I23" s="271" t="e">
        <f>I22/(1+$C3)^I21</f>
        <v>#DIV/0!</v>
      </c>
      <c r="K23" s="276">
        <f t="shared" ref="K23:K31" si="2">K22+0.1</f>
        <v>0.2</v>
      </c>
      <c r="L23" s="277" t="e">
        <v>#DIV/0!</v>
      </c>
      <c r="N23" s="118"/>
      <c r="O23" s="118"/>
      <c r="P23" s="118"/>
      <c r="Q23" s="118"/>
    </row>
    <row r="24" spans="2:17" x14ac:dyDescent="0.25">
      <c r="B24" s="198" t="s">
        <v>647</v>
      </c>
      <c r="C24" s="271" t="e">
        <f>SUM(C23:I23)</f>
        <v>#DIV/0!</v>
      </c>
      <c r="D24" s="272"/>
      <c r="E24" s="272"/>
      <c r="F24" s="272"/>
      <c r="G24" s="272"/>
      <c r="H24" s="272"/>
      <c r="I24" s="272"/>
      <c r="K24" s="276">
        <f t="shared" si="2"/>
        <v>0.30000000000000004</v>
      </c>
      <c r="L24" s="277" t="e">
        <v>#DIV/0!</v>
      </c>
      <c r="N24" s="118"/>
      <c r="O24" s="118"/>
      <c r="P24" s="118"/>
      <c r="Q24" s="118"/>
    </row>
    <row r="25" spans="2:17" x14ac:dyDescent="0.25">
      <c r="B25" s="198" t="s">
        <v>648</v>
      </c>
      <c r="C25" s="273" t="e">
        <f>C24/C4</f>
        <v>#DIV/0!</v>
      </c>
      <c r="D25" s="266"/>
      <c r="E25" s="266"/>
      <c r="F25" s="266"/>
      <c r="G25" s="266"/>
      <c r="H25" s="266"/>
      <c r="I25" s="266"/>
      <c r="K25" s="276">
        <f t="shared" si="2"/>
        <v>0.4</v>
      </c>
      <c r="L25" s="277" t="e">
        <v>#DIV/0!</v>
      </c>
      <c r="N25" s="118"/>
      <c r="O25" s="118"/>
      <c r="P25" s="118"/>
      <c r="Q25" s="118"/>
    </row>
    <row r="26" spans="2:17" x14ac:dyDescent="0.25">
      <c r="B26" s="174" t="s">
        <v>649</v>
      </c>
      <c r="C26" s="274" t="e">
        <f>C25*(1+C3)^E29</f>
        <v>#DIV/0!</v>
      </c>
      <c r="D26" s="266"/>
      <c r="E26" s="266"/>
      <c r="F26" s="266"/>
      <c r="G26" s="266"/>
      <c r="H26" s="266"/>
      <c r="I26" s="266"/>
      <c r="K26" s="276">
        <f t="shared" si="2"/>
        <v>0.5</v>
      </c>
      <c r="L26" s="277" t="e">
        <v>#DIV/0!</v>
      </c>
      <c r="N26" s="118"/>
      <c r="O26" s="118"/>
      <c r="P26" s="118"/>
      <c r="Q26" s="118"/>
    </row>
    <row r="27" spans="2:17" x14ac:dyDescent="0.25">
      <c r="B27" s="182"/>
      <c r="C27" s="266"/>
      <c r="D27" s="266"/>
      <c r="E27" s="266"/>
      <c r="F27" s="266"/>
      <c r="G27" s="266"/>
      <c r="K27" s="276">
        <f t="shared" si="2"/>
        <v>0.6</v>
      </c>
      <c r="L27" s="277" t="e">
        <v>#DIV/0!</v>
      </c>
    </row>
    <row r="28" spans="2:17" x14ac:dyDescent="0.25">
      <c r="C28" s="266"/>
      <c r="D28" s="266"/>
      <c r="E28" s="266" t="s">
        <v>653</v>
      </c>
      <c r="F28" s="266"/>
      <c r="G28" s="266"/>
      <c r="K28" s="276">
        <f t="shared" si="2"/>
        <v>0.7</v>
      </c>
      <c r="L28" s="277" t="e">
        <v>#DIV/0!</v>
      </c>
    </row>
    <row r="29" spans="2:17" x14ac:dyDescent="0.25">
      <c r="C29" s="266"/>
      <c r="D29" s="118"/>
      <c r="E29" s="278">
        <f>YEARFRAC(C1,C2)</f>
        <v>0</v>
      </c>
      <c r="F29" s="266"/>
      <c r="K29" s="276">
        <f t="shared" si="2"/>
        <v>0.79999999999999993</v>
      </c>
      <c r="L29" s="277" t="e">
        <v>#DIV/0!</v>
      </c>
    </row>
    <row r="30" spans="2:17" x14ac:dyDescent="0.25">
      <c r="C30" s="266"/>
      <c r="D30" s="118"/>
      <c r="E30" s="118"/>
      <c r="F30" s="266"/>
      <c r="K30" s="276">
        <f t="shared" si="2"/>
        <v>0.89999999999999991</v>
      </c>
      <c r="L30" s="277" t="e">
        <v>#DIV/0!</v>
      </c>
    </row>
    <row r="31" spans="2:17" x14ac:dyDescent="0.25">
      <c r="C31" s="266"/>
      <c r="D31" s="118"/>
      <c r="E31" s="118"/>
      <c r="F31" s="266"/>
      <c r="K31" s="276">
        <f t="shared" si="2"/>
        <v>0.99999999999999989</v>
      </c>
      <c r="L31" s="277" t="e">
        <v>#DIV/0!</v>
      </c>
    </row>
    <row r="32" spans="2:17" x14ac:dyDescent="0.25">
      <c r="C32" s="266"/>
      <c r="D32" s="118"/>
      <c r="E32" s="118"/>
      <c r="F32" s="266"/>
      <c r="K32" s="279">
        <v>1</v>
      </c>
      <c r="L32" s="275" t="e">
        <f>L31</f>
        <v>#DIV/0!</v>
      </c>
    </row>
    <row r="33" spans="2:10" x14ac:dyDescent="0.25">
      <c r="C33" s="266"/>
      <c r="D33" s="118"/>
      <c r="E33" s="118"/>
      <c r="F33" s="266"/>
    </row>
    <row r="34" spans="2:10" x14ac:dyDescent="0.25">
      <c r="B34" s="118" t="s">
        <v>576</v>
      </c>
      <c r="C34" s="266"/>
      <c r="D34" s="266">
        <v>1</v>
      </c>
      <c r="E34" s="266">
        <v>2</v>
      </c>
      <c r="F34" s="266">
        <v>3</v>
      </c>
      <c r="G34" s="144">
        <v>4</v>
      </c>
      <c r="H34" s="144">
        <v>5</v>
      </c>
      <c r="I34" s="144">
        <v>6</v>
      </c>
    </row>
    <row r="35" spans="2:10" x14ac:dyDescent="0.25">
      <c r="B35" s="118" t="s">
        <v>188</v>
      </c>
      <c r="C35" s="266"/>
      <c r="D35" s="280" t="e">
        <f>fin_model!I23</f>
        <v>#DIV/0!</v>
      </c>
      <c r="E35" s="280" t="e">
        <f>fin_model!J23</f>
        <v>#DIV/0!</v>
      </c>
      <c r="F35" s="280" t="e">
        <f>fin_model!K23</f>
        <v>#DIV/0!</v>
      </c>
      <c r="G35" s="280" t="e">
        <f>fin_model!L23</f>
        <v>#DIV/0!</v>
      </c>
      <c r="H35" s="280" t="e">
        <f>fin_model!M23</f>
        <v>#DIV/0!</v>
      </c>
      <c r="I35" s="280" t="e">
        <f>fin_model!N23</f>
        <v>#DIV/0!</v>
      </c>
    </row>
    <row r="36" spans="2:10" x14ac:dyDescent="0.25">
      <c r="B36" s="118" t="s">
        <v>654</v>
      </c>
      <c r="C36" s="266"/>
      <c r="D36" s="280" t="e">
        <f>fin_model!I51</f>
        <v>#DIV/0!</v>
      </c>
      <c r="E36" s="280" t="e">
        <f>fin_model!J51</f>
        <v>#DIV/0!</v>
      </c>
      <c r="F36" s="280" t="e">
        <f>fin_model!K51</f>
        <v>#DIV/0!</v>
      </c>
      <c r="G36" s="280" t="e">
        <f>fin_model!L51</f>
        <v>#DIV/0!</v>
      </c>
      <c r="H36" s="280" t="e">
        <f>fin_model!M51</f>
        <v>#DIV/0!</v>
      </c>
      <c r="I36" s="280" t="e">
        <f>fin_model!N51</f>
        <v>#DIV/0!</v>
      </c>
    </row>
    <row r="37" spans="2:10" x14ac:dyDescent="0.25">
      <c r="B37" s="118" t="s">
        <v>655</v>
      </c>
      <c r="C37" s="266"/>
      <c r="D37" s="281">
        <f>$C3</f>
        <v>0.1242</v>
      </c>
      <c r="E37" s="281">
        <f t="shared" ref="E37:I37" si="3">$C3</f>
        <v>0.1242</v>
      </c>
      <c r="F37" s="281">
        <f t="shared" si="3"/>
        <v>0.1242</v>
      </c>
      <c r="G37" s="281">
        <f t="shared" si="3"/>
        <v>0.1242</v>
      </c>
      <c r="H37" s="281">
        <f t="shared" si="3"/>
        <v>0.1242</v>
      </c>
      <c r="I37" s="281">
        <f t="shared" si="3"/>
        <v>0.1242</v>
      </c>
    </row>
    <row r="38" spans="2:10" x14ac:dyDescent="0.25">
      <c r="B38" s="118" t="s">
        <v>656</v>
      </c>
      <c r="C38" s="266"/>
      <c r="D38" s="280" t="e">
        <f>D36*D37</f>
        <v>#DIV/0!</v>
      </c>
      <c r="E38" s="280" t="e">
        <f t="shared" ref="E38:I38" si="4">E36*E37</f>
        <v>#DIV/0!</v>
      </c>
      <c r="F38" s="280" t="e">
        <f t="shared" si="4"/>
        <v>#DIV/0!</v>
      </c>
      <c r="G38" s="280" t="e">
        <f t="shared" si="4"/>
        <v>#DIV/0!</v>
      </c>
      <c r="H38" s="280" t="e">
        <f t="shared" si="4"/>
        <v>#DIV/0!</v>
      </c>
      <c r="I38" s="280" t="e">
        <f t="shared" si="4"/>
        <v>#DIV/0!</v>
      </c>
    </row>
    <row r="39" spans="2:10" x14ac:dyDescent="0.25">
      <c r="B39" s="118" t="s">
        <v>657</v>
      </c>
      <c r="C39" s="266"/>
      <c r="D39" s="280" t="e">
        <f>D35-D38</f>
        <v>#DIV/0!</v>
      </c>
      <c r="E39" s="280" t="e">
        <f t="shared" ref="E39:I39" si="5">E35-E38</f>
        <v>#DIV/0!</v>
      </c>
      <c r="F39" s="280" t="e">
        <f t="shared" si="5"/>
        <v>#DIV/0!</v>
      </c>
      <c r="G39" s="280" t="e">
        <f t="shared" si="5"/>
        <v>#DIV/0!</v>
      </c>
      <c r="H39" s="280" t="e">
        <f t="shared" si="5"/>
        <v>#DIV/0!</v>
      </c>
      <c r="I39" s="280" t="e">
        <f t="shared" si="5"/>
        <v>#DIV/0!</v>
      </c>
    </row>
    <row r="40" spans="2:10" x14ac:dyDescent="0.25">
      <c r="C40" s="266"/>
      <c r="D40" s="266"/>
      <c r="E40" s="266"/>
      <c r="F40" s="266"/>
    </row>
    <row r="41" spans="2:10" x14ac:dyDescent="0.25">
      <c r="B41" s="118" t="s">
        <v>658</v>
      </c>
      <c r="C41" s="266"/>
      <c r="D41" s="266"/>
      <c r="E41" s="266"/>
    </row>
    <row r="42" spans="2:10" x14ac:dyDescent="0.25">
      <c r="B42" s="118" t="s">
        <v>642</v>
      </c>
      <c r="C42" s="266"/>
      <c r="I42" s="280" t="e">
        <f>I39</f>
        <v>#DIV/0!</v>
      </c>
      <c r="J42" s="266"/>
    </row>
    <row r="43" spans="2:10" x14ac:dyDescent="0.25">
      <c r="B43" s="118" t="s">
        <v>659</v>
      </c>
      <c r="C43" s="266"/>
      <c r="I43" s="282">
        <f>C3-C5</f>
        <v>0.11420000000000001</v>
      </c>
      <c r="J43" s="266"/>
    </row>
    <row r="44" spans="2:10" x14ac:dyDescent="0.25">
      <c r="B44" s="118" t="s">
        <v>660</v>
      </c>
      <c r="J44" s="280" t="e">
        <f>I42/I43</f>
        <v>#DIV/0!</v>
      </c>
    </row>
    <row r="45" spans="2:10" x14ac:dyDescent="0.25">
      <c r="C45" s="266"/>
      <c r="H45" s="266"/>
    </row>
    <row r="46" spans="2:10" x14ac:dyDescent="0.25">
      <c r="C46" s="266"/>
      <c r="H46" s="266"/>
      <c r="I46" s="266"/>
    </row>
    <row r="47" spans="2:10" x14ac:dyDescent="0.25">
      <c r="B47" s="118" t="s">
        <v>661</v>
      </c>
    </row>
    <row r="48" spans="2:10" x14ac:dyDescent="0.25">
      <c r="B48" s="118" t="s">
        <v>662</v>
      </c>
      <c r="H48" s="283" t="e">
        <f>I42</f>
        <v>#DIV/0!</v>
      </c>
    </row>
    <row r="49" spans="2:8" x14ac:dyDescent="0.25">
      <c r="B49" s="118" t="s">
        <v>663</v>
      </c>
      <c r="H49" s="284">
        <f>C6</f>
        <v>0.5</v>
      </c>
    </row>
    <row r="50" spans="2:8" x14ac:dyDescent="0.25">
      <c r="B50" s="118" t="s">
        <v>664</v>
      </c>
      <c r="H50" s="285">
        <f>1+C3-H49</f>
        <v>0.62420000000000009</v>
      </c>
    </row>
    <row r="51" spans="2:8" x14ac:dyDescent="0.25">
      <c r="B51" s="118" t="s">
        <v>665</v>
      </c>
      <c r="H51" s="283" t="e">
        <f>H48/H50</f>
        <v>#DIV/0!</v>
      </c>
    </row>
  </sheetData>
  <pageMargins left="0.70000000000000007" right="0.70000000000000007" top="0.75" bottom="0.75" header="0.30000000000000004" footer="0.3000000000000000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4351-D241-4005-954A-D7AF5B7E9ED4}">
  <sheetPr>
    <tabColor rgb="FF000000"/>
  </sheetPr>
  <dimension ref="B2:U26"/>
  <sheetViews>
    <sheetView tabSelected="1" zoomScale="90" zoomScaleNormal="90" workbookViewId="0">
      <selection activeCell="L21" sqref="L21"/>
    </sheetView>
  </sheetViews>
  <sheetFormatPr defaultRowHeight="15" x14ac:dyDescent="0.25"/>
  <cols>
    <col min="1" max="3" width="9.140625" customWidth="1"/>
    <col min="4" max="4" width="14.5703125" bestFit="1" customWidth="1"/>
    <col min="5" max="8" width="9.140625" customWidth="1"/>
    <col min="9" max="9" width="13.5703125" bestFit="1" customWidth="1"/>
    <col min="10" max="10" width="13.42578125" customWidth="1"/>
    <col min="11" max="11" width="9.140625" customWidth="1"/>
    <col min="12" max="12" width="9.7109375" customWidth="1"/>
    <col min="13" max="15" width="9.140625" customWidth="1"/>
    <col min="16" max="16" width="8.7109375" customWidth="1"/>
    <col min="17" max="17" width="8.85546875" customWidth="1"/>
    <col min="18" max="18" width="17.5703125" bestFit="1" customWidth="1"/>
    <col min="19" max="19" width="9.140625" customWidth="1"/>
  </cols>
  <sheetData>
    <row r="2" spans="2:19" ht="75.75" x14ac:dyDescent="0.3">
      <c r="C2" s="330"/>
      <c r="J2" s="331" t="s">
        <v>716</v>
      </c>
      <c r="K2" s="332" t="s">
        <v>717</v>
      </c>
    </row>
    <row r="3" spans="2:19" x14ac:dyDescent="0.25">
      <c r="D3" s="132"/>
      <c r="E3" s="132" t="s">
        <v>712</v>
      </c>
      <c r="F3" s="132" t="s">
        <v>718</v>
      </c>
      <c r="G3" s="132" t="s">
        <v>719</v>
      </c>
      <c r="H3" s="132" t="s">
        <v>720</v>
      </c>
      <c r="I3" s="333"/>
      <c r="Q3" t="s">
        <v>721</v>
      </c>
    </row>
    <row r="4" spans="2:19" x14ac:dyDescent="0.25">
      <c r="C4" s="334" t="e">
        <f>'DCF_-_FCFF_timing'!C41</f>
        <v>#DIV/0!</v>
      </c>
      <c r="D4" s="132" t="s">
        <v>722</v>
      </c>
      <c r="E4" s="346" t="e">
        <f>C4*(B10)</f>
        <v>#DIV/0!</v>
      </c>
      <c r="F4" s="346" t="e">
        <f t="shared" ref="F4:F10" si="0">E4</f>
        <v>#DIV/0!</v>
      </c>
      <c r="G4" s="346" t="e">
        <f>C4*C10</f>
        <v>#DIV/0!</v>
      </c>
      <c r="H4" s="346" t="e">
        <f t="shared" ref="H4:H10" si="1">G4</f>
        <v>#DIV/0!</v>
      </c>
      <c r="J4" s="335">
        <v>0.6</v>
      </c>
      <c r="K4" s="336">
        <v>0.25</v>
      </c>
      <c r="L4" s="337" t="e">
        <f t="shared" ref="L4:L7" si="2">K4*E4</f>
        <v>#DIV/0!</v>
      </c>
      <c r="M4" s="337" t="e">
        <f t="shared" ref="M4:M15" si="3">G4*K4</f>
        <v>#DIV/0!</v>
      </c>
      <c r="Q4" s="337" t="e">
        <f>C4*K4*J4</f>
        <v>#DIV/0!</v>
      </c>
    </row>
    <row r="5" spans="2:19" x14ac:dyDescent="0.25">
      <c r="C5" s="334" t="e">
        <f>'DCF_-_FCFF_timing'!C48</f>
        <v>#DIV/0!</v>
      </c>
      <c r="D5" s="132" t="s">
        <v>723</v>
      </c>
      <c r="E5" s="346" t="e">
        <f>C5*B10</f>
        <v>#DIV/0!</v>
      </c>
      <c r="F5" s="346" t="e">
        <f t="shared" si="0"/>
        <v>#DIV/0!</v>
      </c>
      <c r="G5" s="346" t="e">
        <f>C5*C10</f>
        <v>#DIV/0!</v>
      </c>
      <c r="H5" s="346" t="e">
        <f t="shared" si="1"/>
        <v>#DIV/0!</v>
      </c>
      <c r="J5" s="335">
        <f>J4</f>
        <v>0.6</v>
      </c>
      <c r="K5" s="336">
        <v>0</v>
      </c>
      <c r="L5" s="337" t="e">
        <f t="shared" si="2"/>
        <v>#DIV/0!</v>
      </c>
      <c r="M5" s="337" t="e">
        <f t="shared" si="3"/>
        <v>#DIV/0!</v>
      </c>
      <c r="Q5" s="337" t="e">
        <f t="shared" ref="Q5:Q14" si="4">C5*K5*J5</f>
        <v>#DIV/0!</v>
      </c>
    </row>
    <row r="6" spans="2:19" x14ac:dyDescent="0.25">
      <c r="C6" s="338" t="e">
        <f>'DCF_-_FCFE_timing'!C38</f>
        <v>#DIV/0!</v>
      </c>
      <c r="D6" s="132" t="s">
        <v>724</v>
      </c>
      <c r="E6" s="346" t="e">
        <f>C6*B10</f>
        <v>#DIV/0!</v>
      </c>
      <c r="F6" s="346" t="e">
        <f t="shared" si="0"/>
        <v>#DIV/0!</v>
      </c>
      <c r="G6" s="346" t="e">
        <f>C6*C10</f>
        <v>#DIV/0!</v>
      </c>
      <c r="H6" s="346" t="e">
        <f t="shared" si="1"/>
        <v>#DIV/0!</v>
      </c>
      <c r="J6" s="335">
        <f>J5</f>
        <v>0.6</v>
      </c>
      <c r="K6" s="336">
        <v>0.75</v>
      </c>
      <c r="L6" s="337" t="e">
        <f t="shared" si="2"/>
        <v>#DIV/0!</v>
      </c>
      <c r="M6" s="337" t="e">
        <f t="shared" si="3"/>
        <v>#DIV/0!</v>
      </c>
      <c r="Q6" s="337" t="e">
        <f>C6*K6*J6</f>
        <v>#DIV/0!</v>
      </c>
    </row>
    <row r="7" spans="2:19" x14ac:dyDescent="0.25">
      <c r="C7" s="339" t="e">
        <f>'DCF_-_FCFE_timing'!C43</f>
        <v>#DIV/0!</v>
      </c>
      <c r="D7" s="132" t="s">
        <v>725</v>
      </c>
      <c r="E7" s="346" t="e">
        <f>C7*B10</f>
        <v>#DIV/0!</v>
      </c>
      <c r="F7" s="346" t="e">
        <f t="shared" si="0"/>
        <v>#DIV/0!</v>
      </c>
      <c r="G7" s="346" t="e">
        <f>C7*C10</f>
        <v>#DIV/0!</v>
      </c>
      <c r="H7" s="346" t="e">
        <f t="shared" si="1"/>
        <v>#DIV/0!</v>
      </c>
      <c r="J7" s="335">
        <f>J6</f>
        <v>0.6</v>
      </c>
      <c r="K7" s="336">
        <v>0</v>
      </c>
      <c r="L7" s="337" t="e">
        <f t="shared" si="2"/>
        <v>#DIV/0!</v>
      </c>
      <c r="M7" s="337" t="e">
        <f t="shared" si="3"/>
        <v>#DIV/0!</v>
      </c>
      <c r="N7" s="337" t="e">
        <f>SUM(L4:L7)*J4</f>
        <v>#DIV/0!</v>
      </c>
      <c r="O7" s="337" t="e">
        <f>SUM(M4:M7)*J4</f>
        <v>#DIV/0!</v>
      </c>
      <c r="Q7" s="337" t="e">
        <f>C7*K7*J7</f>
        <v>#DIV/0!</v>
      </c>
    </row>
    <row r="8" spans="2:19" x14ac:dyDescent="0.25">
      <c r="D8" s="132" t="s">
        <v>689</v>
      </c>
      <c r="E8" s="346" t="e">
        <f>mkt_comps_summary!C65</f>
        <v>#DIV/0!</v>
      </c>
      <c r="F8" s="346" t="e">
        <f t="shared" si="0"/>
        <v>#DIV/0!</v>
      </c>
      <c r="G8" s="346" t="e">
        <f>mkt_comps_summary!E65</f>
        <v>#DIV/0!</v>
      </c>
      <c r="H8" s="346" t="e">
        <f t="shared" si="1"/>
        <v>#DIV/0!</v>
      </c>
      <c r="J8" s="340">
        <v>0</v>
      </c>
      <c r="K8" s="336">
        <v>0.14285714285714288</v>
      </c>
      <c r="L8" s="337" t="str">
        <f>IFERROR(K8*E8,"No Values")</f>
        <v>No Values</v>
      </c>
      <c r="M8" t="str">
        <f>IFERROR(G8*K8,"No Values")</f>
        <v>No Values</v>
      </c>
      <c r="Q8" s="337">
        <f t="shared" si="4"/>
        <v>0</v>
      </c>
    </row>
    <row r="9" spans="2:19" x14ac:dyDescent="0.25">
      <c r="B9" t="s">
        <v>758</v>
      </c>
      <c r="D9" s="132" t="s">
        <v>691</v>
      </c>
      <c r="E9" s="346" t="e">
        <f>mkt_comps_summary!C66</f>
        <v>#DIV/0!</v>
      </c>
      <c r="F9" s="346" t="e">
        <f t="shared" si="0"/>
        <v>#DIV/0!</v>
      </c>
      <c r="G9" s="346" t="e">
        <f>mkt_comps_summary!E66</f>
        <v>#DIV/0!</v>
      </c>
      <c r="H9" s="346" t="e">
        <f t="shared" si="1"/>
        <v>#DIV/0!</v>
      </c>
      <c r="J9" s="340">
        <f t="shared" ref="J9:J14" si="5">J8</f>
        <v>0</v>
      </c>
      <c r="K9" s="336">
        <v>0.14285714285714288</v>
      </c>
      <c r="L9" s="337" t="str">
        <f t="shared" ref="L9:L13" si="6">IFERROR(K9*E9,"No Values")</f>
        <v>No Values</v>
      </c>
      <c r="M9" t="str">
        <f t="shared" ref="M9:M14" si="7">IFERROR(G9*K9,"No Values")</f>
        <v>No Values</v>
      </c>
      <c r="Q9" s="337">
        <f t="shared" si="4"/>
        <v>0</v>
      </c>
    </row>
    <row r="10" spans="2:19" x14ac:dyDescent="0.25">
      <c r="B10">
        <v>0.9</v>
      </c>
      <c r="C10">
        <v>1.1000000000000001</v>
      </c>
      <c r="D10" s="132" t="s">
        <v>693</v>
      </c>
      <c r="E10" s="346" t="e">
        <f>mkt_comps_summary!C67</f>
        <v>#DIV/0!</v>
      </c>
      <c r="F10" s="346" t="e">
        <f t="shared" si="0"/>
        <v>#DIV/0!</v>
      </c>
      <c r="G10" s="346" t="e">
        <f>mkt_comps_summary!E67</f>
        <v>#DIV/0!</v>
      </c>
      <c r="H10" s="346" t="e">
        <f t="shared" si="1"/>
        <v>#DIV/0!</v>
      </c>
      <c r="J10" s="340">
        <f t="shared" si="5"/>
        <v>0</v>
      </c>
      <c r="K10" s="336">
        <v>0.14285714285714288</v>
      </c>
      <c r="L10" s="337" t="str">
        <f t="shared" si="6"/>
        <v>No Values</v>
      </c>
      <c r="M10" t="str">
        <f t="shared" si="7"/>
        <v>No Values</v>
      </c>
      <c r="Q10" s="337">
        <f t="shared" si="4"/>
        <v>0</v>
      </c>
    </row>
    <row r="11" spans="2:19" x14ac:dyDescent="0.25">
      <c r="D11" s="132" t="s">
        <v>694</v>
      </c>
      <c r="E11" s="346" t="e">
        <f>mkt_comps_summary!C68</f>
        <v>#DIV/0!</v>
      </c>
      <c r="F11" s="346" t="e">
        <f>E11</f>
        <v>#DIV/0!</v>
      </c>
      <c r="G11" s="346" t="e">
        <f>mkt_comps_summary!E68</f>
        <v>#DIV/0!</v>
      </c>
      <c r="H11" s="346" t="e">
        <f>G11</f>
        <v>#DIV/0!</v>
      </c>
      <c r="J11" s="340">
        <f t="shared" si="5"/>
        <v>0</v>
      </c>
      <c r="K11" s="336">
        <v>0.14285714285714288</v>
      </c>
      <c r="L11" s="337" t="str">
        <f t="shared" si="6"/>
        <v>No Values</v>
      </c>
      <c r="M11" t="str">
        <f t="shared" si="7"/>
        <v>No Values</v>
      </c>
      <c r="Q11" s="337">
        <f t="shared" si="4"/>
        <v>0</v>
      </c>
    </row>
    <row r="12" spans="2:19" x14ac:dyDescent="0.25">
      <c r="D12" s="132" t="s">
        <v>695</v>
      </c>
      <c r="E12" s="346" t="e">
        <f>mkt_comps_summary!F60</f>
        <v>#DIV/0!</v>
      </c>
      <c r="F12" s="346" t="e">
        <f>E12</f>
        <v>#DIV/0!</v>
      </c>
      <c r="G12" s="346" t="e">
        <f>mkt_comps_summary!F61</f>
        <v>#DIV/0!</v>
      </c>
      <c r="H12" s="346" t="e">
        <f>G12</f>
        <v>#DIV/0!</v>
      </c>
      <c r="J12" s="340">
        <f t="shared" si="5"/>
        <v>0</v>
      </c>
      <c r="K12" s="336">
        <v>0.14285714285714288</v>
      </c>
      <c r="L12" s="337" t="str">
        <f t="shared" si="6"/>
        <v>No Values</v>
      </c>
      <c r="M12" t="str">
        <f t="shared" si="7"/>
        <v>No Values</v>
      </c>
      <c r="Q12" s="337">
        <f t="shared" si="4"/>
        <v>0</v>
      </c>
    </row>
    <row r="13" spans="2:19" x14ac:dyDescent="0.25">
      <c r="D13" s="132" t="s">
        <v>696</v>
      </c>
      <c r="E13" s="346" t="e">
        <f>mkt_comps_summary!C70</f>
        <v>#DIV/0!</v>
      </c>
      <c r="F13" s="346" t="e">
        <f>E13</f>
        <v>#DIV/0!</v>
      </c>
      <c r="G13" s="346" t="e">
        <f>mkt_comps_summary!E70</f>
        <v>#DIV/0!</v>
      </c>
      <c r="H13" s="346" t="e">
        <f>G13</f>
        <v>#DIV/0!</v>
      </c>
      <c r="J13" s="340">
        <f t="shared" si="5"/>
        <v>0</v>
      </c>
      <c r="K13" s="336">
        <v>0.14285714285714288</v>
      </c>
      <c r="L13" s="337" t="str">
        <f t="shared" si="6"/>
        <v>No Values</v>
      </c>
      <c r="M13" t="str">
        <f t="shared" si="7"/>
        <v>No Values</v>
      </c>
      <c r="Q13" s="337">
        <f t="shared" si="4"/>
        <v>0</v>
      </c>
    </row>
    <row r="14" spans="2:19" x14ac:dyDescent="0.25">
      <c r="D14" s="132" t="s">
        <v>697</v>
      </c>
      <c r="E14" s="346" t="e">
        <f>mkt_comps_summary!C71</f>
        <v>#DIV/0!</v>
      </c>
      <c r="F14" s="346" t="e">
        <f>E14</f>
        <v>#DIV/0!</v>
      </c>
      <c r="G14" s="346" t="e">
        <f>mkt_comps_summary!E71</f>
        <v>#DIV/0!</v>
      </c>
      <c r="H14" s="346" t="e">
        <f>G14</f>
        <v>#DIV/0!</v>
      </c>
      <c r="J14" s="340">
        <f t="shared" si="5"/>
        <v>0</v>
      </c>
      <c r="K14" s="336">
        <v>0.14285714285714288</v>
      </c>
      <c r="L14" s="337" t="str">
        <f>IFERROR(K14*E14,"No Values")</f>
        <v>No Values</v>
      </c>
      <c r="M14" t="str">
        <f t="shared" si="7"/>
        <v>No Values</v>
      </c>
      <c r="N14">
        <f>IFERROR(SUM(L8:L14)*J8,"0")</f>
        <v>0</v>
      </c>
      <c r="O14" s="337">
        <f>IFERROR(SUM(M8:M14)*J8,"0")</f>
        <v>0</v>
      </c>
      <c r="Q14" s="337">
        <f t="shared" si="4"/>
        <v>0</v>
      </c>
      <c r="S14" t="s">
        <v>726</v>
      </c>
    </row>
    <row r="15" spans="2:19" x14ac:dyDescent="0.25">
      <c r="D15" s="341" t="s">
        <v>657</v>
      </c>
      <c r="E15" s="347" t="e">
        <f>Residual_inc!C26*B10</f>
        <v>#DIV/0!</v>
      </c>
      <c r="F15" s="347" t="e">
        <f>E15</f>
        <v>#DIV/0!</v>
      </c>
      <c r="G15" s="347" t="e">
        <f>Residual_inc!C26*C10</f>
        <v>#DIV/0!</v>
      </c>
      <c r="H15" s="346" t="e">
        <f>G15</f>
        <v>#DIV/0!</v>
      </c>
      <c r="J15" s="342">
        <v>0.4</v>
      </c>
      <c r="K15" s="336">
        <v>1</v>
      </c>
      <c r="L15" s="337" t="e">
        <f>K15*E15</f>
        <v>#DIV/0!</v>
      </c>
      <c r="M15" s="337" t="e">
        <f t="shared" si="3"/>
        <v>#DIV/0!</v>
      </c>
      <c r="N15" s="337" t="e">
        <f>L15*J15</f>
        <v>#DIV/0!</v>
      </c>
      <c r="O15" s="337" t="e">
        <f>M15*J15</f>
        <v>#DIV/0!</v>
      </c>
      <c r="Q15" s="337" t="e">
        <f>K15*J15*AVERAGE(F15:G15)</f>
        <v>#DIV/0!</v>
      </c>
      <c r="R15" t="s">
        <v>815</v>
      </c>
      <c r="S15" s="412" t="e">
        <f>N16</f>
        <v>#DIV/0!</v>
      </c>
    </row>
    <row r="16" spans="2:19" x14ac:dyDescent="0.25">
      <c r="D16" s="343"/>
      <c r="E16" s="343"/>
      <c r="F16" s="343"/>
      <c r="G16" s="343"/>
      <c r="H16" s="343"/>
      <c r="N16" s="344" t="e">
        <f>SUM(N4:N15)</f>
        <v>#DIV/0!</v>
      </c>
      <c r="O16" s="344" t="e">
        <f>SUM(O4:O15)</f>
        <v>#DIV/0!</v>
      </c>
      <c r="Q16" s="337" t="e">
        <f>SUM(Q4:Q15)</f>
        <v>#DIV/0!</v>
      </c>
      <c r="R16" t="s">
        <v>823</v>
      </c>
      <c r="S16" s="337">
        <v>19.41</v>
      </c>
    </row>
    <row r="17" spans="5:21" x14ac:dyDescent="0.25">
      <c r="I17" t="s">
        <v>338</v>
      </c>
      <c r="J17" s="157">
        <f>SUM(J4,J8,J15)</f>
        <v>1</v>
      </c>
      <c r="K17" s="336">
        <f>SUM(K4:K15)/3</f>
        <v>0.99999999999999989</v>
      </c>
      <c r="L17" s="337"/>
      <c r="M17" s="337"/>
      <c r="R17" t="s">
        <v>814</v>
      </c>
      <c r="S17" s="337" t="e">
        <f>Q16</f>
        <v>#DIV/0!</v>
      </c>
    </row>
    <row r="18" spans="5:21" x14ac:dyDescent="0.25">
      <c r="N18" t="s">
        <v>808</v>
      </c>
      <c r="R18" t="s">
        <v>813</v>
      </c>
      <c r="S18" s="412" t="e">
        <f>O16</f>
        <v>#DIV/0!</v>
      </c>
    </row>
    <row r="19" spans="5:21" ht="45" x14ac:dyDescent="0.25">
      <c r="L19" s="425" t="s">
        <v>727</v>
      </c>
      <c r="M19" s="426">
        <f>fin_model!C5</f>
        <v>0</v>
      </c>
      <c r="N19" t="e">
        <f>IF(M19&gt;O16,"sell",IF(M19&gt;N16,"Hold","Buy"))</f>
        <v>#DIV/0!</v>
      </c>
    </row>
    <row r="20" spans="5:21" x14ac:dyDescent="0.25">
      <c r="E20" s="127"/>
      <c r="F20" s="337"/>
      <c r="G20" s="337"/>
      <c r="H20" s="337"/>
    </row>
    <row r="21" spans="5:21" x14ac:dyDescent="0.25">
      <c r="L21" s="413" t="e">
        <f>"The price today should be between " &amp; "$" &amp; ROUND(S15,2) &amp; " and " &amp; "$" &amp;ROUND(S18,2)</f>
        <v>#DIV/0!</v>
      </c>
    </row>
    <row r="22" spans="5:21" x14ac:dyDescent="0.25">
      <c r="E22" s="127"/>
      <c r="F22" s="127"/>
      <c r="G22" s="127"/>
      <c r="H22" s="337"/>
    </row>
    <row r="24" spans="5:21" x14ac:dyDescent="0.25">
      <c r="U24" s="155">
        <f>J4*K4</f>
        <v>0.15</v>
      </c>
    </row>
    <row r="25" spans="5:21" x14ac:dyDescent="0.25">
      <c r="U25" s="155">
        <f>J6*K6</f>
        <v>0.44999999999999996</v>
      </c>
    </row>
    <row r="26" spans="5:21" x14ac:dyDescent="0.25">
      <c r="U26" s="157">
        <f>J15</f>
        <v>0.4</v>
      </c>
    </row>
  </sheetData>
  <conditionalFormatting sqref="J17:K17">
    <cfRule type="cellIs" dxfId="5" priority="1" operator="greaterThan">
      <formula>1</formula>
    </cfRule>
    <cfRule type="cellIs" dxfId="4" priority="2" operator="lessThan">
      <formula>1</formula>
    </cfRule>
    <cfRule type="cellIs" dxfId="3" priority="3" operator="equal">
      <formula>1</formula>
    </cfRule>
  </conditionalFormatting>
  <conditionalFormatting sqref="N19">
    <cfRule type="expression" dxfId="2" priority="17" stopIfTrue="1">
      <formula>NOT(ISERROR(SEARCH("Buy",N19)))</formula>
    </cfRule>
    <cfRule type="expression" dxfId="1" priority="18" stopIfTrue="1">
      <formula>NOT(ISERROR(SEARCH("Hold",N19)))</formula>
    </cfRule>
    <cfRule type="expression" dxfId="0" priority="19" stopIfTrue="1">
      <formula>NOT(ISERROR(SEARCH("Sell",N19)))</formula>
    </cfRule>
  </conditionalFormatting>
  <pageMargins left="0.70000000000000007" right="0.70000000000000007" top="0.75" bottom="0.75" header="0.30000000000000004" footer="0.30000000000000004"/>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D3A3-58E3-442A-A237-9D0AC671E99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hist_inc_stmt</vt:lpstr>
      <vt:lpstr>hist_bal_sht</vt:lpstr>
      <vt:lpstr>hist_scf</vt:lpstr>
      <vt:lpstr>fin_model</vt:lpstr>
      <vt:lpstr>model_drivers</vt:lpstr>
      <vt:lpstr>fsa_measures</vt:lpstr>
      <vt:lpstr>mergent_raw</vt:lpstr>
      <vt:lpstr>mergent_work</vt:lpstr>
      <vt:lpstr>mergent_report</vt:lpstr>
      <vt:lpstr>WACC</vt:lpstr>
      <vt:lpstr>DCF_-_FCFF_341</vt:lpstr>
      <vt:lpstr>DCF_-_FCFF_timing</vt:lpstr>
      <vt:lpstr>DCF_-_FCFF_timing_&amp;_normalized</vt:lpstr>
      <vt:lpstr>DCF_-_FCFE_341</vt:lpstr>
      <vt:lpstr>DCF_-_FCFE_timing</vt:lpstr>
      <vt:lpstr>mkt_comps_raw_&amp;_work</vt:lpstr>
      <vt:lpstr>mkt_comps_summary</vt:lpstr>
      <vt:lpstr>Residual_inc</vt:lpstr>
      <vt:lpstr>final_table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ITS Computer Classrooms and Stations</dc:creator>
  <dc:description/>
  <cp:lastModifiedBy>Michael Shelly</cp:lastModifiedBy>
  <dcterms:created xsi:type="dcterms:W3CDTF">2020-02-27T19:54:01Z</dcterms:created>
  <dcterms:modified xsi:type="dcterms:W3CDTF">2026-01-09T20:33:04Z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0x0101008ED4CA2AD6B68E4B99DDA1A08CFAAB6A</vt:lpwstr>
  </property>
</Properties>
</file>