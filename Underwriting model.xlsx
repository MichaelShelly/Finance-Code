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micha\Desktop\"/>
    </mc:Choice>
  </mc:AlternateContent>
  <xr:revisionPtr revIDLastSave="0" documentId="13_ncr:1_{5C0B787A-42AF-4717-BA7B-6B592F7A70C1}" xr6:coauthVersionLast="47" xr6:coauthVersionMax="47" xr10:uidLastSave="{00000000-0000-0000-0000-000000000000}"/>
  <bookViews>
    <workbookView xWindow="-120" yWindow="-120" windowWidth="38640" windowHeight="21120" activeTab="5" xr2:uid="{00000000-000D-0000-FFFF-FFFF00000000}"/>
  </bookViews>
  <sheets>
    <sheet name="Input Data" sheetId="1" r:id="rId1"/>
    <sheet name="Debt calculations" sheetId="2" r:id="rId2"/>
    <sheet name="Property Pro Forma Financials" sheetId="3" r:id="rId3"/>
    <sheet name="Final Analysis" sheetId="4" r:id="rId4"/>
    <sheet name="Stress Test Inputs" sheetId="7" r:id="rId5"/>
    <sheet name="Stress Test Debt Calc" sheetId="6" r:id="rId6"/>
    <sheet name="Stress Test Pro Forma" sheetId="12" r:id="rId7"/>
    <sheet name="Stress Test Financial Analysis" sheetId="9"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3" i="1" l="1"/>
  <c r="E23" i="1"/>
  <c r="E23" i="7"/>
  <c r="K8" i="12"/>
  <c r="G38" i="9"/>
  <c r="K10" i="12"/>
  <c r="M8" i="3"/>
  <c r="N19" i="7"/>
  <c r="M19" i="7"/>
  <c r="M5" i="3"/>
  <c r="D31" i="3"/>
  <c r="E31" i="3"/>
  <c r="F31" i="3"/>
  <c r="G31" i="3"/>
  <c r="C31" i="3"/>
  <c r="I25" i="3"/>
  <c r="I6" i="3"/>
  <c r="I7" i="3" s="1"/>
  <c r="I8" i="3" s="1"/>
  <c r="I10" i="3" s="1"/>
  <c r="I9" i="3"/>
  <c r="I19" i="3"/>
  <c r="I20" i="3"/>
  <c r="I21" i="3"/>
  <c r="I23" i="3"/>
  <c r="G26" i="9"/>
  <c r="G3" i="2"/>
  <c r="G4" i="9"/>
  <c r="D5" i="9" s="1"/>
  <c r="B3" i="6" s="1"/>
  <c r="G15" i="9"/>
  <c r="D6" i="12" s="1"/>
  <c r="E6" i="12" s="1"/>
  <c r="F6" i="12" s="1"/>
  <c r="G6" i="12" s="1"/>
  <c r="G7" i="12" s="1"/>
  <c r="D58" i="9"/>
  <c r="E53" i="9"/>
  <c r="F53" i="9"/>
  <c r="G53" i="9"/>
  <c r="H53" i="9"/>
  <c r="D53" i="9"/>
  <c r="N20" i="7"/>
  <c r="N21" i="7"/>
  <c r="N22" i="7"/>
  <c r="N23" i="7"/>
  <c r="N24" i="7"/>
  <c r="N25" i="7"/>
  <c r="N26" i="7"/>
  <c r="N27" i="7"/>
  <c r="N28" i="7"/>
  <c r="N29" i="7"/>
  <c r="N30" i="7"/>
  <c r="N18" i="7"/>
  <c r="M20" i="7"/>
  <c r="M21" i="7"/>
  <c r="M22" i="7"/>
  <c r="M23" i="7"/>
  <c r="M24" i="7"/>
  <c r="M25" i="7"/>
  <c r="M26" i="7"/>
  <c r="M27" i="7"/>
  <c r="M28" i="7"/>
  <c r="M29" i="7"/>
  <c r="M30" i="7"/>
  <c r="M18" i="7"/>
  <c r="N5" i="7"/>
  <c r="N4" i="7"/>
  <c r="D37" i="12"/>
  <c r="C37" i="12"/>
  <c r="B37" i="12"/>
  <c r="D36" i="12"/>
  <c r="C36" i="12"/>
  <c r="B36" i="12"/>
  <c r="B35" i="12"/>
  <c r="C29" i="12"/>
  <c r="C23" i="12"/>
  <c r="D23" i="12" s="1"/>
  <c r="E23" i="12" s="1"/>
  <c r="F23" i="12" s="1"/>
  <c r="G23" i="12" s="1"/>
  <c r="I23" i="12" s="1"/>
  <c r="C20" i="12"/>
  <c r="D20" i="12" s="1"/>
  <c r="E20" i="12" s="1"/>
  <c r="F20" i="12" s="1"/>
  <c r="G20" i="12" s="1"/>
  <c r="I20" i="12" s="1"/>
  <c r="C19" i="12"/>
  <c r="C21" i="12" s="1"/>
  <c r="C6" i="12"/>
  <c r="C9" i="12" s="1"/>
  <c r="C17" i="7"/>
  <c r="B17" i="7"/>
  <c r="K12" i="7"/>
  <c r="I12" i="7"/>
  <c r="H12" i="7"/>
  <c r="F12" i="7"/>
  <c r="C12" i="7"/>
  <c r="D12" i="7"/>
  <c r="E12" i="7"/>
  <c r="B12" i="7"/>
  <c r="C8" i="7"/>
  <c r="D8" i="7"/>
  <c r="E8" i="7"/>
  <c r="H8" i="7"/>
  <c r="B8" i="7"/>
  <c r="J3" i="7"/>
  <c r="I3" i="7"/>
  <c r="G3" i="7"/>
  <c r="F3" i="7"/>
  <c r="E3" i="7"/>
  <c r="D3" i="7"/>
  <c r="C3" i="7"/>
  <c r="B3" i="7"/>
  <c r="M9" i="6"/>
  <c r="D3" i="6"/>
  <c r="C4" i="6"/>
  <c r="B35" i="3"/>
  <c r="B36" i="3"/>
  <c r="C36" i="3"/>
  <c r="D36" i="3"/>
  <c r="B37" i="3"/>
  <c r="C37" i="3"/>
  <c r="D37" i="3"/>
  <c r="D23" i="3"/>
  <c r="E23" i="3" s="1"/>
  <c r="F23" i="3" s="1"/>
  <c r="G23" i="3" s="1"/>
  <c r="C29" i="3"/>
  <c r="D23" i="4"/>
  <c r="C6" i="3"/>
  <c r="C9" i="3" s="1"/>
  <c r="D3" i="2"/>
  <c r="M9" i="2"/>
  <c r="D3" i="4"/>
  <c r="D25" i="4" s="1"/>
  <c r="B3" i="2"/>
  <c r="C23" i="3"/>
  <c r="C20" i="3"/>
  <c r="D20" i="3" s="1"/>
  <c r="E20" i="3" s="1"/>
  <c r="F20" i="3" s="1"/>
  <c r="G20" i="3" s="1"/>
  <c r="C19" i="3"/>
  <c r="C21" i="3" s="1"/>
  <c r="A3" i="2"/>
  <c r="C4" i="2"/>
  <c r="C5" i="2" s="1"/>
  <c r="C6" i="2" s="1"/>
  <c r="C7" i="2" s="1"/>
  <c r="A7" i="2" s="1"/>
  <c r="E3" i="2" l="1"/>
  <c r="F3" i="2" s="1"/>
  <c r="C7" i="12"/>
  <c r="I6" i="12"/>
  <c r="I13" i="3"/>
  <c r="I15" i="3"/>
  <c r="I16" i="3"/>
  <c r="I14" i="3"/>
  <c r="F7" i="12"/>
  <c r="E7" i="12"/>
  <c r="D7" i="12"/>
  <c r="L26" i="9" s="1"/>
  <c r="A3" i="6"/>
  <c r="E3" i="6" s="1"/>
  <c r="E58" i="9"/>
  <c r="A4" i="6"/>
  <c r="B4" i="6" s="1"/>
  <c r="C8" i="12"/>
  <c r="C10" i="12" s="1"/>
  <c r="D19" i="12"/>
  <c r="G3" i="6"/>
  <c r="C5" i="6"/>
  <c r="D6" i="3"/>
  <c r="C7" i="3"/>
  <c r="A6" i="2"/>
  <c r="A4" i="2"/>
  <c r="D19" i="3"/>
  <c r="D11" i="4"/>
  <c r="C8" i="3"/>
  <c r="C10" i="3" s="1"/>
  <c r="A5" i="2"/>
  <c r="C8" i="2"/>
  <c r="A8" i="2" s="1"/>
  <c r="F3" i="6" l="1"/>
  <c r="H3" i="2"/>
  <c r="H3" i="6"/>
  <c r="I3" i="6" s="1"/>
  <c r="D4" i="6" s="1"/>
  <c r="I7" i="12"/>
  <c r="I8" i="12" s="1"/>
  <c r="I9" i="12"/>
  <c r="I17" i="3"/>
  <c r="F58" i="9"/>
  <c r="C13" i="12"/>
  <c r="C14" i="12"/>
  <c r="C15" i="12"/>
  <c r="C16" i="12"/>
  <c r="D9" i="12"/>
  <c r="D8" i="12"/>
  <c r="D21" i="12"/>
  <c r="E19" i="12"/>
  <c r="C6" i="6"/>
  <c r="A5" i="6"/>
  <c r="B5" i="6" s="1"/>
  <c r="E19" i="3"/>
  <c r="D21" i="3"/>
  <c r="D7" i="3"/>
  <c r="D9" i="3"/>
  <c r="D8" i="3"/>
  <c r="D10" i="3" s="1"/>
  <c r="E6" i="3"/>
  <c r="D4" i="4"/>
  <c r="D5" i="4" s="1"/>
  <c r="C16" i="3"/>
  <c r="C15" i="3"/>
  <c r="C14" i="3"/>
  <c r="C13" i="3"/>
  <c r="C9" i="2"/>
  <c r="A9" i="2" s="1"/>
  <c r="I10" i="12" l="1"/>
  <c r="I15" i="12" s="1"/>
  <c r="D10" i="12"/>
  <c r="D16" i="12" s="1"/>
  <c r="H58" i="9"/>
  <c r="G58" i="9"/>
  <c r="E9" i="12"/>
  <c r="E8" i="12"/>
  <c r="F19" i="12"/>
  <c r="E21" i="12"/>
  <c r="C17" i="12"/>
  <c r="C25" i="12" s="1"/>
  <c r="A6" i="6"/>
  <c r="B6" i="6" s="1"/>
  <c r="C7" i="6"/>
  <c r="E4" i="6"/>
  <c r="G4" i="6"/>
  <c r="E7" i="3"/>
  <c r="E8" i="3" s="1"/>
  <c r="E9" i="3"/>
  <c r="F6" i="3"/>
  <c r="D14" i="3"/>
  <c r="D15" i="3"/>
  <c r="D16" i="3"/>
  <c r="D13" i="3"/>
  <c r="F19" i="3"/>
  <c r="E21" i="3"/>
  <c r="C17" i="3"/>
  <c r="C25" i="3" s="1"/>
  <c r="C10" i="2"/>
  <c r="A10" i="2" s="1"/>
  <c r="I16" i="12" l="1"/>
  <c r="I14" i="12"/>
  <c r="I13" i="12"/>
  <c r="D13" i="12"/>
  <c r="D14" i="12"/>
  <c r="D15" i="12"/>
  <c r="E10" i="12"/>
  <c r="E15" i="12" s="1"/>
  <c r="F4" i="6"/>
  <c r="F9" i="12"/>
  <c r="F8" i="12"/>
  <c r="G19" i="12"/>
  <c r="F21" i="12"/>
  <c r="H4" i="6"/>
  <c r="I4" i="6" s="1"/>
  <c r="D5" i="6" s="1"/>
  <c r="G5" i="6" s="1"/>
  <c r="A7" i="6"/>
  <c r="B7" i="6" s="1"/>
  <c r="C8" i="6"/>
  <c r="E10" i="3"/>
  <c r="E14" i="3"/>
  <c r="E15" i="3"/>
  <c r="E16" i="3"/>
  <c r="E13" i="3"/>
  <c r="D12" i="4"/>
  <c r="D26" i="4" s="1"/>
  <c r="F21" i="3"/>
  <c r="G19" i="3"/>
  <c r="G21" i="3" s="1"/>
  <c r="D17" i="3"/>
  <c r="D25" i="3" s="1"/>
  <c r="G6" i="3"/>
  <c r="F7" i="3"/>
  <c r="F8" i="3" s="1"/>
  <c r="F10" i="3" s="1"/>
  <c r="F9" i="3"/>
  <c r="C11" i="2"/>
  <c r="A11" i="2" s="1"/>
  <c r="I17" i="12" l="1"/>
  <c r="G21" i="12"/>
  <c r="I19" i="12"/>
  <c r="I21" i="12" s="1"/>
  <c r="D17" i="12"/>
  <c r="D25" i="12" s="1"/>
  <c r="L14" i="9" s="1"/>
  <c r="E14" i="12"/>
  <c r="E16" i="12"/>
  <c r="E13" i="12"/>
  <c r="F10" i="12"/>
  <c r="F15" i="12" s="1"/>
  <c r="G8" i="12"/>
  <c r="G9" i="12"/>
  <c r="E5" i="6"/>
  <c r="A8" i="6"/>
  <c r="B8" i="6" s="1"/>
  <c r="C9" i="6"/>
  <c r="F15" i="3"/>
  <c r="F13" i="3"/>
  <c r="F14" i="3"/>
  <c r="F16" i="3"/>
  <c r="F17" i="3" s="1"/>
  <c r="F25" i="3" s="1"/>
  <c r="G7" i="3"/>
  <c r="G8" i="3" s="1"/>
  <c r="G10" i="3" s="1"/>
  <c r="G9" i="3"/>
  <c r="E17" i="3"/>
  <c r="E25" i="3" s="1"/>
  <c r="C12" i="2"/>
  <c r="A12" i="2" s="1"/>
  <c r="I25" i="12" l="1"/>
  <c r="E17" i="12"/>
  <c r="E25" i="12" s="1"/>
  <c r="S14" i="9" s="1"/>
  <c r="F13" i="12"/>
  <c r="F16" i="12"/>
  <c r="F14" i="12"/>
  <c r="G10" i="12"/>
  <c r="G15" i="12" s="1"/>
  <c r="H5" i="6"/>
  <c r="I5" i="6" s="1"/>
  <c r="D6" i="6" s="1"/>
  <c r="G6" i="6" s="1"/>
  <c r="F5" i="6"/>
  <c r="A9" i="6"/>
  <c r="B9" i="6" s="1"/>
  <c r="C10" i="6"/>
  <c r="G14" i="3"/>
  <c r="G16" i="3"/>
  <c r="G15" i="3"/>
  <c r="G13" i="3"/>
  <c r="G17" i="3" s="1"/>
  <c r="G25" i="3" s="1"/>
  <c r="C13" i="2"/>
  <c r="A13" i="2" s="1"/>
  <c r="K11" i="12" l="1"/>
  <c r="L38" i="9" s="1"/>
  <c r="F17" i="12"/>
  <c r="F25" i="12" s="1"/>
  <c r="G14" i="12"/>
  <c r="G13" i="12"/>
  <c r="G16" i="12"/>
  <c r="E6" i="6"/>
  <c r="F6" i="6" s="1"/>
  <c r="A10" i="6"/>
  <c r="B10" i="6" s="1"/>
  <c r="C11" i="6"/>
  <c r="C14" i="2"/>
  <c r="A14" i="2" s="1"/>
  <c r="G17" i="12" l="1"/>
  <c r="G25" i="12" s="1"/>
  <c r="H6" i="6"/>
  <c r="I6" i="6" s="1"/>
  <c r="D7" i="6" s="1"/>
  <c r="A11" i="6"/>
  <c r="B11" i="6" s="1"/>
  <c r="C12" i="6"/>
  <c r="C15" i="2"/>
  <c r="A15" i="2" s="1"/>
  <c r="G7" i="6" l="1"/>
  <c r="E7" i="6"/>
  <c r="A12" i="6"/>
  <c r="B12" i="6" s="1"/>
  <c r="C13" i="6"/>
  <c r="C16" i="2"/>
  <c r="A16" i="2" s="1"/>
  <c r="H7" i="6" l="1"/>
  <c r="I7" i="6" s="1"/>
  <c r="D8" i="6" s="1"/>
  <c r="F7" i="6"/>
  <c r="A13" i="6"/>
  <c r="B13" i="6" s="1"/>
  <c r="C14" i="6"/>
  <c r="C17" i="2"/>
  <c r="A17" i="2" s="1"/>
  <c r="E8" i="6" l="1"/>
  <c r="G8" i="6"/>
  <c r="A14" i="6"/>
  <c r="B14" i="6" s="1"/>
  <c r="C15" i="6"/>
  <c r="C18" i="2"/>
  <c r="A18" i="2" s="1"/>
  <c r="F8" i="6" l="1"/>
  <c r="H8" i="6"/>
  <c r="I8" i="6" s="1"/>
  <c r="D9" i="6" s="1"/>
  <c r="A15" i="6"/>
  <c r="B15" i="6" s="1"/>
  <c r="C16" i="6"/>
  <c r="C19" i="2"/>
  <c r="A19" i="2" s="1"/>
  <c r="E9" i="6" l="1"/>
  <c r="F9" i="6" s="1"/>
  <c r="G9" i="6"/>
  <c r="A16" i="6"/>
  <c r="B16" i="6" s="1"/>
  <c r="C17" i="6"/>
  <c r="C20" i="2"/>
  <c r="A20" i="2" s="1"/>
  <c r="H9" i="6" l="1"/>
  <c r="I9" i="6" s="1"/>
  <c r="D10" i="6" s="1"/>
  <c r="G10" i="6" s="1"/>
  <c r="A17" i="6"/>
  <c r="B17" i="6" s="1"/>
  <c r="C18" i="6"/>
  <c r="C21" i="2"/>
  <c r="A21" i="2" s="1"/>
  <c r="E10" i="6" l="1"/>
  <c r="F10" i="6" s="1"/>
  <c r="A18" i="6"/>
  <c r="B18" i="6" s="1"/>
  <c r="C19" i="6"/>
  <c r="C22" i="2"/>
  <c r="A22" i="2" s="1"/>
  <c r="H10" i="6" l="1"/>
  <c r="I10" i="6" s="1"/>
  <c r="D11" i="6" s="1"/>
  <c r="G11" i="6" s="1"/>
  <c r="A19" i="6"/>
  <c r="B19" i="6" s="1"/>
  <c r="C20" i="6"/>
  <c r="C23" i="2"/>
  <c r="A23" i="2" s="1"/>
  <c r="E11" i="6" l="1"/>
  <c r="H11" i="6" s="1"/>
  <c r="I11" i="6" s="1"/>
  <c r="D12" i="6" s="1"/>
  <c r="G12" i="6" s="1"/>
  <c r="A20" i="6"/>
  <c r="B20" i="6" s="1"/>
  <c r="C21" i="6"/>
  <c r="C24" i="2"/>
  <c r="A24" i="2" s="1"/>
  <c r="F11" i="6" l="1"/>
  <c r="E12" i="6"/>
  <c r="H12" i="6" s="1"/>
  <c r="I12" i="6" s="1"/>
  <c r="D13" i="6" s="1"/>
  <c r="A21" i="6"/>
  <c r="B21" i="6" s="1"/>
  <c r="C22" i="6"/>
  <c r="C25" i="2"/>
  <c r="A25" i="2" s="1"/>
  <c r="F12" i="6" l="1"/>
  <c r="E13" i="6"/>
  <c r="F13" i="6" s="1"/>
  <c r="G13" i="6"/>
  <c r="A22" i="6"/>
  <c r="B22" i="6" s="1"/>
  <c r="C23" i="6"/>
  <c r="C26" i="2"/>
  <c r="A26" i="2" s="1"/>
  <c r="H13" i="6" l="1"/>
  <c r="I13" i="6" s="1"/>
  <c r="D14" i="6" s="1"/>
  <c r="G14" i="6" s="1"/>
  <c r="A23" i="6"/>
  <c r="B23" i="6" s="1"/>
  <c r="C24" i="6"/>
  <c r="C27" i="2"/>
  <c r="A27" i="2" s="1"/>
  <c r="E14" i="6" l="1"/>
  <c r="A24" i="6"/>
  <c r="B24" i="6" s="1"/>
  <c r="C25" i="6"/>
  <c r="C28" i="2"/>
  <c r="A28" i="2" s="1"/>
  <c r="H14" i="6" l="1"/>
  <c r="I14" i="6" s="1"/>
  <c r="D15" i="6" s="1"/>
  <c r="G15" i="6" s="1"/>
  <c r="F14" i="6"/>
  <c r="C27" i="12"/>
  <c r="C30" i="12" s="1"/>
  <c r="D59" i="9" s="1"/>
  <c r="A25" i="6"/>
  <c r="B25" i="6" s="1"/>
  <c r="C26" i="6"/>
  <c r="C29" i="2"/>
  <c r="A29" i="2" s="1"/>
  <c r="E15" i="6" l="1"/>
  <c r="H15" i="6" s="1"/>
  <c r="I15" i="6" s="1"/>
  <c r="D16" i="6" s="1"/>
  <c r="F15" i="6"/>
  <c r="G16" i="6"/>
  <c r="E16" i="6"/>
  <c r="F16" i="6" s="1"/>
  <c r="A26" i="6"/>
  <c r="B26" i="6" s="1"/>
  <c r="C27" i="6"/>
  <c r="C30" i="2"/>
  <c r="A30" i="2" s="1"/>
  <c r="H16" i="6" l="1"/>
  <c r="I16" i="6" s="1"/>
  <c r="D17" i="6" s="1"/>
  <c r="A27" i="6"/>
  <c r="B27" i="6" s="1"/>
  <c r="C28" i="6"/>
  <c r="C31" i="2"/>
  <c r="A31" i="2" s="1"/>
  <c r="E17" i="6" l="1"/>
  <c r="F17" i="6" s="1"/>
  <c r="G17" i="6"/>
  <c r="A28" i="6"/>
  <c r="B28" i="6" s="1"/>
  <c r="C29" i="6"/>
  <c r="C32" i="2"/>
  <c r="A32" i="2" s="1"/>
  <c r="H17" i="6" l="1"/>
  <c r="I17" i="6" s="1"/>
  <c r="D18" i="6" s="1"/>
  <c r="A29" i="6"/>
  <c r="B29" i="6" s="1"/>
  <c r="C30" i="6"/>
  <c r="C33" i="2"/>
  <c r="A33" i="2" s="1"/>
  <c r="E18" i="6" l="1"/>
  <c r="F18" i="6" s="1"/>
  <c r="G18" i="6"/>
  <c r="A30" i="6"/>
  <c r="B30" i="6" s="1"/>
  <c r="C31" i="6"/>
  <c r="C34" i="2"/>
  <c r="A34" i="2" s="1"/>
  <c r="H18" i="6" l="1"/>
  <c r="I18" i="6" s="1"/>
  <c r="D19" i="6" s="1"/>
  <c r="G19" i="6" s="1"/>
  <c r="A31" i="6"/>
  <c r="B31" i="6" s="1"/>
  <c r="C32" i="6"/>
  <c r="C35" i="2"/>
  <c r="A35" i="2" s="1"/>
  <c r="E19" i="6" l="1"/>
  <c r="H19" i="6" s="1"/>
  <c r="I19" i="6" s="1"/>
  <c r="D20" i="6" s="1"/>
  <c r="A32" i="6"/>
  <c r="B32" i="6" s="1"/>
  <c r="C33" i="6"/>
  <c r="C36" i="2"/>
  <c r="A36" i="2" s="1"/>
  <c r="G20" i="6" l="1"/>
  <c r="E20" i="6"/>
  <c r="F19" i="6"/>
  <c r="A33" i="6"/>
  <c r="B33" i="6" s="1"/>
  <c r="C34" i="6"/>
  <c r="C37" i="2"/>
  <c r="A37" i="2" s="1"/>
  <c r="H20" i="6" l="1"/>
  <c r="I20" i="6" s="1"/>
  <c r="D21" i="6" s="1"/>
  <c r="G21" i="6" s="1"/>
  <c r="F20" i="6"/>
  <c r="A34" i="6"/>
  <c r="B34" i="6" s="1"/>
  <c r="C35" i="6"/>
  <c r="C38" i="2"/>
  <c r="A38" i="2" s="1"/>
  <c r="E21" i="6" l="1"/>
  <c r="F21" i="6" s="1"/>
  <c r="A35" i="6"/>
  <c r="B35" i="6" s="1"/>
  <c r="C36" i="6"/>
  <c r="C39" i="2"/>
  <c r="A39" i="2" s="1"/>
  <c r="H21" i="6" l="1"/>
  <c r="I21" i="6" s="1"/>
  <c r="D22" i="6" s="1"/>
  <c r="E22" i="6" s="1"/>
  <c r="F22" i="6" s="1"/>
  <c r="A36" i="6"/>
  <c r="B36" i="6" s="1"/>
  <c r="C37" i="6"/>
  <c r="C40" i="2"/>
  <c r="A40" i="2" s="1"/>
  <c r="G22" i="6" l="1"/>
  <c r="H22" i="6" s="1"/>
  <c r="I22" i="6" s="1"/>
  <c r="D23" i="6" s="1"/>
  <c r="A37" i="6"/>
  <c r="B37" i="6" s="1"/>
  <c r="C38" i="6"/>
  <c r="C41" i="2"/>
  <c r="A41" i="2" s="1"/>
  <c r="G23" i="6" l="1"/>
  <c r="E23" i="6"/>
  <c r="A38" i="6"/>
  <c r="B38" i="6" s="1"/>
  <c r="C39" i="6"/>
  <c r="C42" i="2"/>
  <c r="A42" i="2" s="1"/>
  <c r="H23" i="6" l="1"/>
  <c r="I23" i="6" s="1"/>
  <c r="D24" i="6" s="1"/>
  <c r="G24" i="6" s="1"/>
  <c r="F23" i="6"/>
  <c r="A39" i="6"/>
  <c r="B39" i="6" s="1"/>
  <c r="C40" i="6"/>
  <c r="C43" i="2"/>
  <c r="A43" i="2" s="1"/>
  <c r="E24" i="6" l="1"/>
  <c r="F24" i="6" s="1"/>
  <c r="A40" i="6"/>
  <c r="B40" i="6" s="1"/>
  <c r="C41" i="6"/>
  <c r="C44" i="2"/>
  <c r="A44" i="2" s="1"/>
  <c r="H24" i="6" l="1"/>
  <c r="I24" i="6" s="1"/>
  <c r="D25" i="6" s="1"/>
  <c r="E25" i="6" s="1"/>
  <c r="A41" i="6"/>
  <c r="B41" i="6" s="1"/>
  <c r="C42" i="6"/>
  <c r="C45" i="2"/>
  <c r="A45" i="2" s="1"/>
  <c r="G25" i="6" l="1"/>
  <c r="H25" i="6" s="1"/>
  <c r="I25" i="6" s="1"/>
  <c r="D26" i="6" s="1"/>
  <c r="F25" i="6"/>
  <c r="A42" i="6"/>
  <c r="B42" i="6" s="1"/>
  <c r="C43" i="6"/>
  <c r="C46" i="2"/>
  <c r="A46" i="2" s="1"/>
  <c r="E26" i="6" l="1"/>
  <c r="G26" i="6"/>
  <c r="A43" i="6"/>
  <c r="B43" i="6" s="1"/>
  <c r="C44" i="6"/>
  <c r="C47" i="2"/>
  <c r="A47" i="2" s="1"/>
  <c r="D27" i="12" l="1"/>
  <c r="F26" i="6"/>
  <c r="H26" i="6"/>
  <c r="I26" i="6" s="1"/>
  <c r="D27" i="6" s="1"/>
  <c r="A44" i="6"/>
  <c r="B44" i="6" s="1"/>
  <c r="C45" i="6"/>
  <c r="C48" i="2"/>
  <c r="A48" i="2" s="1"/>
  <c r="D30" i="12" l="1"/>
  <c r="E59" i="9" s="1"/>
  <c r="L3" i="9"/>
  <c r="E27" i="6"/>
  <c r="G27" i="6"/>
  <c r="A45" i="6"/>
  <c r="B45" i="6" s="1"/>
  <c r="C46" i="6"/>
  <c r="C49" i="2"/>
  <c r="A49" i="2" s="1"/>
  <c r="H27" i="6" l="1"/>
  <c r="I27" i="6" s="1"/>
  <c r="D28" i="6" s="1"/>
  <c r="G28" i="6" s="1"/>
  <c r="F27" i="6"/>
  <c r="A46" i="6"/>
  <c r="B46" i="6" s="1"/>
  <c r="C47" i="6"/>
  <c r="C50" i="2"/>
  <c r="A50" i="2" s="1"/>
  <c r="E28" i="6" l="1"/>
  <c r="A47" i="6"/>
  <c r="B47" i="6" s="1"/>
  <c r="C48" i="6"/>
  <c r="C51" i="2"/>
  <c r="A51" i="2" s="1"/>
  <c r="F28" i="6" l="1"/>
  <c r="H28" i="6"/>
  <c r="I28" i="6" s="1"/>
  <c r="D29" i="6" s="1"/>
  <c r="G29" i="6" s="1"/>
  <c r="A48" i="6"/>
  <c r="B48" i="6" s="1"/>
  <c r="C49" i="6"/>
  <c r="C52" i="2"/>
  <c r="A52" i="2" s="1"/>
  <c r="E29" i="6" l="1"/>
  <c r="A49" i="6"/>
  <c r="B49" i="6" s="1"/>
  <c r="C50" i="6"/>
  <c r="C53" i="2"/>
  <c r="A53" i="2" s="1"/>
  <c r="H29" i="6" l="1"/>
  <c r="I29" i="6" s="1"/>
  <c r="D30" i="6" s="1"/>
  <c r="E30" i="6" s="1"/>
  <c r="F30" i="6" s="1"/>
  <c r="F29" i="6"/>
  <c r="A50" i="6"/>
  <c r="B50" i="6" s="1"/>
  <c r="C51" i="6"/>
  <c r="C54" i="2"/>
  <c r="A54" i="2" s="1"/>
  <c r="G30" i="6" l="1"/>
  <c r="H30" i="6" s="1"/>
  <c r="I30" i="6" s="1"/>
  <c r="D31" i="6" s="1"/>
  <c r="G31" i="6" s="1"/>
  <c r="A51" i="6"/>
  <c r="B51" i="6" s="1"/>
  <c r="C52" i="6"/>
  <c r="C55" i="2"/>
  <c r="A55" i="2" s="1"/>
  <c r="E31" i="6" l="1"/>
  <c r="F31" i="6" s="1"/>
  <c r="A52" i="6"/>
  <c r="B52" i="6" s="1"/>
  <c r="C53" i="6"/>
  <c r="C56" i="2"/>
  <c r="A56" i="2" s="1"/>
  <c r="H31" i="6" l="1"/>
  <c r="I31" i="6" s="1"/>
  <c r="D32" i="6" s="1"/>
  <c r="E32" i="6" s="1"/>
  <c r="F32" i="6" s="1"/>
  <c r="A53" i="6"/>
  <c r="B53" i="6" s="1"/>
  <c r="C54" i="6"/>
  <c r="C57" i="2"/>
  <c r="A57" i="2" s="1"/>
  <c r="G32" i="6" l="1"/>
  <c r="H32" i="6" s="1"/>
  <c r="I32" i="6" s="1"/>
  <c r="D33" i="6" s="1"/>
  <c r="G33" i="6" s="1"/>
  <c r="A54" i="6"/>
  <c r="B54" i="6" s="1"/>
  <c r="C55" i="6"/>
  <c r="C58" i="2"/>
  <c r="A58" i="2" s="1"/>
  <c r="E33" i="6" l="1"/>
  <c r="H33" i="6" s="1"/>
  <c r="I33" i="6" s="1"/>
  <c r="D34" i="6" s="1"/>
  <c r="E34" i="6" s="1"/>
  <c r="A55" i="6"/>
  <c r="B55" i="6" s="1"/>
  <c r="C56" i="6"/>
  <c r="C59" i="2"/>
  <c r="A59" i="2" s="1"/>
  <c r="F33" i="6" l="1"/>
  <c r="F34" i="6"/>
  <c r="G34" i="6"/>
  <c r="H34" i="6" s="1"/>
  <c r="I34" i="6" s="1"/>
  <c r="D35" i="6" s="1"/>
  <c r="A56" i="6"/>
  <c r="B56" i="6" s="1"/>
  <c r="C57" i="6"/>
  <c r="C60" i="2"/>
  <c r="A60" i="2" s="1"/>
  <c r="G35" i="6" l="1"/>
  <c r="E35" i="6"/>
  <c r="F35" i="6" s="1"/>
  <c r="A57" i="6"/>
  <c r="B57" i="6" s="1"/>
  <c r="C58" i="6"/>
  <c r="C61" i="2"/>
  <c r="A61" i="2" s="1"/>
  <c r="H35" i="6" l="1"/>
  <c r="I35" i="6" s="1"/>
  <c r="D36" i="6" s="1"/>
  <c r="G36" i="6" s="1"/>
  <c r="A58" i="6"/>
  <c r="B58" i="6" s="1"/>
  <c r="C59" i="6"/>
  <c r="C62" i="2"/>
  <c r="A62" i="2" s="1"/>
  <c r="E36" i="6" l="1"/>
  <c r="H36" i="6" s="1"/>
  <c r="I36" i="6" s="1"/>
  <c r="D37" i="6" s="1"/>
  <c r="A59" i="6"/>
  <c r="B59" i="6" s="1"/>
  <c r="C60" i="6"/>
  <c r="C63" i="2"/>
  <c r="A63" i="2" s="1"/>
  <c r="F36" i="6" l="1"/>
  <c r="A60" i="6"/>
  <c r="B60" i="6" s="1"/>
  <c r="C61" i="6"/>
  <c r="G37" i="6"/>
  <c r="E37" i="6"/>
  <c r="C64" i="2"/>
  <c r="A64" i="2" s="1"/>
  <c r="A61" i="6" l="1"/>
  <c r="B61" i="6" s="1"/>
  <c r="C62" i="6"/>
  <c r="H37" i="6"/>
  <c r="I37" i="6" s="1"/>
  <c r="D38" i="6" s="1"/>
  <c r="F37" i="6"/>
  <c r="C65" i="2"/>
  <c r="A65" i="2" s="1"/>
  <c r="A62" i="6" l="1"/>
  <c r="B62" i="6" s="1"/>
  <c r="C63" i="6"/>
  <c r="E38" i="6"/>
  <c r="E27" i="12" s="1"/>
  <c r="G38" i="6"/>
  <c r="C66" i="2"/>
  <c r="A66" i="2" s="1"/>
  <c r="E30" i="12" l="1"/>
  <c r="F59" i="9" s="1"/>
  <c r="S3" i="9"/>
  <c r="A63" i="6"/>
  <c r="B63" i="6" s="1"/>
  <c r="C64" i="6"/>
  <c r="H38" i="6"/>
  <c r="I38" i="6" s="1"/>
  <c r="D39" i="6" s="1"/>
  <c r="F38" i="6"/>
  <c r="C67" i="2"/>
  <c r="A67" i="2" s="1"/>
  <c r="A64" i="6" l="1"/>
  <c r="B64" i="6" s="1"/>
  <c r="C65" i="6"/>
  <c r="G39" i="6"/>
  <c r="E39" i="6"/>
  <c r="C68" i="2"/>
  <c r="A68" i="2" s="1"/>
  <c r="A65" i="6" l="1"/>
  <c r="B65" i="6" s="1"/>
  <c r="C66" i="6"/>
  <c r="H39" i="6"/>
  <c r="I39" i="6" s="1"/>
  <c r="D40" i="6" s="1"/>
  <c r="F39" i="6"/>
  <c r="C69" i="2"/>
  <c r="A69" i="2" s="1"/>
  <c r="A66" i="6" l="1"/>
  <c r="B66" i="6" s="1"/>
  <c r="C67" i="6"/>
  <c r="G40" i="6"/>
  <c r="E40" i="6"/>
  <c r="C70" i="2"/>
  <c r="A70" i="2" s="1"/>
  <c r="H40" i="6" l="1"/>
  <c r="I40" i="6" s="1"/>
  <c r="D41" i="6" s="1"/>
  <c r="G41" i="6" s="1"/>
  <c r="A67" i="6"/>
  <c r="B67" i="6" s="1"/>
  <c r="C68" i="6"/>
  <c r="F40" i="6"/>
  <c r="C71" i="2"/>
  <c r="A71" i="2" s="1"/>
  <c r="E41" i="6" l="1"/>
  <c r="A68" i="6"/>
  <c r="B68" i="6" s="1"/>
  <c r="C69" i="6"/>
  <c r="C72" i="2"/>
  <c r="A72" i="2" s="1"/>
  <c r="F41" i="6" l="1"/>
  <c r="H41" i="6"/>
  <c r="I41" i="6" s="1"/>
  <c r="D42" i="6" s="1"/>
  <c r="E42" i="6" s="1"/>
  <c r="F42" i="6" s="1"/>
  <c r="A69" i="6"/>
  <c r="B69" i="6" s="1"/>
  <c r="C70" i="6"/>
  <c r="C73" i="2"/>
  <c r="A73" i="2" s="1"/>
  <c r="G42" i="6" l="1"/>
  <c r="H42" i="6" s="1"/>
  <c r="I42" i="6" s="1"/>
  <c r="D43" i="6" s="1"/>
  <c r="G43" i="6" s="1"/>
  <c r="A70" i="6"/>
  <c r="B70" i="6" s="1"/>
  <c r="C71" i="6"/>
  <c r="C74" i="2"/>
  <c r="A74" i="2" s="1"/>
  <c r="E43" i="6" l="1"/>
  <c r="H43" i="6" s="1"/>
  <c r="I43" i="6" s="1"/>
  <c r="D44" i="6" s="1"/>
  <c r="A71" i="6"/>
  <c r="B71" i="6" s="1"/>
  <c r="C72" i="6"/>
  <c r="C75" i="2"/>
  <c r="A75" i="2" s="1"/>
  <c r="F43" i="6" l="1"/>
  <c r="A72" i="6"/>
  <c r="B72" i="6" s="1"/>
  <c r="C73" i="6"/>
  <c r="G44" i="6"/>
  <c r="E44" i="6"/>
  <c r="C76" i="2"/>
  <c r="A76" i="2" s="1"/>
  <c r="A73" i="6" l="1"/>
  <c r="B73" i="6" s="1"/>
  <c r="C74" i="6"/>
  <c r="H44" i="6"/>
  <c r="I44" i="6" s="1"/>
  <c r="D45" i="6" s="1"/>
  <c r="F44" i="6"/>
  <c r="C77" i="2"/>
  <c r="A77" i="2" s="1"/>
  <c r="A74" i="6" l="1"/>
  <c r="B74" i="6" s="1"/>
  <c r="C75" i="6"/>
  <c r="E45" i="6"/>
  <c r="F45" i="6" s="1"/>
  <c r="G45" i="6"/>
  <c r="C78" i="2"/>
  <c r="A78" i="2" s="1"/>
  <c r="A75" i="6" l="1"/>
  <c r="B75" i="6" s="1"/>
  <c r="C76" i="6"/>
  <c r="H45" i="6"/>
  <c r="I45" i="6" s="1"/>
  <c r="D46" i="6" s="1"/>
  <c r="C79" i="2"/>
  <c r="A79" i="2" s="1"/>
  <c r="A76" i="6" l="1"/>
  <c r="B76" i="6" s="1"/>
  <c r="C77" i="6"/>
  <c r="E46" i="6"/>
  <c r="G46" i="6"/>
  <c r="C80" i="2"/>
  <c r="A80" i="2" s="1"/>
  <c r="A77" i="6" l="1"/>
  <c r="B77" i="6" s="1"/>
  <c r="C78" i="6"/>
  <c r="H46" i="6"/>
  <c r="I46" i="6" s="1"/>
  <c r="D47" i="6" s="1"/>
  <c r="F46" i="6"/>
  <c r="C81" i="2"/>
  <c r="A81" i="2" s="1"/>
  <c r="A78" i="6" l="1"/>
  <c r="B78" i="6" s="1"/>
  <c r="C79" i="6"/>
  <c r="G47" i="6"/>
  <c r="E47" i="6"/>
  <c r="C82" i="2"/>
  <c r="A82" i="2" s="1"/>
  <c r="A79" i="6" l="1"/>
  <c r="B79" i="6" s="1"/>
  <c r="C80" i="6"/>
  <c r="H47" i="6"/>
  <c r="I47" i="6" s="1"/>
  <c r="D48" i="6" s="1"/>
  <c r="F47" i="6"/>
  <c r="C83" i="2"/>
  <c r="A83" i="2" s="1"/>
  <c r="A80" i="6" l="1"/>
  <c r="B80" i="6" s="1"/>
  <c r="C81" i="6"/>
  <c r="G48" i="6"/>
  <c r="E48" i="6"/>
  <c r="C84" i="2"/>
  <c r="A84" i="2" s="1"/>
  <c r="A81" i="6" l="1"/>
  <c r="B81" i="6" s="1"/>
  <c r="C82" i="6"/>
  <c r="H48" i="6"/>
  <c r="I48" i="6" s="1"/>
  <c r="D49" i="6" s="1"/>
  <c r="F48" i="6"/>
  <c r="C85" i="2"/>
  <c r="A85" i="2" s="1"/>
  <c r="A82" i="6" l="1"/>
  <c r="B82" i="6" s="1"/>
  <c r="C83" i="6"/>
  <c r="G49" i="6"/>
  <c r="E49" i="6"/>
  <c r="C86" i="2"/>
  <c r="A86" i="2" s="1"/>
  <c r="A83" i="6" l="1"/>
  <c r="B83" i="6" s="1"/>
  <c r="C84" i="6"/>
  <c r="H49" i="6"/>
  <c r="I49" i="6" s="1"/>
  <c r="D50" i="6" s="1"/>
  <c r="F49" i="6"/>
  <c r="C87" i="2"/>
  <c r="A87" i="2" s="1"/>
  <c r="A84" i="6" l="1"/>
  <c r="B84" i="6" s="1"/>
  <c r="C85" i="6"/>
  <c r="E50" i="6"/>
  <c r="G50" i="6"/>
  <c r="C88" i="2"/>
  <c r="A88" i="2" s="1"/>
  <c r="F27" i="12" l="1"/>
  <c r="F30" i="12" s="1"/>
  <c r="G59" i="9" s="1"/>
  <c r="A85" i="6"/>
  <c r="B85" i="6" s="1"/>
  <c r="C86" i="6"/>
  <c r="H50" i="6"/>
  <c r="I50" i="6" s="1"/>
  <c r="D51" i="6" s="1"/>
  <c r="F50" i="6"/>
  <c r="C89" i="2"/>
  <c r="A89" i="2" s="1"/>
  <c r="A86" i="6" l="1"/>
  <c r="B86" i="6" s="1"/>
  <c r="C87" i="6"/>
  <c r="E51" i="6"/>
  <c r="G51" i="6"/>
  <c r="C90" i="2"/>
  <c r="A90" i="2" s="1"/>
  <c r="A87" i="6" l="1"/>
  <c r="B87" i="6" s="1"/>
  <c r="C88" i="6"/>
  <c r="H51" i="6"/>
  <c r="I51" i="6" s="1"/>
  <c r="D52" i="6" s="1"/>
  <c r="F51" i="6"/>
  <c r="C91" i="2"/>
  <c r="A91" i="2" s="1"/>
  <c r="A88" i="6" l="1"/>
  <c r="B88" i="6" s="1"/>
  <c r="C89" i="6"/>
  <c r="G52" i="6"/>
  <c r="E52" i="6"/>
  <c r="C92" i="2"/>
  <c r="A92" i="2" s="1"/>
  <c r="A89" i="6" l="1"/>
  <c r="B89" i="6" s="1"/>
  <c r="C90" i="6"/>
  <c r="H52" i="6"/>
  <c r="I52" i="6" s="1"/>
  <c r="D53" i="6" s="1"/>
  <c r="F52" i="6"/>
  <c r="C93" i="2"/>
  <c r="A93" i="2" s="1"/>
  <c r="A90" i="6" l="1"/>
  <c r="B90" i="6" s="1"/>
  <c r="C91" i="6"/>
  <c r="G53" i="6"/>
  <c r="E53" i="6"/>
  <c r="C94" i="2"/>
  <c r="A94" i="2" s="1"/>
  <c r="F53" i="6" l="1"/>
  <c r="A91" i="6"/>
  <c r="B91" i="6" s="1"/>
  <c r="C92" i="6"/>
  <c r="H53" i="6"/>
  <c r="I53" i="6" s="1"/>
  <c r="D54" i="6" s="1"/>
  <c r="C95" i="2"/>
  <c r="A95" i="2" s="1"/>
  <c r="A92" i="6" l="1"/>
  <c r="B92" i="6" s="1"/>
  <c r="C93" i="6"/>
  <c r="E54" i="6"/>
  <c r="G54" i="6"/>
  <c r="C96" i="2"/>
  <c r="A96" i="2" s="1"/>
  <c r="A93" i="6" l="1"/>
  <c r="B93" i="6" s="1"/>
  <c r="C94" i="6"/>
  <c r="H54" i="6"/>
  <c r="I54" i="6" s="1"/>
  <c r="D55" i="6" s="1"/>
  <c r="F54" i="6"/>
  <c r="C97" i="2"/>
  <c r="A97" i="2" s="1"/>
  <c r="A94" i="6" l="1"/>
  <c r="B94" i="6" s="1"/>
  <c r="C95" i="6"/>
  <c r="E55" i="6"/>
  <c r="G55" i="6"/>
  <c r="C98" i="2"/>
  <c r="A98" i="2" s="1"/>
  <c r="A95" i="6" l="1"/>
  <c r="B95" i="6" s="1"/>
  <c r="C96" i="6"/>
  <c r="H55" i="6"/>
  <c r="I55" i="6" s="1"/>
  <c r="D56" i="6" s="1"/>
  <c r="F55" i="6"/>
  <c r="C99" i="2"/>
  <c r="A99" i="2" s="1"/>
  <c r="A96" i="6" l="1"/>
  <c r="B96" i="6" s="1"/>
  <c r="C97" i="6"/>
  <c r="E56" i="6"/>
  <c r="F56" i="6" s="1"/>
  <c r="G56" i="6"/>
  <c r="C100" i="2"/>
  <c r="A100" i="2" s="1"/>
  <c r="A97" i="6" l="1"/>
  <c r="B97" i="6" s="1"/>
  <c r="C98" i="6"/>
  <c r="H56" i="6"/>
  <c r="I56" i="6" s="1"/>
  <c r="D57" i="6" s="1"/>
  <c r="C101" i="2"/>
  <c r="A101" i="2" s="1"/>
  <c r="A98" i="6" l="1"/>
  <c r="B98" i="6" s="1"/>
  <c r="C99" i="6"/>
  <c r="G57" i="6"/>
  <c r="E57" i="6"/>
  <c r="C102" i="2"/>
  <c r="A102" i="2" s="1"/>
  <c r="A99" i="6" l="1"/>
  <c r="B99" i="6" s="1"/>
  <c r="C100" i="6"/>
  <c r="H57" i="6"/>
  <c r="I57" i="6" s="1"/>
  <c r="D58" i="6" s="1"/>
  <c r="F57" i="6"/>
  <c r="C103" i="2"/>
  <c r="A103" i="2" s="1"/>
  <c r="A100" i="6" l="1"/>
  <c r="B100" i="6" s="1"/>
  <c r="C101" i="6"/>
  <c r="E58" i="6"/>
  <c r="G58" i="6"/>
  <c r="C104" i="2"/>
  <c r="A104" i="2" s="1"/>
  <c r="A101" i="6" l="1"/>
  <c r="B101" i="6" s="1"/>
  <c r="C102" i="6"/>
  <c r="H58" i="6"/>
  <c r="I58" i="6" s="1"/>
  <c r="D59" i="6" s="1"/>
  <c r="F58" i="6"/>
  <c r="C105" i="2"/>
  <c r="A105" i="2" s="1"/>
  <c r="A102" i="6" l="1"/>
  <c r="B102" i="6" s="1"/>
  <c r="C103" i="6"/>
  <c r="E59" i="6"/>
  <c r="G59" i="6"/>
  <c r="C106" i="2"/>
  <c r="A106" i="2" s="1"/>
  <c r="A103" i="6" l="1"/>
  <c r="B103" i="6" s="1"/>
  <c r="C104" i="6"/>
  <c r="H59" i="6"/>
  <c r="I59" i="6" s="1"/>
  <c r="D60" i="6" s="1"/>
  <c r="F59" i="6"/>
  <c r="C107" i="2"/>
  <c r="A107" i="2" s="1"/>
  <c r="A104" i="6" l="1"/>
  <c r="B104" i="6" s="1"/>
  <c r="C105" i="6"/>
  <c r="G60" i="6"/>
  <c r="E60" i="6"/>
  <c r="F60" i="6" s="1"/>
  <c r="C108" i="2"/>
  <c r="A108" i="2" s="1"/>
  <c r="A105" i="6" l="1"/>
  <c r="B105" i="6" s="1"/>
  <c r="C106" i="6"/>
  <c r="H60" i="6"/>
  <c r="I60" i="6" s="1"/>
  <c r="D61" i="6" s="1"/>
  <c r="C109" i="2"/>
  <c r="A109" i="2" s="1"/>
  <c r="A106" i="6" l="1"/>
  <c r="B106" i="6" s="1"/>
  <c r="C107" i="6"/>
  <c r="G61" i="6"/>
  <c r="E61" i="6"/>
  <c r="F61" i="6" s="1"/>
  <c r="C110" i="2"/>
  <c r="A110" i="2" s="1"/>
  <c r="A107" i="6" l="1"/>
  <c r="B107" i="6" s="1"/>
  <c r="C108" i="6"/>
  <c r="H61" i="6"/>
  <c r="I61" i="6" s="1"/>
  <c r="D62" i="6" s="1"/>
  <c r="C111" i="2"/>
  <c r="A111" i="2" s="1"/>
  <c r="A108" i="6" l="1"/>
  <c r="B108" i="6" s="1"/>
  <c r="C109" i="6"/>
  <c r="E62" i="6"/>
  <c r="G27" i="12" s="1"/>
  <c r="G30" i="12" s="1"/>
  <c r="H59" i="9" s="1"/>
  <c r="G62" i="6"/>
  <c r="C112" i="2"/>
  <c r="A112" i="2" s="1"/>
  <c r="A109" i="6" l="1"/>
  <c r="B109" i="6" s="1"/>
  <c r="C110" i="6"/>
  <c r="H62" i="6"/>
  <c r="I62" i="6" s="1"/>
  <c r="D63" i="6" s="1"/>
  <c r="F62" i="6"/>
  <c r="C113" i="2"/>
  <c r="A113" i="2" s="1"/>
  <c r="A110" i="6" l="1"/>
  <c r="B110" i="6" s="1"/>
  <c r="C111" i="6"/>
  <c r="G63" i="6"/>
  <c r="E63" i="6"/>
  <c r="C114" i="2"/>
  <c r="A114" i="2" s="1"/>
  <c r="A111" i="6" l="1"/>
  <c r="B111" i="6" s="1"/>
  <c r="C112" i="6"/>
  <c r="H63" i="6"/>
  <c r="I63" i="6" s="1"/>
  <c r="D64" i="6" s="1"/>
  <c r="F63" i="6"/>
  <c r="C115" i="2"/>
  <c r="A115" i="2" s="1"/>
  <c r="A112" i="6" l="1"/>
  <c r="B112" i="6" s="1"/>
  <c r="C113" i="6"/>
  <c r="G64" i="6"/>
  <c r="E64" i="6"/>
  <c r="C116" i="2"/>
  <c r="A116" i="2" s="1"/>
  <c r="A113" i="6" l="1"/>
  <c r="B113" i="6" s="1"/>
  <c r="C114" i="6"/>
  <c r="H64" i="6"/>
  <c r="I64" i="6" s="1"/>
  <c r="D65" i="6" s="1"/>
  <c r="F64" i="6"/>
  <c r="C117" i="2"/>
  <c r="A117" i="2" s="1"/>
  <c r="A114" i="6" l="1"/>
  <c r="B114" i="6" s="1"/>
  <c r="C115" i="6"/>
  <c r="E65" i="6"/>
  <c r="G65" i="6"/>
  <c r="C118" i="2"/>
  <c r="A118" i="2" s="1"/>
  <c r="A115" i="6" l="1"/>
  <c r="B115" i="6" s="1"/>
  <c r="C116" i="6"/>
  <c r="H65" i="6"/>
  <c r="I65" i="6" s="1"/>
  <c r="D66" i="6" s="1"/>
  <c r="F65" i="6"/>
  <c r="C119" i="2"/>
  <c r="A119" i="2" s="1"/>
  <c r="A116" i="6" l="1"/>
  <c r="B116" i="6" s="1"/>
  <c r="C117" i="6"/>
  <c r="E66" i="6"/>
  <c r="G66" i="6"/>
  <c r="C120" i="2"/>
  <c r="A120" i="2" s="1"/>
  <c r="A117" i="6" l="1"/>
  <c r="B117" i="6" s="1"/>
  <c r="C118" i="6"/>
  <c r="H66" i="6"/>
  <c r="I66" i="6" s="1"/>
  <c r="D67" i="6" s="1"/>
  <c r="F66" i="6"/>
  <c r="C121" i="2"/>
  <c r="A121" i="2" s="1"/>
  <c r="A118" i="6" l="1"/>
  <c r="B118" i="6" s="1"/>
  <c r="C119" i="6"/>
  <c r="G67" i="6"/>
  <c r="E67" i="6"/>
  <c r="C122" i="2"/>
  <c r="A122" i="2" s="1"/>
  <c r="A119" i="6" l="1"/>
  <c r="B119" i="6" s="1"/>
  <c r="C120" i="6"/>
  <c r="H67" i="6"/>
  <c r="I67" i="6" s="1"/>
  <c r="D68" i="6" s="1"/>
  <c r="F67" i="6"/>
  <c r="C123" i="2"/>
  <c r="A123" i="2" s="1"/>
  <c r="A120" i="6" l="1"/>
  <c r="B120" i="6" s="1"/>
  <c r="C121" i="6"/>
  <c r="G68" i="6"/>
  <c r="E68" i="6"/>
  <c r="C124" i="2"/>
  <c r="A124" i="2" s="1"/>
  <c r="A121" i="6" l="1"/>
  <c r="B121" i="6" s="1"/>
  <c r="C122" i="6"/>
  <c r="H68" i="6"/>
  <c r="I68" i="6" s="1"/>
  <c r="D69" i="6" s="1"/>
  <c r="F68" i="6"/>
  <c r="C125" i="2"/>
  <c r="A125" i="2" s="1"/>
  <c r="A122" i="6" l="1"/>
  <c r="B122" i="6" s="1"/>
  <c r="C123" i="6"/>
  <c r="G69" i="6"/>
  <c r="E69" i="6"/>
  <c r="F69" i="6" s="1"/>
  <c r="C126" i="2"/>
  <c r="A126" i="2" s="1"/>
  <c r="G123" i="6" l="1"/>
  <c r="A123" i="6"/>
  <c r="B123" i="6" s="1"/>
  <c r="C124" i="6"/>
  <c r="H69" i="6"/>
  <c r="I69" i="6" s="1"/>
  <c r="D70" i="6" s="1"/>
  <c r="C127" i="2"/>
  <c r="A127" i="2" s="1"/>
  <c r="G124" i="6" l="1"/>
  <c r="A124" i="6"/>
  <c r="B124" i="6" s="1"/>
  <c r="C125" i="6"/>
  <c r="E70" i="6"/>
  <c r="F70" i="6" s="1"/>
  <c r="G70" i="6"/>
  <c r="C128" i="2"/>
  <c r="A128" i="2" s="1"/>
  <c r="A125" i="6" l="1"/>
  <c r="B125" i="6" s="1"/>
  <c r="G125" i="6"/>
  <c r="C126" i="6"/>
  <c r="H70" i="6"/>
  <c r="I70" i="6" s="1"/>
  <c r="D71" i="6" s="1"/>
  <c r="C129" i="2"/>
  <c r="A129" i="2" s="1"/>
  <c r="G126" i="6" l="1"/>
  <c r="A126" i="6"/>
  <c r="B126" i="6" s="1"/>
  <c r="C127" i="6"/>
  <c r="G71" i="6"/>
  <c r="E71" i="6"/>
  <c r="C130" i="2"/>
  <c r="A130" i="2" s="1"/>
  <c r="G127" i="6" l="1"/>
  <c r="A127" i="6"/>
  <c r="B127" i="6" s="1"/>
  <c r="C128" i="6"/>
  <c r="H71" i="6"/>
  <c r="I71" i="6" s="1"/>
  <c r="D72" i="6" s="1"/>
  <c r="F71" i="6"/>
  <c r="C131" i="2"/>
  <c r="A131" i="2" s="1"/>
  <c r="G128" i="6" l="1"/>
  <c r="A128" i="6"/>
  <c r="B128" i="6" s="1"/>
  <c r="C129" i="6"/>
  <c r="E72" i="6"/>
  <c r="G72" i="6"/>
  <c r="C132" i="2"/>
  <c r="A132" i="2" s="1"/>
  <c r="G129" i="6" l="1"/>
  <c r="A129" i="6"/>
  <c r="B129" i="6" s="1"/>
  <c r="C130" i="6"/>
  <c r="H72" i="6"/>
  <c r="I72" i="6" s="1"/>
  <c r="D73" i="6" s="1"/>
  <c r="F72" i="6"/>
  <c r="C133" i="2"/>
  <c r="A133" i="2" s="1"/>
  <c r="G130" i="6" l="1"/>
  <c r="A130" i="6"/>
  <c r="B130" i="6" s="1"/>
  <c r="C131" i="6"/>
  <c r="E73" i="6"/>
  <c r="G73" i="6"/>
  <c r="C134" i="2"/>
  <c r="A134" i="2" s="1"/>
  <c r="G131" i="6" l="1"/>
  <c r="A131" i="6"/>
  <c r="B131" i="6" s="1"/>
  <c r="C132" i="6"/>
  <c r="H73" i="6"/>
  <c r="I73" i="6" s="1"/>
  <c r="D74" i="6" s="1"/>
  <c r="F73" i="6"/>
  <c r="C135" i="2"/>
  <c r="A135" i="2" s="1"/>
  <c r="G132" i="6" l="1"/>
  <c r="A132" i="6"/>
  <c r="B132" i="6" s="1"/>
  <c r="C133" i="6"/>
  <c r="E74" i="6"/>
  <c r="I27" i="12" s="1"/>
  <c r="G74" i="6"/>
  <c r="C136" i="2"/>
  <c r="A136" i="2" s="1"/>
  <c r="A133" i="6" l="1"/>
  <c r="B133" i="6" s="1"/>
  <c r="G133" i="6"/>
  <c r="C134" i="6"/>
  <c r="H74" i="6"/>
  <c r="I74" i="6" s="1"/>
  <c r="D75" i="6" s="1"/>
  <c r="F74" i="6"/>
  <c r="C137" i="2"/>
  <c r="A137" i="2" s="1"/>
  <c r="A134" i="6" l="1"/>
  <c r="B134" i="6" s="1"/>
  <c r="G134" i="6"/>
  <c r="C135" i="6"/>
  <c r="G75" i="6"/>
  <c r="E75" i="6"/>
  <c r="I30" i="12" s="1"/>
  <c r="C138" i="2"/>
  <c r="A138" i="2" s="1"/>
  <c r="A135" i="6" l="1"/>
  <c r="B135" i="6" s="1"/>
  <c r="G135" i="6"/>
  <c r="C136" i="6"/>
  <c r="H75" i="6"/>
  <c r="I75" i="6" s="1"/>
  <c r="D76" i="6" s="1"/>
  <c r="F75" i="6"/>
  <c r="C139" i="2"/>
  <c r="A139" i="2" s="1"/>
  <c r="A136" i="6" l="1"/>
  <c r="B136" i="6" s="1"/>
  <c r="G136" i="6"/>
  <c r="C137" i="6"/>
  <c r="E76" i="6"/>
  <c r="F76" i="6" s="1"/>
  <c r="G76" i="6"/>
  <c r="C140" i="2"/>
  <c r="A140" i="2" s="1"/>
  <c r="G137" i="6" l="1"/>
  <c r="A137" i="6"/>
  <c r="B137" i="6" s="1"/>
  <c r="C138" i="6"/>
  <c r="H76" i="6"/>
  <c r="I76" i="6" s="1"/>
  <c r="D77" i="6" s="1"/>
  <c r="C141" i="2"/>
  <c r="A141" i="2" s="1"/>
  <c r="G138" i="6" l="1"/>
  <c r="A138" i="6"/>
  <c r="B138" i="6" s="1"/>
  <c r="C139" i="6"/>
  <c r="G77" i="6"/>
  <c r="E77" i="6"/>
  <c r="C142" i="2"/>
  <c r="A142" i="2" s="1"/>
  <c r="G139" i="6" l="1"/>
  <c r="A139" i="6"/>
  <c r="B139" i="6" s="1"/>
  <c r="C140" i="6"/>
  <c r="H77" i="6"/>
  <c r="I77" i="6" s="1"/>
  <c r="D78" i="6" s="1"/>
  <c r="F77" i="6"/>
  <c r="C143" i="2"/>
  <c r="A143" i="2" s="1"/>
  <c r="G140" i="6" l="1"/>
  <c r="A140" i="6"/>
  <c r="B140" i="6" s="1"/>
  <c r="C141" i="6"/>
  <c r="E78" i="6"/>
  <c r="G78" i="6"/>
  <c r="C144" i="2"/>
  <c r="A144" i="2" s="1"/>
  <c r="A141" i="6" l="1"/>
  <c r="B141" i="6" s="1"/>
  <c r="G141" i="6"/>
  <c r="C142" i="6"/>
  <c r="H78" i="6"/>
  <c r="I78" i="6" s="1"/>
  <c r="D79" i="6" s="1"/>
  <c r="F78" i="6"/>
  <c r="C145" i="2"/>
  <c r="A145" i="2" s="1"/>
  <c r="A142" i="6" l="1"/>
  <c r="B142" i="6" s="1"/>
  <c r="G142" i="6"/>
  <c r="C143" i="6"/>
  <c r="G79" i="6"/>
  <c r="E79" i="6"/>
  <c r="C146" i="2"/>
  <c r="A146" i="2" s="1"/>
  <c r="A143" i="6" l="1"/>
  <c r="B143" i="6" s="1"/>
  <c r="G143" i="6"/>
  <c r="C144" i="6"/>
  <c r="H79" i="6"/>
  <c r="I79" i="6" s="1"/>
  <c r="D80" i="6" s="1"/>
  <c r="F79" i="6"/>
  <c r="C147" i="2"/>
  <c r="A147" i="2" s="1"/>
  <c r="G144" i="6" l="1"/>
  <c r="A144" i="6"/>
  <c r="B144" i="6" s="1"/>
  <c r="C145" i="6"/>
  <c r="G80" i="6"/>
  <c r="E80" i="6"/>
  <c r="C148" i="2"/>
  <c r="A148" i="2" s="1"/>
  <c r="G145" i="6" l="1"/>
  <c r="A145" i="6"/>
  <c r="B145" i="6" s="1"/>
  <c r="C146" i="6"/>
  <c r="H80" i="6"/>
  <c r="I80" i="6" s="1"/>
  <c r="D81" i="6" s="1"/>
  <c r="F80" i="6"/>
  <c r="C149" i="2"/>
  <c r="A149" i="2" s="1"/>
  <c r="G146" i="6" l="1"/>
  <c r="A146" i="6"/>
  <c r="B146" i="6" s="1"/>
  <c r="C147" i="6"/>
  <c r="E81" i="6"/>
  <c r="F81" i="6" s="1"/>
  <c r="G81" i="6"/>
  <c r="C150" i="2"/>
  <c r="A150" i="2" s="1"/>
  <c r="A147" i="6" l="1"/>
  <c r="B147" i="6" s="1"/>
  <c r="G147" i="6"/>
  <c r="C148" i="6"/>
  <c r="H81" i="6"/>
  <c r="I81" i="6" s="1"/>
  <c r="D82" i="6" s="1"/>
  <c r="C151" i="2"/>
  <c r="A151" i="2" s="1"/>
  <c r="G148" i="6" l="1"/>
  <c r="A148" i="6"/>
  <c r="B148" i="6" s="1"/>
  <c r="C149" i="6"/>
  <c r="E82" i="6"/>
  <c r="F82" i="6" s="1"/>
  <c r="G82" i="6"/>
  <c r="C152" i="2"/>
  <c r="A152" i="2" s="1"/>
  <c r="A149" i="6" l="1"/>
  <c r="B149" i="6" s="1"/>
  <c r="G149" i="6"/>
  <c r="C150" i="6"/>
  <c r="H82" i="6"/>
  <c r="I82" i="6" s="1"/>
  <c r="D83" i="6" s="1"/>
  <c r="C153" i="2"/>
  <c r="A153" i="2" s="1"/>
  <c r="A150" i="6" l="1"/>
  <c r="B150" i="6" s="1"/>
  <c r="G150" i="6"/>
  <c r="C151" i="6"/>
  <c r="G83" i="6"/>
  <c r="E83" i="6"/>
  <c r="C154" i="2"/>
  <c r="A154" i="2" s="1"/>
  <c r="G151" i="6" l="1"/>
  <c r="A151" i="6"/>
  <c r="B151" i="6" s="1"/>
  <c r="C152" i="6"/>
  <c r="H83" i="6"/>
  <c r="I83" i="6" s="1"/>
  <c r="D84" i="6" s="1"/>
  <c r="F83" i="6"/>
  <c r="C155" i="2"/>
  <c r="A155" i="2" s="1"/>
  <c r="G152" i="6" l="1"/>
  <c r="A152" i="6"/>
  <c r="B152" i="6" s="1"/>
  <c r="C153" i="6"/>
  <c r="E84" i="6"/>
  <c r="G84" i="6"/>
  <c r="C156" i="2"/>
  <c r="A156" i="2" s="1"/>
  <c r="G153" i="6" l="1"/>
  <c r="A153" i="6"/>
  <c r="B153" i="6" s="1"/>
  <c r="C154" i="6"/>
  <c r="H84" i="6"/>
  <c r="I84" i="6" s="1"/>
  <c r="D85" i="6" s="1"/>
  <c r="F84" i="6"/>
  <c r="C157" i="2"/>
  <c r="A157" i="2" s="1"/>
  <c r="G154" i="6" l="1"/>
  <c r="A154" i="6"/>
  <c r="B154" i="6" s="1"/>
  <c r="C155" i="6"/>
  <c r="G85" i="6"/>
  <c r="E85" i="6"/>
  <c r="C158" i="2"/>
  <c r="A158" i="2" s="1"/>
  <c r="G155" i="6" l="1"/>
  <c r="A155" i="6"/>
  <c r="B155" i="6" s="1"/>
  <c r="C156" i="6"/>
  <c r="H85" i="6"/>
  <c r="I85" i="6" s="1"/>
  <c r="D86" i="6" s="1"/>
  <c r="F85" i="6"/>
  <c r="C159" i="2"/>
  <c r="A159" i="2" s="1"/>
  <c r="G156" i="6" l="1"/>
  <c r="A156" i="6"/>
  <c r="B156" i="6" s="1"/>
  <c r="C157" i="6"/>
  <c r="E86" i="6"/>
  <c r="F86" i="6" s="1"/>
  <c r="G86" i="6"/>
  <c r="C160" i="2"/>
  <c r="A160" i="2" s="1"/>
  <c r="H86" i="6" l="1"/>
  <c r="I86" i="6" s="1"/>
  <c r="D87" i="6" s="1"/>
  <c r="G87" i="6" s="1"/>
  <c r="A157" i="6"/>
  <c r="B157" i="6" s="1"/>
  <c r="G157" i="6"/>
  <c r="C158" i="6"/>
  <c r="C161" i="2"/>
  <c r="A161" i="2" s="1"/>
  <c r="E87" i="6" l="1"/>
  <c r="H87" i="6" s="1"/>
  <c r="I87" i="6" s="1"/>
  <c r="D88" i="6" s="1"/>
  <c r="A158" i="6"/>
  <c r="B158" i="6" s="1"/>
  <c r="G158" i="6"/>
  <c r="C159" i="6"/>
  <c r="C162" i="2"/>
  <c r="A162" i="2" s="1"/>
  <c r="F87" i="6" l="1"/>
  <c r="G159" i="6"/>
  <c r="A159" i="6"/>
  <c r="B159" i="6" s="1"/>
  <c r="C160" i="6"/>
  <c r="E88" i="6"/>
  <c r="F88" i="6" s="1"/>
  <c r="G88" i="6"/>
  <c r="C163" i="2"/>
  <c r="A163" i="2" s="1"/>
  <c r="H88" i="6" l="1"/>
  <c r="I88" i="6" s="1"/>
  <c r="D89" i="6" s="1"/>
  <c r="E89" i="6" s="1"/>
  <c r="G160" i="6"/>
  <c r="A160" i="6"/>
  <c r="B160" i="6" s="1"/>
  <c r="C161" i="6"/>
  <c r="C164" i="2"/>
  <c r="A164" i="2" s="1"/>
  <c r="G89" i="6" l="1"/>
  <c r="H89" i="6" s="1"/>
  <c r="I89" i="6" s="1"/>
  <c r="D90" i="6" s="1"/>
  <c r="G161" i="6"/>
  <c r="A161" i="6"/>
  <c r="B161" i="6" s="1"/>
  <c r="C162" i="6"/>
  <c r="F89" i="6"/>
  <c r="C165" i="2"/>
  <c r="A165" i="2" s="1"/>
  <c r="G162" i="6" l="1"/>
  <c r="A162" i="6"/>
  <c r="B162" i="6" s="1"/>
  <c r="C163" i="6"/>
  <c r="E90" i="6"/>
  <c r="G90" i="6"/>
  <c r="C166" i="2"/>
  <c r="A166" i="2" s="1"/>
  <c r="G163" i="6" l="1"/>
  <c r="A163" i="6"/>
  <c r="B163" i="6" s="1"/>
  <c r="C164" i="6"/>
  <c r="H90" i="6"/>
  <c r="I90" i="6" s="1"/>
  <c r="D91" i="6" s="1"/>
  <c r="F90" i="6"/>
  <c r="C167" i="2"/>
  <c r="A167" i="2" s="1"/>
  <c r="G164" i="6" l="1"/>
  <c r="A164" i="6"/>
  <c r="B164" i="6" s="1"/>
  <c r="C165" i="6"/>
  <c r="G91" i="6"/>
  <c r="E91" i="6"/>
  <c r="C168" i="2"/>
  <c r="A168" i="2" s="1"/>
  <c r="A165" i="6" l="1"/>
  <c r="B165" i="6" s="1"/>
  <c r="G165" i="6"/>
  <c r="C166" i="6"/>
  <c r="H91" i="6"/>
  <c r="I91" i="6" s="1"/>
  <c r="D92" i="6" s="1"/>
  <c r="F91" i="6"/>
  <c r="C169" i="2"/>
  <c r="A169" i="2" s="1"/>
  <c r="A166" i="6" l="1"/>
  <c r="B166" i="6" s="1"/>
  <c r="G166" i="6"/>
  <c r="C167" i="6"/>
  <c r="G92" i="6"/>
  <c r="E92" i="6"/>
  <c r="C170" i="2"/>
  <c r="A170" i="2" s="1"/>
  <c r="G167" i="6" l="1"/>
  <c r="A167" i="6"/>
  <c r="B167" i="6" s="1"/>
  <c r="C168" i="6"/>
  <c r="H92" i="6"/>
  <c r="I92" i="6" s="1"/>
  <c r="D93" i="6" s="1"/>
  <c r="F92" i="6"/>
  <c r="C171" i="2"/>
  <c r="A171" i="2" s="1"/>
  <c r="G168" i="6" l="1"/>
  <c r="A168" i="6"/>
  <c r="B168" i="6" s="1"/>
  <c r="C169" i="6"/>
  <c r="E93" i="6"/>
  <c r="G93" i="6"/>
  <c r="C172" i="2"/>
  <c r="A172" i="2" s="1"/>
  <c r="G169" i="6" l="1"/>
  <c r="A169" i="6"/>
  <c r="B169" i="6" s="1"/>
  <c r="C170" i="6"/>
  <c r="H93" i="6"/>
  <c r="I93" i="6" s="1"/>
  <c r="D94" i="6" s="1"/>
  <c r="F93" i="6"/>
  <c r="C173" i="2"/>
  <c r="A173" i="2" s="1"/>
  <c r="G170" i="6" l="1"/>
  <c r="A170" i="6"/>
  <c r="B170" i="6" s="1"/>
  <c r="C171" i="6"/>
  <c r="E94" i="6"/>
  <c r="G94" i="6"/>
  <c r="C174" i="2"/>
  <c r="A174" i="2" s="1"/>
  <c r="G171" i="6" l="1"/>
  <c r="A171" i="6"/>
  <c r="B171" i="6" s="1"/>
  <c r="C172" i="6"/>
  <c r="H94" i="6"/>
  <c r="I94" i="6" s="1"/>
  <c r="D95" i="6" s="1"/>
  <c r="F94" i="6"/>
  <c r="C175" i="2"/>
  <c r="A175" i="2" s="1"/>
  <c r="G172" i="6" l="1"/>
  <c r="A172" i="6"/>
  <c r="B172" i="6" s="1"/>
  <c r="C173" i="6"/>
  <c r="E95" i="6"/>
  <c r="G95" i="6"/>
  <c r="C176" i="2"/>
  <c r="A176" i="2" s="1"/>
  <c r="A173" i="6" l="1"/>
  <c r="B173" i="6" s="1"/>
  <c r="G173" i="6"/>
  <c r="C174" i="6"/>
  <c r="H95" i="6"/>
  <c r="I95" i="6" s="1"/>
  <c r="D96" i="6" s="1"/>
  <c r="F95" i="6"/>
  <c r="C177" i="2"/>
  <c r="A177" i="2" s="1"/>
  <c r="A174" i="6" l="1"/>
  <c r="B174" i="6" s="1"/>
  <c r="G174" i="6"/>
  <c r="C175" i="6"/>
  <c r="G96" i="6"/>
  <c r="E96" i="6"/>
  <c r="F96" i="6" s="1"/>
  <c r="C178" i="2"/>
  <c r="A178" i="2" s="1"/>
  <c r="G175" i="6" l="1"/>
  <c r="A175" i="6"/>
  <c r="B175" i="6" s="1"/>
  <c r="C176" i="6"/>
  <c r="H96" i="6"/>
  <c r="I96" i="6" s="1"/>
  <c r="D97" i="6" s="1"/>
  <c r="C179" i="2"/>
  <c r="A179" i="2" s="1"/>
  <c r="G176" i="6" l="1"/>
  <c r="A176" i="6"/>
  <c r="B176" i="6" s="1"/>
  <c r="C177" i="6"/>
  <c r="G97" i="6"/>
  <c r="E97" i="6"/>
  <c r="C180" i="2"/>
  <c r="A180" i="2" s="1"/>
  <c r="G177" i="6" l="1"/>
  <c r="A177" i="6"/>
  <c r="B177" i="6" s="1"/>
  <c r="C178" i="6"/>
  <c r="H97" i="6"/>
  <c r="I97" i="6" s="1"/>
  <c r="D98" i="6" s="1"/>
  <c r="F97" i="6"/>
  <c r="C181" i="2"/>
  <c r="A181" i="2" s="1"/>
  <c r="G178" i="6" l="1"/>
  <c r="A178" i="6"/>
  <c r="B178" i="6" s="1"/>
  <c r="C179" i="6"/>
  <c r="E98" i="6"/>
  <c r="F98" i="6" s="1"/>
  <c r="G98" i="6"/>
  <c r="C182" i="2"/>
  <c r="A182" i="2" s="1"/>
  <c r="A179" i="6" l="1"/>
  <c r="B179" i="6" s="1"/>
  <c r="G179" i="6"/>
  <c r="C180" i="6"/>
  <c r="H98" i="6"/>
  <c r="I98" i="6" s="1"/>
  <c r="D99" i="6" s="1"/>
  <c r="C183" i="2"/>
  <c r="A183" i="2" s="1"/>
  <c r="G180" i="6" l="1"/>
  <c r="A180" i="6"/>
  <c r="B180" i="6" s="1"/>
  <c r="C181" i="6"/>
  <c r="G99" i="6"/>
  <c r="E99" i="6"/>
  <c r="C184" i="2"/>
  <c r="A184" i="2" s="1"/>
  <c r="A181" i="6" l="1"/>
  <c r="B181" i="6" s="1"/>
  <c r="G181" i="6"/>
  <c r="C182" i="6"/>
  <c r="H99" i="6"/>
  <c r="I99" i="6" s="1"/>
  <c r="D100" i="6" s="1"/>
  <c r="F99" i="6"/>
  <c r="C185" i="2"/>
  <c r="A185" i="2" s="1"/>
  <c r="G182" i="6" l="1"/>
  <c r="A182" i="6"/>
  <c r="B182" i="6" s="1"/>
  <c r="C183" i="6"/>
  <c r="G100" i="6"/>
  <c r="E100" i="6"/>
  <c r="F100" i="6" s="1"/>
  <c r="C186" i="2"/>
  <c r="A186" i="2" s="1"/>
  <c r="G183" i="6" l="1"/>
  <c r="A183" i="6"/>
  <c r="B183" i="6" s="1"/>
  <c r="C184" i="6"/>
  <c r="H100" i="6"/>
  <c r="I100" i="6" s="1"/>
  <c r="D101" i="6" s="1"/>
  <c r="C187" i="2"/>
  <c r="A187" i="2" s="1"/>
  <c r="G184" i="6" l="1"/>
  <c r="A184" i="6"/>
  <c r="B184" i="6" s="1"/>
  <c r="C185" i="6"/>
  <c r="G101" i="6"/>
  <c r="E101" i="6"/>
  <c r="C188" i="2"/>
  <c r="A188" i="2" s="1"/>
  <c r="G185" i="6" l="1"/>
  <c r="A185" i="6"/>
  <c r="B185" i="6" s="1"/>
  <c r="C186" i="6"/>
  <c r="H101" i="6"/>
  <c r="I101" i="6" s="1"/>
  <c r="D102" i="6" s="1"/>
  <c r="F101" i="6"/>
  <c r="C189" i="2"/>
  <c r="A189" i="2" s="1"/>
  <c r="G186" i="6" l="1"/>
  <c r="A186" i="6"/>
  <c r="B186" i="6" s="1"/>
  <c r="C187" i="6"/>
  <c r="E102" i="6"/>
  <c r="G102" i="6"/>
  <c r="C190" i="2"/>
  <c r="A190" i="2" s="1"/>
  <c r="H102" i="6" l="1"/>
  <c r="I102" i="6" s="1"/>
  <c r="D103" i="6" s="1"/>
  <c r="G103" i="6" s="1"/>
  <c r="G187" i="6"/>
  <c r="A187" i="6"/>
  <c r="B187" i="6" s="1"/>
  <c r="C188" i="6"/>
  <c r="F102" i="6"/>
  <c r="C191" i="2"/>
  <c r="A191" i="2" s="1"/>
  <c r="E103" i="6" l="1"/>
  <c r="H103" i="6" s="1"/>
  <c r="I103" i="6" s="1"/>
  <c r="D104" i="6" s="1"/>
  <c r="G104" i="6" s="1"/>
  <c r="G188" i="6"/>
  <c r="A188" i="6"/>
  <c r="B188" i="6" s="1"/>
  <c r="C189" i="6"/>
  <c r="C192" i="2"/>
  <c r="A192" i="2" s="1"/>
  <c r="F103" i="6" l="1"/>
  <c r="E104" i="6"/>
  <c r="H104" i="6" s="1"/>
  <c r="I104" i="6" s="1"/>
  <c r="D105" i="6" s="1"/>
  <c r="A189" i="6"/>
  <c r="B189" i="6" s="1"/>
  <c r="G189" i="6"/>
  <c r="C190" i="6"/>
  <c r="C193" i="2"/>
  <c r="A193" i="2" s="1"/>
  <c r="F104" i="6" l="1"/>
  <c r="A190" i="6"/>
  <c r="B190" i="6" s="1"/>
  <c r="G190" i="6"/>
  <c r="C191" i="6"/>
  <c r="E105" i="6"/>
  <c r="G105" i="6"/>
  <c r="C194" i="2"/>
  <c r="A194" i="2" s="1"/>
  <c r="G191" i="6" l="1"/>
  <c r="A191" i="6"/>
  <c r="B191" i="6" s="1"/>
  <c r="C192" i="6"/>
  <c r="H105" i="6"/>
  <c r="I105" i="6" s="1"/>
  <c r="D106" i="6" s="1"/>
  <c r="F105" i="6"/>
  <c r="C195" i="2"/>
  <c r="A195" i="2" s="1"/>
  <c r="G192" i="6" l="1"/>
  <c r="A192" i="6"/>
  <c r="B192" i="6" s="1"/>
  <c r="C193" i="6"/>
  <c r="E106" i="6"/>
  <c r="F106" i="6" s="1"/>
  <c r="G106" i="6"/>
  <c r="C196" i="2"/>
  <c r="A196" i="2" s="1"/>
  <c r="G193" i="6" l="1"/>
  <c r="A193" i="6"/>
  <c r="B193" i="6" s="1"/>
  <c r="C194" i="6"/>
  <c r="H106" i="6"/>
  <c r="I106" i="6" s="1"/>
  <c r="D107" i="6" s="1"/>
  <c r="C197" i="2"/>
  <c r="A197" i="2" s="1"/>
  <c r="G194" i="6" l="1"/>
  <c r="A194" i="6"/>
  <c r="B194" i="6" s="1"/>
  <c r="C195" i="6"/>
  <c r="G107" i="6"/>
  <c r="E107" i="6"/>
  <c r="F107" i="6" s="1"/>
  <c r="C198" i="2"/>
  <c r="A198" i="2" s="1"/>
  <c r="G195" i="6" l="1"/>
  <c r="A195" i="6"/>
  <c r="B195" i="6" s="1"/>
  <c r="C196" i="6"/>
  <c r="H107" i="6"/>
  <c r="I107" i="6" s="1"/>
  <c r="D108" i="6" s="1"/>
  <c r="C199" i="2"/>
  <c r="A199" i="2" s="1"/>
  <c r="G196" i="6" l="1"/>
  <c r="A196" i="6"/>
  <c r="B196" i="6" s="1"/>
  <c r="C197" i="6"/>
  <c r="G108" i="6"/>
  <c r="E108" i="6"/>
  <c r="C200" i="2"/>
  <c r="A200" i="2" s="1"/>
  <c r="A197" i="6" l="1"/>
  <c r="B197" i="6" s="1"/>
  <c r="G197" i="6"/>
  <c r="C198" i="6"/>
  <c r="H108" i="6"/>
  <c r="I108" i="6" s="1"/>
  <c r="D109" i="6" s="1"/>
  <c r="F108" i="6"/>
  <c r="C201" i="2"/>
  <c r="A201" i="2" s="1"/>
  <c r="A198" i="6" l="1"/>
  <c r="B198" i="6" s="1"/>
  <c r="G198" i="6"/>
  <c r="C199" i="6"/>
  <c r="G109" i="6"/>
  <c r="E109" i="6"/>
  <c r="C202" i="2"/>
  <c r="A202" i="2" s="1"/>
  <c r="G199" i="6" l="1"/>
  <c r="A199" i="6"/>
  <c r="B199" i="6" s="1"/>
  <c r="C200" i="6"/>
  <c r="H109" i="6"/>
  <c r="I109" i="6" s="1"/>
  <c r="D110" i="6" s="1"/>
  <c r="F109" i="6"/>
  <c r="C203" i="2"/>
  <c r="A203" i="2" s="1"/>
  <c r="G200" i="6" l="1"/>
  <c r="A200" i="6"/>
  <c r="B200" i="6" s="1"/>
  <c r="C201" i="6"/>
  <c r="E110" i="6"/>
  <c r="G110" i="6"/>
  <c r="C204" i="2"/>
  <c r="A204" i="2" s="1"/>
  <c r="G201" i="6" l="1"/>
  <c r="A201" i="6"/>
  <c r="B201" i="6" s="1"/>
  <c r="C202" i="6"/>
  <c r="H110" i="6"/>
  <c r="I110" i="6" s="1"/>
  <c r="D111" i="6" s="1"/>
  <c r="F110" i="6"/>
  <c r="C205" i="2"/>
  <c r="A205" i="2" s="1"/>
  <c r="G202" i="6" l="1"/>
  <c r="A202" i="6"/>
  <c r="B202" i="6" s="1"/>
  <c r="C203" i="6"/>
  <c r="G111" i="6"/>
  <c r="E111" i="6"/>
  <c r="F111" i="6" s="1"/>
  <c r="C206" i="2"/>
  <c r="A206" i="2" s="1"/>
  <c r="G203" i="6" l="1"/>
  <c r="A203" i="6"/>
  <c r="B203" i="6" s="1"/>
  <c r="C204" i="6"/>
  <c r="H111" i="6"/>
  <c r="I111" i="6" s="1"/>
  <c r="D112" i="6" s="1"/>
  <c r="C207" i="2"/>
  <c r="A207" i="2" s="1"/>
  <c r="G204" i="6" l="1"/>
  <c r="A204" i="6"/>
  <c r="B204" i="6" s="1"/>
  <c r="C205" i="6"/>
  <c r="E112" i="6"/>
  <c r="G112" i="6"/>
  <c r="C208" i="2"/>
  <c r="A208" i="2" s="1"/>
  <c r="A205" i="6" l="1"/>
  <c r="B205" i="6" s="1"/>
  <c r="G205" i="6"/>
  <c r="C206" i="6"/>
  <c r="H112" i="6"/>
  <c r="I112" i="6" s="1"/>
  <c r="D113" i="6" s="1"/>
  <c r="F112" i="6"/>
  <c r="C209" i="2"/>
  <c r="A209" i="2" s="1"/>
  <c r="A206" i="6" l="1"/>
  <c r="B206" i="6" s="1"/>
  <c r="G206" i="6"/>
  <c r="C207" i="6"/>
  <c r="G113" i="6"/>
  <c r="E113" i="6"/>
  <c r="F113" i="6" s="1"/>
  <c r="C210" i="2"/>
  <c r="A210" i="2" s="1"/>
  <c r="G207" i="6" l="1"/>
  <c r="A207" i="6"/>
  <c r="B207" i="6" s="1"/>
  <c r="C208" i="6"/>
  <c r="H113" i="6"/>
  <c r="I113" i="6" s="1"/>
  <c r="D114" i="6" s="1"/>
  <c r="C211" i="2"/>
  <c r="A211" i="2" s="1"/>
  <c r="G208" i="6" l="1"/>
  <c r="A208" i="6"/>
  <c r="B208" i="6" s="1"/>
  <c r="C209" i="6"/>
  <c r="E114" i="6"/>
  <c r="G114" i="6"/>
  <c r="C212" i="2"/>
  <c r="A212" i="2" s="1"/>
  <c r="G209" i="6" l="1"/>
  <c r="A209" i="6"/>
  <c r="B209" i="6" s="1"/>
  <c r="C210" i="6"/>
  <c r="H114" i="6"/>
  <c r="I114" i="6" s="1"/>
  <c r="D115" i="6" s="1"/>
  <c r="F114" i="6"/>
  <c r="C213" i="2"/>
  <c r="A213" i="2" s="1"/>
  <c r="G210" i="6" l="1"/>
  <c r="A210" i="6"/>
  <c r="B210" i="6" s="1"/>
  <c r="C211" i="6"/>
  <c r="E115" i="6"/>
  <c r="G115" i="6"/>
  <c r="C214" i="2"/>
  <c r="A214" i="2" s="1"/>
  <c r="G211" i="6" l="1"/>
  <c r="A211" i="6"/>
  <c r="B211" i="6" s="1"/>
  <c r="C212" i="6"/>
  <c r="H115" i="6"/>
  <c r="I115" i="6" s="1"/>
  <c r="D116" i="6" s="1"/>
  <c r="F115" i="6"/>
  <c r="C215" i="2"/>
  <c r="A215" i="2" s="1"/>
  <c r="G212" i="6" l="1"/>
  <c r="A212" i="6"/>
  <c r="B212" i="6" s="1"/>
  <c r="C213" i="6"/>
  <c r="G116" i="6"/>
  <c r="E116" i="6"/>
  <c r="C216" i="2"/>
  <c r="A216" i="2" s="1"/>
  <c r="A213" i="6" l="1"/>
  <c r="B213" i="6" s="1"/>
  <c r="G213" i="6"/>
  <c r="C214" i="6"/>
  <c r="H116" i="6"/>
  <c r="I116" i="6" s="1"/>
  <c r="D117" i="6" s="1"/>
  <c r="F116" i="6"/>
  <c r="C217" i="2"/>
  <c r="A217" i="2" s="1"/>
  <c r="A214" i="6" l="1"/>
  <c r="B214" i="6" s="1"/>
  <c r="G214" i="6"/>
  <c r="C215" i="6"/>
  <c r="G117" i="6"/>
  <c r="E117" i="6"/>
  <c r="C218" i="2"/>
  <c r="A218" i="2" s="1"/>
  <c r="G215" i="6" l="1"/>
  <c r="A215" i="6"/>
  <c r="B215" i="6" s="1"/>
  <c r="C216" i="6"/>
  <c r="H117" i="6"/>
  <c r="I117" i="6" s="1"/>
  <c r="D118" i="6" s="1"/>
  <c r="F117" i="6"/>
  <c r="C219" i="2"/>
  <c r="A219" i="2" s="1"/>
  <c r="G216" i="6" l="1"/>
  <c r="A216" i="6"/>
  <c r="B216" i="6" s="1"/>
  <c r="C217" i="6"/>
  <c r="E118" i="6"/>
  <c r="G118" i="6"/>
  <c r="C220" i="2"/>
  <c r="A220" i="2" s="1"/>
  <c r="G217" i="6" l="1"/>
  <c r="A217" i="6"/>
  <c r="B217" i="6" s="1"/>
  <c r="C218" i="6"/>
  <c r="H118" i="6"/>
  <c r="I118" i="6" s="1"/>
  <c r="D119" i="6" s="1"/>
  <c r="F118" i="6"/>
  <c r="C221" i="2"/>
  <c r="A221" i="2" s="1"/>
  <c r="G218" i="6" l="1"/>
  <c r="A218" i="6"/>
  <c r="B218" i="6" s="1"/>
  <c r="C219" i="6"/>
  <c r="E119" i="6"/>
  <c r="G119" i="6"/>
  <c r="C222" i="2"/>
  <c r="A222" i="2" s="1"/>
  <c r="G219" i="6" l="1"/>
  <c r="A219" i="6"/>
  <c r="B219" i="6" s="1"/>
  <c r="C220" i="6"/>
  <c r="H119" i="6"/>
  <c r="I119" i="6" s="1"/>
  <c r="D120" i="6" s="1"/>
  <c r="F119" i="6"/>
  <c r="C223" i="2"/>
  <c r="A223" i="2" s="1"/>
  <c r="G220" i="6" l="1"/>
  <c r="A220" i="6"/>
  <c r="B220" i="6" s="1"/>
  <c r="C221" i="6"/>
  <c r="G120" i="6"/>
  <c r="E120" i="6"/>
  <c r="C224" i="2"/>
  <c r="A224" i="2" s="1"/>
  <c r="A221" i="6" l="1"/>
  <c r="B221" i="6" s="1"/>
  <c r="G221" i="6"/>
  <c r="C222" i="6"/>
  <c r="H120" i="6"/>
  <c r="I120" i="6" s="1"/>
  <c r="D121" i="6" s="1"/>
  <c r="F120" i="6"/>
  <c r="C225" i="2"/>
  <c r="A225" i="2" s="1"/>
  <c r="G222" i="6" l="1"/>
  <c r="A222" i="6"/>
  <c r="B222" i="6" s="1"/>
  <c r="C223" i="6"/>
  <c r="G121" i="6"/>
  <c r="E121" i="6"/>
  <c r="F121" i="6" s="1"/>
  <c r="C226" i="2"/>
  <c r="A226" i="2" s="1"/>
  <c r="G223" i="6" l="1"/>
  <c r="A223" i="6"/>
  <c r="B223" i="6" s="1"/>
  <c r="C224" i="6"/>
  <c r="H121" i="6"/>
  <c r="I121" i="6" s="1"/>
  <c r="D122" i="6" s="1"/>
  <c r="C227" i="2"/>
  <c r="A227" i="2" s="1"/>
  <c r="G224" i="6" l="1"/>
  <c r="A224" i="6"/>
  <c r="B224" i="6" s="1"/>
  <c r="C225" i="6"/>
  <c r="E122" i="6"/>
  <c r="M10" i="6" s="1"/>
  <c r="G122" i="6"/>
  <c r="C228" i="2"/>
  <c r="A228" i="2" s="1"/>
  <c r="G225" i="6" l="1"/>
  <c r="A225" i="6"/>
  <c r="B225" i="6" s="1"/>
  <c r="C226" i="6"/>
  <c r="H122" i="6"/>
  <c r="I122" i="6" s="1"/>
  <c r="D123" i="6" s="1"/>
  <c r="E123" i="6" s="1"/>
  <c r="F122" i="6"/>
  <c r="C229" i="2"/>
  <c r="A229" i="2" s="1"/>
  <c r="G226" i="6" l="1"/>
  <c r="A226" i="6"/>
  <c r="B226" i="6" s="1"/>
  <c r="C227" i="6"/>
  <c r="H123" i="6"/>
  <c r="I123" i="6" s="1"/>
  <c r="D124" i="6" s="1"/>
  <c r="E124" i="6" s="1"/>
  <c r="C230" i="2"/>
  <c r="A230" i="2" s="1"/>
  <c r="G227" i="6" l="1"/>
  <c r="A227" i="6"/>
  <c r="B227" i="6" s="1"/>
  <c r="C228" i="6"/>
  <c r="H124" i="6"/>
  <c r="I124" i="6" s="1"/>
  <c r="D125" i="6" s="1"/>
  <c r="E125" i="6" s="1"/>
  <c r="F123" i="6"/>
  <c r="C231" i="2"/>
  <c r="A231" i="2" s="1"/>
  <c r="G228" i="6" l="1"/>
  <c r="A228" i="6"/>
  <c r="B228" i="6" s="1"/>
  <c r="C229" i="6"/>
  <c r="H125" i="6"/>
  <c r="I125" i="6" s="1"/>
  <c r="D126" i="6" s="1"/>
  <c r="E126" i="6" s="1"/>
  <c r="F124" i="6"/>
  <c r="C232" i="2"/>
  <c r="A232" i="2" s="1"/>
  <c r="A229" i="6" l="1"/>
  <c r="B229" i="6" s="1"/>
  <c r="G229" i="6"/>
  <c r="C230" i="6"/>
  <c r="H126" i="6"/>
  <c r="I126" i="6" s="1"/>
  <c r="D127" i="6" s="1"/>
  <c r="E127" i="6" s="1"/>
  <c r="F126" i="6"/>
  <c r="F125" i="6"/>
  <c r="C233" i="2"/>
  <c r="A233" i="2" s="1"/>
  <c r="A230" i="6" l="1"/>
  <c r="B230" i="6" s="1"/>
  <c r="G230" i="6"/>
  <c r="C231" i="6"/>
  <c r="H127" i="6"/>
  <c r="I127" i="6" s="1"/>
  <c r="D128" i="6" s="1"/>
  <c r="E128" i="6" s="1"/>
  <c r="C234" i="2"/>
  <c r="A234" i="2" s="1"/>
  <c r="G231" i="6" l="1"/>
  <c r="A231" i="6"/>
  <c r="B231" i="6" s="1"/>
  <c r="C232" i="6"/>
  <c r="H128" i="6"/>
  <c r="I128" i="6" s="1"/>
  <c r="D129" i="6" s="1"/>
  <c r="E129" i="6" s="1"/>
  <c r="F127" i="6"/>
  <c r="C235" i="2"/>
  <c r="A235" i="2" s="1"/>
  <c r="G232" i="6" l="1"/>
  <c r="A232" i="6"/>
  <c r="B232" i="6" s="1"/>
  <c r="C233" i="6"/>
  <c r="H129" i="6"/>
  <c r="I129" i="6" s="1"/>
  <c r="D130" i="6" s="1"/>
  <c r="E130" i="6" s="1"/>
  <c r="F128" i="6"/>
  <c r="C236" i="2"/>
  <c r="A236" i="2" s="1"/>
  <c r="G233" i="6" l="1"/>
  <c r="A233" i="6"/>
  <c r="B233" i="6" s="1"/>
  <c r="C234" i="6"/>
  <c r="H130" i="6"/>
  <c r="I130" i="6" s="1"/>
  <c r="D131" i="6" s="1"/>
  <c r="E131" i="6" s="1"/>
  <c r="F129" i="6"/>
  <c r="C237" i="2"/>
  <c r="A237" i="2" s="1"/>
  <c r="G234" i="6" l="1"/>
  <c r="A234" i="6"/>
  <c r="B234" i="6" s="1"/>
  <c r="C235" i="6"/>
  <c r="H131" i="6"/>
  <c r="I131" i="6" s="1"/>
  <c r="D132" i="6" s="1"/>
  <c r="E132" i="6" s="1"/>
  <c r="F130" i="6"/>
  <c r="C238" i="2"/>
  <c r="A238" i="2" s="1"/>
  <c r="G235" i="6" l="1"/>
  <c r="A235" i="6"/>
  <c r="B235" i="6" s="1"/>
  <c r="C236" i="6"/>
  <c r="H132" i="6"/>
  <c r="I132" i="6" s="1"/>
  <c r="D133" i="6" s="1"/>
  <c r="E133" i="6" s="1"/>
  <c r="F131" i="6"/>
  <c r="C239" i="2"/>
  <c r="A239" i="2" s="1"/>
  <c r="G236" i="6" l="1"/>
  <c r="A236" i="6"/>
  <c r="B236" i="6" s="1"/>
  <c r="C237" i="6"/>
  <c r="H133" i="6"/>
  <c r="I133" i="6" s="1"/>
  <c r="D134" i="6" s="1"/>
  <c r="E134" i="6" s="1"/>
  <c r="F132" i="6"/>
  <c r="C240" i="2"/>
  <c r="A240" i="2" s="1"/>
  <c r="A237" i="6" l="1"/>
  <c r="B237" i="6" s="1"/>
  <c r="G237" i="6"/>
  <c r="C238" i="6"/>
  <c r="H134" i="6"/>
  <c r="I134" i="6" s="1"/>
  <c r="D135" i="6" s="1"/>
  <c r="E135" i="6" s="1"/>
  <c r="F133" i="6"/>
  <c r="C241" i="2"/>
  <c r="A241" i="2" s="1"/>
  <c r="A238" i="6" l="1"/>
  <c r="B238" i="6" s="1"/>
  <c r="G238" i="6"/>
  <c r="C239" i="6"/>
  <c r="H135" i="6"/>
  <c r="I135" i="6" s="1"/>
  <c r="D136" i="6" s="1"/>
  <c r="E136" i="6" s="1"/>
  <c r="F134" i="6"/>
  <c r="C242" i="2"/>
  <c r="A242" i="2" s="1"/>
  <c r="G239" i="6" l="1"/>
  <c r="A239" i="6"/>
  <c r="B239" i="6" s="1"/>
  <c r="C240" i="6"/>
  <c r="H136" i="6"/>
  <c r="I136" i="6" s="1"/>
  <c r="D137" i="6" s="1"/>
  <c r="E137" i="6" s="1"/>
  <c r="F135" i="6"/>
  <c r="C243" i="2"/>
  <c r="A243" i="2" s="1"/>
  <c r="G240" i="6" l="1"/>
  <c r="A240" i="6"/>
  <c r="B240" i="6" s="1"/>
  <c r="C241" i="6"/>
  <c r="H137" i="6"/>
  <c r="I137" i="6" s="1"/>
  <c r="D138" i="6" s="1"/>
  <c r="E138" i="6" s="1"/>
  <c r="F137" i="6"/>
  <c r="F136" i="6"/>
  <c r="C244" i="2"/>
  <c r="A244" i="2" s="1"/>
  <c r="G241" i="6" l="1"/>
  <c r="A241" i="6"/>
  <c r="B241" i="6" s="1"/>
  <c r="C242" i="6"/>
  <c r="H138" i="6"/>
  <c r="I138" i="6" s="1"/>
  <c r="D139" i="6" s="1"/>
  <c r="E139" i="6" s="1"/>
  <c r="C245" i="2"/>
  <c r="A245" i="2" s="1"/>
  <c r="G242" i="6" l="1"/>
  <c r="A242" i="6"/>
  <c r="B242" i="6" s="1"/>
  <c r="C243" i="6"/>
  <c r="H139" i="6"/>
  <c r="I139" i="6" s="1"/>
  <c r="D140" i="6" s="1"/>
  <c r="E140" i="6" s="1"/>
  <c r="F139" i="6"/>
  <c r="F138" i="6"/>
  <c r="C246" i="2"/>
  <c r="A246" i="2" s="1"/>
  <c r="G243" i="6" l="1"/>
  <c r="A243" i="6"/>
  <c r="B243" i="6" s="1"/>
  <c r="C244" i="6"/>
  <c r="H140" i="6"/>
  <c r="I140" i="6" s="1"/>
  <c r="D141" i="6" s="1"/>
  <c r="E141" i="6" s="1"/>
  <c r="C247" i="2"/>
  <c r="A247" i="2" s="1"/>
  <c r="G244" i="6" l="1"/>
  <c r="A244" i="6"/>
  <c r="B244" i="6" s="1"/>
  <c r="C245" i="6"/>
  <c r="H141" i="6"/>
  <c r="I141" i="6" s="1"/>
  <c r="D142" i="6" s="1"/>
  <c r="E142" i="6" s="1"/>
  <c r="F141" i="6"/>
  <c r="F140" i="6"/>
  <c r="C248" i="2"/>
  <c r="A248" i="2" s="1"/>
  <c r="A245" i="6" l="1"/>
  <c r="B245" i="6" s="1"/>
  <c r="G245" i="6"/>
  <c r="C246" i="6"/>
  <c r="H142" i="6"/>
  <c r="I142" i="6" s="1"/>
  <c r="D143" i="6" s="1"/>
  <c r="E143" i="6" s="1"/>
  <c r="F142" i="6"/>
  <c r="C249" i="2"/>
  <c r="A249" i="2" s="1"/>
  <c r="A246" i="6" l="1"/>
  <c r="B246" i="6" s="1"/>
  <c r="G246" i="6"/>
  <c r="C247" i="6"/>
  <c r="H143" i="6"/>
  <c r="I143" i="6" s="1"/>
  <c r="D144" i="6" s="1"/>
  <c r="E144" i="6" s="1"/>
  <c r="C250" i="2"/>
  <c r="A250" i="2" s="1"/>
  <c r="G247" i="6" l="1"/>
  <c r="A247" i="6"/>
  <c r="B247" i="6" s="1"/>
  <c r="C248" i="6"/>
  <c r="H144" i="6"/>
  <c r="I144" i="6" s="1"/>
  <c r="D145" i="6" s="1"/>
  <c r="E145" i="6" s="1"/>
  <c r="F143" i="6"/>
  <c r="C251" i="2"/>
  <c r="A251" i="2" s="1"/>
  <c r="G248" i="6" l="1"/>
  <c r="A248" i="6"/>
  <c r="B248" i="6" s="1"/>
  <c r="C249" i="6"/>
  <c r="H145" i="6"/>
  <c r="I145" i="6" s="1"/>
  <c r="D146" i="6" s="1"/>
  <c r="E146" i="6" s="1"/>
  <c r="F145" i="6"/>
  <c r="F144" i="6"/>
  <c r="C252" i="2"/>
  <c r="A252" i="2" s="1"/>
  <c r="G249" i="6" l="1"/>
  <c r="A249" i="6"/>
  <c r="B249" i="6" s="1"/>
  <c r="C250" i="6"/>
  <c r="H146" i="6"/>
  <c r="I146" i="6" s="1"/>
  <c r="D147" i="6" s="1"/>
  <c r="E147" i="6" s="1"/>
  <c r="C253" i="2"/>
  <c r="A253" i="2" s="1"/>
  <c r="G250" i="6" l="1"/>
  <c r="A250" i="6"/>
  <c r="B250" i="6" s="1"/>
  <c r="C251" i="6"/>
  <c r="H147" i="6"/>
  <c r="I147" i="6" s="1"/>
  <c r="D148" i="6" s="1"/>
  <c r="E148" i="6" s="1"/>
  <c r="F146" i="6"/>
  <c r="C254" i="2"/>
  <c r="A254" i="2" s="1"/>
  <c r="G251" i="6" l="1"/>
  <c r="A251" i="6"/>
  <c r="B251" i="6" s="1"/>
  <c r="C252" i="6"/>
  <c r="H148" i="6"/>
  <c r="I148" i="6" s="1"/>
  <c r="D149" i="6" s="1"/>
  <c r="E149" i="6" s="1"/>
  <c r="F147" i="6"/>
  <c r="C255" i="2"/>
  <c r="A255" i="2" s="1"/>
  <c r="G252" i="6" l="1"/>
  <c r="A252" i="6"/>
  <c r="B252" i="6" s="1"/>
  <c r="C253" i="6"/>
  <c r="H149" i="6"/>
  <c r="I149" i="6" s="1"/>
  <c r="D150" i="6" s="1"/>
  <c r="E150" i="6" s="1"/>
  <c r="F148" i="6"/>
  <c r="C256" i="2"/>
  <c r="A256" i="2" s="1"/>
  <c r="A253" i="6" l="1"/>
  <c r="B253" i="6" s="1"/>
  <c r="G253" i="6"/>
  <c r="C254" i="6"/>
  <c r="H150" i="6"/>
  <c r="I150" i="6" s="1"/>
  <c r="D151" i="6" s="1"/>
  <c r="E151" i="6" s="1"/>
  <c r="F149" i="6"/>
  <c r="C257" i="2"/>
  <c r="A257" i="2" s="1"/>
  <c r="G254" i="6" l="1"/>
  <c r="A254" i="6"/>
  <c r="B254" i="6" s="1"/>
  <c r="C255" i="6"/>
  <c r="H151" i="6"/>
  <c r="I151" i="6" s="1"/>
  <c r="D152" i="6" s="1"/>
  <c r="E152" i="6" s="1"/>
  <c r="F150" i="6"/>
  <c r="C258" i="2"/>
  <c r="A258" i="2" s="1"/>
  <c r="G255" i="6" l="1"/>
  <c r="A255" i="6"/>
  <c r="B255" i="6" s="1"/>
  <c r="C256" i="6"/>
  <c r="H152" i="6"/>
  <c r="I152" i="6" s="1"/>
  <c r="D153" i="6" s="1"/>
  <c r="E153" i="6" s="1"/>
  <c r="F151" i="6"/>
  <c r="C259" i="2"/>
  <c r="A259" i="2" s="1"/>
  <c r="G256" i="6" l="1"/>
  <c r="A256" i="6"/>
  <c r="B256" i="6" s="1"/>
  <c r="C257" i="6"/>
  <c r="H153" i="6"/>
  <c r="I153" i="6" s="1"/>
  <c r="D154" i="6" s="1"/>
  <c r="E154" i="6" s="1"/>
  <c r="F153" i="6"/>
  <c r="F152" i="6"/>
  <c r="C260" i="2"/>
  <c r="A260" i="2" s="1"/>
  <c r="G257" i="6" l="1"/>
  <c r="A257" i="6"/>
  <c r="B257" i="6" s="1"/>
  <c r="C258" i="6"/>
  <c r="H154" i="6"/>
  <c r="I154" i="6" s="1"/>
  <c r="D155" i="6" s="1"/>
  <c r="E155" i="6" s="1"/>
  <c r="C261" i="2"/>
  <c r="A261" i="2" s="1"/>
  <c r="G258" i="6" l="1"/>
  <c r="A258" i="6"/>
  <c r="B258" i="6" s="1"/>
  <c r="C259" i="6"/>
  <c r="F154" i="6"/>
  <c r="H155" i="6"/>
  <c r="I155" i="6" s="1"/>
  <c r="D156" i="6" s="1"/>
  <c r="E156" i="6" s="1"/>
  <c r="C262" i="2"/>
  <c r="A262" i="2" s="1"/>
  <c r="G259" i="6" l="1"/>
  <c r="A259" i="6"/>
  <c r="B259" i="6" s="1"/>
  <c r="C260" i="6"/>
  <c r="H156" i="6"/>
  <c r="I156" i="6" s="1"/>
  <c r="D157" i="6" s="1"/>
  <c r="E157" i="6" s="1"/>
  <c r="F156" i="6"/>
  <c r="F155" i="6"/>
  <c r="C263" i="2"/>
  <c r="A263" i="2" s="1"/>
  <c r="G260" i="6" l="1"/>
  <c r="A260" i="6"/>
  <c r="B260" i="6" s="1"/>
  <c r="C261" i="6"/>
  <c r="H157" i="6"/>
  <c r="I157" i="6" s="1"/>
  <c r="D158" i="6" s="1"/>
  <c r="E158" i="6" s="1"/>
  <c r="C264" i="2"/>
  <c r="A264" i="2" s="1"/>
  <c r="A261" i="6" l="1"/>
  <c r="B261" i="6" s="1"/>
  <c r="G261" i="6"/>
  <c r="C262" i="6"/>
  <c r="H158" i="6"/>
  <c r="I158" i="6" s="1"/>
  <c r="D159" i="6" s="1"/>
  <c r="E159" i="6" s="1"/>
  <c r="F157" i="6"/>
  <c r="C265" i="2"/>
  <c r="A265" i="2" s="1"/>
  <c r="A262" i="6" l="1"/>
  <c r="B262" i="6" s="1"/>
  <c r="G262" i="6"/>
  <c r="C263" i="6"/>
  <c r="H159" i="6"/>
  <c r="I159" i="6" s="1"/>
  <c r="D160" i="6" s="1"/>
  <c r="E160" i="6" s="1"/>
  <c r="F158" i="6"/>
  <c r="C266" i="2"/>
  <c r="A266" i="2" s="1"/>
  <c r="G263" i="6" l="1"/>
  <c r="A263" i="6"/>
  <c r="B263" i="6" s="1"/>
  <c r="C264" i="6"/>
  <c r="H160" i="6"/>
  <c r="I160" i="6" s="1"/>
  <c r="D161" i="6" s="1"/>
  <c r="E161" i="6" s="1"/>
  <c r="F159" i="6"/>
  <c r="C267" i="2"/>
  <c r="A267" i="2" s="1"/>
  <c r="G264" i="6" l="1"/>
  <c r="A264" i="6"/>
  <c r="B264" i="6" s="1"/>
  <c r="C265" i="6"/>
  <c r="H161" i="6"/>
  <c r="I161" i="6" s="1"/>
  <c r="D162" i="6" s="1"/>
  <c r="E162" i="6" s="1"/>
  <c r="F160" i="6"/>
  <c r="C268" i="2"/>
  <c r="A268" i="2" s="1"/>
  <c r="G265" i="6" l="1"/>
  <c r="A265" i="6"/>
  <c r="B265" i="6" s="1"/>
  <c r="C266" i="6"/>
  <c r="H162" i="6"/>
  <c r="I162" i="6" s="1"/>
  <c r="D163" i="6" s="1"/>
  <c r="E163" i="6" s="1"/>
  <c r="F161" i="6"/>
  <c r="C269" i="2"/>
  <c r="A269" i="2" s="1"/>
  <c r="G266" i="6" l="1"/>
  <c r="A266" i="6"/>
  <c r="B266" i="6" s="1"/>
  <c r="C267" i="6"/>
  <c r="H163" i="6"/>
  <c r="I163" i="6" s="1"/>
  <c r="D164" i="6" s="1"/>
  <c r="E164" i="6" s="1"/>
  <c r="F162" i="6"/>
  <c r="C270" i="2"/>
  <c r="A270" i="2" s="1"/>
  <c r="G267" i="6" l="1"/>
  <c r="A267" i="6"/>
  <c r="B267" i="6" s="1"/>
  <c r="C268" i="6"/>
  <c r="H164" i="6"/>
  <c r="I164" i="6" s="1"/>
  <c r="D165" i="6" s="1"/>
  <c r="E165" i="6" s="1"/>
  <c r="F163" i="6"/>
  <c r="C271" i="2"/>
  <c r="A271" i="2" s="1"/>
  <c r="G268" i="6" l="1"/>
  <c r="A268" i="6"/>
  <c r="B268" i="6" s="1"/>
  <c r="C269" i="6"/>
  <c r="H165" i="6"/>
  <c r="I165" i="6" s="1"/>
  <c r="D166" i="6" s="1"/>
  <c r="E166" i="6" s="1"/>
  <c r="F164" i="6"/>
  <c r="C272" i="2"/>
  <c r="A272" i="2" s="1"/>
  <c r="A269" i="6" l="1"/>
  <c r="B269" i="6" s="1"/>
  <c r="G269" i="6"/>
  <c r="C270" i="6"/>
  <c r="H166" i="6"/>
  <c r="I166" i="6" s="1"/>
  <c r="D167" i="6" s="1"/>
  <c r="E167" i="6" s="1"/>
  <c r="F165" i="6"/>
  <c r="C273" i="2"/>
  <c r="A273" i="2" s="1"/>
  <c r="G270" i="6" l="1"/>
  <c r="A270" i="6"/>
  <c r="B270" i="6" s="1"/>
  <c r="C271" i="6"/>
  <c r="H167" i="6"/>
  <c r="I167" i="6" s="1"/>
  <c r="D168" i="6" s="1"/>
  <c r="E168" i="6" s="1"/>
  <c r="F166" i="6"/>
  <c r="C274" i="2"/>
  <c r="A274" i="2" s="1"/>
  <c r="G271" i="6" l="1"/>
  <c r="A271" i="6"/>
  <c r="B271" i="6" s="1"/>
  <c r="C272" i="6"/>
  <c r="H168" i="6"/>
  <c r="I168" i="6" s="1"/>
  <c r="D169" i="6" s="1"/>
  <c r="E169" i="6" s="1"/>
  <c r="F167" i="6"/>
  <c r="C275" i="2"/>
  <c r="A275" i="2" s="1"/>
  <c r="G272" i="6" l="1"/>
  <c r="A272" i="6"/>
  <c r="B272" i="6" s="1"/>
  <c r="C273" i="6"/>
  <c r="F168" i="6"/>
  <c r="H169" i="6"/>
  <c r="I169" i="6" s="1"/>
  <c r="D170" i="6" s="1"/>
  <c r="E170" i="6" s="1"/>
  <c r="F169" i="6"/>
  <c r="C276" i="2"/>
  <c r="A276" i="2" s="1"/>
  <c r="G273" i="6" l="1"/>
  <c r="A273" i="6"/>
  <c r="B273" i="6" s="1"/>
  <c r="C274" i="6"/>
  <c r="H170" i="6"/>
  <c r="I170" i="6" s="1"/>
  <c r="D171" i="6" s="1"/>
  <c r="E171" i="6" s="1"/>
  <c r="C277" i="2"/>
  <c r="A277" i="2" s="1"/>
  <c r="G274" i="6" l="1"/>
  <c r="A274" i="6"/>
  <c r="B274" i="6" s="1"/>
  <c r="C275" i="6"/>
  <c r="H171" i="6"/>
  <c r="I171" i="6" s="1"/>
  <c r="D172" i="6" s="1"/>
  <c r="E172" i="6" s="1"/>
  <c r="F170" i="6"/>
  <c r="C278" i="2"/>
  <c r="A278" i="2" s="1"/>
  <c r="G275" i="6" l="1"/>
  <c r="A275" i="6"/>
  <c r="B275" i="6" s="1"/>
  <c r="C276" i="6"/>
  <c r="H172" i="6"/>
  <c r="I172" i="6" s="1"/>
  <c r="D173" i="6" s="1"/>
  <c r="E173" i="6" s="1"/>
  <c r="F171" i="6"/>
  <c r="C279" i="2"/>
  <c r="A279" i="2" s="1"/>
  <c r="A276" i="6" l="1"/>
  <c r="B276" i="6" s="1"/>
  <c r="G276" i="6"/>
  <c r="C277" i="6"/>
  <c r="H173" i="6"/>
  <c r="I173" i="6" s="1"/>
  <c r="D174" i="6" s="1"/>
  <c r="E174" i="6" s="1"/>
  <c r="F173" i="6"/>
  <c r="F172" i="6"/>
  <c r="C280" i="2"/>
  <c r="A280" i="2" s="1"/>
  <c r="A277" i="6" l="1"/>
  <c r="B277" i="6" s="1"/>
  <c r="G277" i="6"/>
  <c r="C278" i="6"/>
  <c r="H174" i="6"/>
  <c r="I174" i="6" s="1"/>
  <c r="D175" i="6" s="1"/>
  <c r="E175" i="6" s="1"/>
  <c r="C281" i="2"/>
  <c r="A281" i="2" s="1"/>
  <c r="A278" i="6" l="1"/>
  <c r="B278" i="6" s="1"/>
  <c r="G278" i="6"/>
  <c r="C279" i="6"/>
  <c r="H175" i="6"/>
  <c r="I175" i="6" s="1"/>
  <c r="D176" i="6" s="1"/>
  <c r="E176" i="6" s="1"/>
  <c r="F174" i="6"/>
  <c r="C282" i="2"/>
  <c r="A282" i="2" s="1"/>
  <c r="G279" i="6" l="1"/>
  <c r="A279" i="6"/>
  <c r="B279" i="6" s="1"/>
  <c r="C280" i="6"/>
  <c r="H176" i="6"/>
  <c r="I176" i="6" s="1"/>
  <c r="D177" i="6" s="1"/>
  <c r="E177" i="6" s="1"/>
  <c r="F175" i="6"/>
  <c r="C283" i="2"/>
  <c r="A283" i="2" s="1"/>
  <c r="G280" i="6" l="1"/>
  <c r="A280" i="6"/>
  <c r="B280" i="6" s="1"/>
  <c r="C281" i="6"/>
  <c r="F176" i="6"/>
  <c r="H177" i="6"/>
  <c r="I177" i="6" s="1"/>
  <c r="D178" i="6" s="1"/>
  <c r="E178" i="6" s="1"/>
  <c r="C284" i="2"/>
  <c r="A284" i="2" s="1"/>
  <c r="G281" i="6" l="1"/>
  <c r="A281" i="6"/>
  <c r="B281" i="6" s="1"/>
  <c r="C282" i="6"/>
  <c r="H178" i="6"/>
  <c r="I178" i="6" s="1"/>
  <c r="D179" i="6" s="1"/>
  <c r="E179" i="6" s="1"/>
  <c r="F177" i="6"/>
  <c r="C285" i="2"/>
  <c r="A285" i="2" s="1"/>
  <c r="G282" i="6" l="1"/>
  <c r="A282" i="6"/>
  <c r="B282" i="6" s="1"/>
  <c r="C283" i="6"/>
  <c r="H179" i="6"/>
  <c r="I179" i="6" s="1"/>
  <c r="D180" i="6" s="1"/>
  <c r="E180" i="6" s="1"/>
  <c r="F178" i="6"/>
  <c r="C286" i="2"/>
  <c r="A286" i="2" s="1"/>
  <c r="G283" i="6" l="1"/>
  <c r="A283" i="6"/>
  <c r="B283" i="6" s="1"/>
  <c r="C284" i="6"/>
  <c r="H180" i="6"/>
  <c r="I180" i="6" s="1"/>
  <c r="D181" i="6" s="1"/>
  <c r="E181" i="6" s="1"/>
  <c r="F179" i="6"/>
  <c r="C287" i="2"/>
  <c r="A287" i="2" s="1"/>
  <c r="G284" i="6" l="1"/>
  <c r="A284" i="6"/>
  <c r="B284" i="6" s="1"/>
  <c r="C285" i="6"/>
  <c r="H181" i="6"/>
  <c r="I181" i="6" s="1"/>
  <c r="D182" i="6" s="1"/>
  <c r="E182" i="6" s="1"/>
  <c r="F180" i="6"/>
  <c r="C288" i="2"/>
  <c r="A288" i="2" s="1"/>
  <c r="A285" i="6" l="1"/>
  <c r="B285" i="6" s="1"/>
  <c r="G285" i="6"/>
  <c r="C286" i="6"/>
  <c r="H182" i="6"/>
  <c r="I182" i="6" s="1"/>
  <c r="D183" i="6" s="1"/>
  <c r="E183" i="6" s="1"/>
  <c r="F181" i="6"/>
  <c r="C289" i="2"/>
  <c r="A289" i="2" s="1"/>
  <c r="A286" i="6" l="1"/>
  <c r="B286" i="6" s="1"/>
  <c r="G286" i="6"/>
  <c r="C287" i="6"/>
  <c r="H183" i="6"/>
  <c r="I183" i="6" s="1"/>
  <c r="D184" i="6" s="1"/>
  <c r="E184" i="6" s="1"/>
  <c r="F182" i="6"/>
  <c r="C290" i="2"/>
  <c r="A290" i="2" s="1"/>
  <c r="G287" i="6" l="1"/>
  <c r="A287" i="6"/>
  <c r="B287" i="6" s="1"/>
  <c r="C288" i="6"/>
  <c r="H184" i="6"/>
  <c r="I184" i="6" s="1"/>
  <c r="D185" i="6" s="1"/>
  <c r="E185" i="6" s="1"/>
  <c r="F183" i="6"/>
  <c r="C291" i="2"/>
  <c r="A291" i="2" s="1"/>
  <c r="G288" i="6" l="1"/>
  <c r="A288" i="6"/>
  <c r="B288" i="6" s="1"/>
  <c r="C289" i="6"/>
  <c r="F184" i="6"/>
  <c r="H185" i="6"/>
  <c r="I185" i="6" s="1"/>
  <c r="D186" i="6" s="1"/>
  <c r="E186" i="6" s="1"/>
  <c r="C292" i="2"/>
  <c r="A292" i="2" s="1"/>
  <c r="G289" i="6" l="1"/>
  <c r="A289" i="6"/>
  <c r="B289" i="6" s="1"/>
  <c r="C290" i="6"/>
  <c r="H186" i="6"/>
  <c r="I186" i="6" s="1"/>
  <c r="D187" i="6" s="1"/>
  <c r="E187" i="6" s="1"/>
  <c r="F185" i="6"/>
  <c r="C293" i="2"/>
  <c r="A293" i="2" s="1"/>
  <c r="G290" i="6" l="1"/>
  <c r="A290" i="6"/>
  <c r="B290" i="6" s="1"/>
  <c r="C291" i="6"/>
  <c r="H187" i="6"/>
  <c r="I187" i="6" s="1"/>
  <c r="D188" i="6" s="1"/>
  <c r="E188" i="6" s="1"/>
  <c r="F186" i="6"/>
  <c r="C294" i="2"/>
  <c r="A294" i="2" s="1"/>
  <c r="G291" i="6" l="1"/>
  <c r="A291" i="6"/>
  <c r="B291" i="6" s="1"/>
  <c r="C292" i="6"/>
  <c r="H188" i="6"/>
  <c r="I188" i="6" s="1"/>
  <c r="D189" i="6" s="1"/>
  <c r="E189" i="6" s="1"/>
  <c r="F187" i="6"/>
  <c r="C295" i="2"/>
  <c r="A295" i="2" s="1"/>
  <c r="G292" i="6" l="1"/>
  <c r="A292" i="6"/>
  <c r="B292" i="6" s="1"/>
  <c r="C293" i="6"/>
  <c r="H189" i="6"/>
  <c r="I189" i="6" s="1"/>
  <c r="D190" i="6" s="1"/>
  <c r="E190" i="6" s="1"/>
  <c r="F188" i="6"/>
  <c r="C296" i="2"/>
  <c r="A296" i="2" s="1"/>
  <c r="A293" i="6" l="1"/>
  <c r="B293" i="6" s="1"/>
  <c r="G293" i="6"/>
  <c r="C294" i="6"/>
  <c r="H190" i="6"/>
  <c r="I190" i="6" s="1"/>
  <c r="D191" i="6" s="1"/>
  <c r="E191" i="6" s="1"/>
  <c r="F189" i="6"/>
  <c r="C297" i="2"/>
  <c r="A297" i="2" s="1"/>
  <c r="G294" i="6" l="1"/>
  <c r="A294" i="6"/>
  <c r="B294" i="6" s="1"/>
  <c r="C295" i="6"/>
  <c r="H191" i="6"/>
  <c r="I191" i="6" s="1"/>
  <c r="D192" i="6" s="1"/>
  <c r="E192" i="6" s="1"/>
  <c r="F190" i="6"/>
  <c r="C298" i="2"/>
  <c r="A298" i="2" s="1"/>
  <c r="G295" i="6" l="1"/>
  <c r="A295" i="6"/>
  <c r="B295" i="6" s="1"/>
  <c r="C296" i="6"/>
  <c r="H192" i="6"/>
  <c r="I192" i="6" s="1"/>
  <c r="D193" i="6" s="1"/>
  <c r="E193" i="6" s="1"/>
  <c r="F191" i="6"/>
  <c r="C299" i="2"/>
  <c r="A299" i="2" s="1"/>
  <c r="G296" i="6" l="1"/>
  <c r="A296" i="6"/>
  <c r="B296" i="6" s="1"/>
  <c r="C297" i="6"/>
  <c r="H193" i="6"/>
  <c r="I193" i="6" s="1"/>
  <c r="D194" i="6" s="1"/>
  <c r="E194" i="6" s="1"/>
  <c r="F192" i="6"/>
  <c r="C300" i="2"/>
  <c r="A300" i="2" s="1"/>
  <c r="G297" i="6" l="1"/>
  <c r="A297" i="6"/>
  <c r="B297" i="6" s="1"/>
  <c r="C298" i="6"/>
  <c r="H194" i="6"/>
  <c r="I194" i="6" s="1"/>
  <c r="D195" i="6" s="1"/>
  <c r="E195" i="6" s="1"/>
  <c r="F193" i="6"/>
  <c r="C301" i="2"/>
  <c r="A301" i="2" s="1"/>
  <c r="G298" i="6" l="1"/>
  <c r="A298" i="6"/>
  <c r="B298" i="6" s="1"/>
  <c r="C299" i="6"/>
  <c r="H195" i="6"/>
  <c r="I195" i="6" s="1"/>
  <c r="D196" i="6" s="1"/>
  <c r="E196" i="6" s="1"/>
  <c r="F195" i="6"/>
  <c r="F194" i="6"/>
  <c r="C302" i="2"/>
  <c r="A302" i="2" s="1"/>
  <c r="G299" i="6" l="1"/>
  <c r="A299" i="6"/>
  <c r="B299" i="6" s="1"/>
  <c r="C300" i="6"/>
  <c r="H196" i="6"/>
  <c r="I196" i="6" s="1"/>
  <c r="D197" i="6" s="1"/>
  <c r="E197" i="6" s="1"/>
  <c r="C303" i="2"/>
  <c r="A303" i="2" s="1"/>
  <c r="G300" i="6" l="1"/>
  <c r="A300" i="6"/>
  <c r="B300" i="6" s="1"/>
  <c r="C301" i="6"/>
  <c r="H197" i="6"/>
  <c r="I197" i="6" s="1"/>
  <c r="D198" i="6" s="1"/>
  <c r="E198" i="6" s="1"/>
  <c r="F196" i="6"/>
  <c r="C304" i="2"/>
  <c r="A304" i="2" s="1"/>
  <c r="A301" i="6" l="1"/>
  <c r="B301" i="6" s="1"/>
  <c r="G301" i="6"/>
  <c r="C302" i="6"/>
  <c r="H198" i="6"/>
  <c r="I198" i="6" s="1"/>
  <c r="D199" i="6" s="1"/>
  <c r="E199" i="6" s="1"/>
  <c r="F198" i="6"/>
  <c r="F197" i="6"/>
  <c r="C305" i="2"/>
  <c r="A305" i="2" s="1"/>
  <c r="A302" i="6" l="1"/>
  <c r="B302" i="6" s="1"/>
  <c r="G302" i="6"/>
  <c r="C303" i="6"/>
  <c r="H199" i="6"/>
  <c r="I199" i="6" s="1"/>
  <c r="D200" i="6" s="1"/>
  <c r="E200" i="6" s="1"/>
  <c r="C306" i="2"/>
  <c r="A306" i="2" s="1"/>
  <c r="G303" i="6" l="1"/>
  <c r="A303" i="6"/>
  <c r="B303" i="6" s="1"/>
  <c r="C304" i="6"/>
  <c r="H200" i="6"/>
  <c r="I200" i="6" s="1"/>
  <c r="D201" i="6" s="1"/>
  <c r="E201" i="6" s="1"/>
  <c r="F199" i="6"/>
  <c r="C307" i="2"/>
  <c r="A307" i="2" s="1"/>
  <c r="G304" i="6" l="1"/>
  <c r="A304" i="6"/>
  <c r="B304" i="6" s="1"/>
  <c r="C305" i="6"/>
  <c r="F200" i="6"/>
  <c r="H201" i="6"/>
  <c r="I201" i="6" s="1"/>
  <c r="D202" i="6" s="1"/>
  <c r="E202" i="6" s="1"/>
  <c r="C308" i="2"/>
  <c r="A308" i="2" s="1"/>
  <c r="G305" i="6" l="1"/>
  <c r="A305" i="6"/>
  <c r="B305" i="6" s="1"/>
  <c r="C306" i="6"/>
  <c r="H202" i="6"/>
  <c r="I202" i="6" s="1"/>
  <c r="D203" i="6" s="1"/>
  <c r="E203" i="6" s="1"/>
  <c r="F201" i="6"/>
  <c r="C309" i="2"/>
  <c r="A309" i="2" s="1"/>
  <c r="G306" i="6" l="1"/>
  <c r="A306" i="6"/>
  <c r="B306" i="6" s="1"/>
  <c r="C307" i="6"/>
  <c r="H203" i="6"/>
  <c r="I203" i="6" s="1"/>
  <c r="D204" i="6" s="1"/>
  <c r="E204" i="6" s="1"/>
  <c r="F202" i="6"/>
  <c r="C310" i="2"/>
  <c r="A310" i="2" s="1"/>
  <c r="G307" i="6" l="1"/>
  <c r="A307" i="6"/>
  <c r="B307" i="6" s="1"/>
  <c r="C308" i="6"/>
  <c r="H204" i="6"/>
  <c r="I204" i="6" s="1"/>
  <c r="D205" i="6" s="1"/>
  <c r="E205" i="6" s="1"/>
  <c r="F203" i="6"/>
  <c r="C311" i="2"/>
  <c r="A311" i="2" s="1"/>
  <c r="G308" i="6" l="1"/>
  <c r="A308" i="6"/>
  <c r="B308" i="6" s="1"/>
  <c r="C309" i="6"/>
  <c r="H205" i="6"/>
  <c r="I205" i="6" s="1"/>
  <c r="D206" i="6" s="1"/>
  <c r="E206" i="6" s="1"/>
  <c r="F204" i="6"/>
  <c r="C312" i="2"/>
  <c r="A312" i="2" s="1"/>
  <c r="A309" i="6" l="1"/>
  <c r="B309" i="6" s="1"/>
  <c r="G309" i="6"/>
  <c r="C310" i="6"/>
  <c r="H206" i="6"/>
  <c r="I206" i="6" s="1"/>
  <c r="D207" i="6" s="1"/>
  <c r="E207" i="6" s="1"/>
  <c r="F205" i="6"/>
  <c r="C313" i="2"/>
  <c r="A313" i="2" s="1"/>
  <c r="A310" i="6" l="1"/>
  <c r="B310" i="6" s="1"/>
  <c r="G310" i="6"/>
  <c r="C311" i="6"/>
  <c r="H207" i="6"/>
  <c r="I207" i="6" s="1"/>
  <c r="D208" i="6" s="1"/>
  <c r="E208" i="6" s="1"/>
  <c r="F206" i="6"/>
  <c r="C314" i="2"/>
  <c r="A314" i="2" s="1"/>
  <c r="G311" i="6" l="1"/>
  <c r="A311" i="6"/>
  <c r="B311" i="6" s="1"/>
  <c r="C312" i="6"/>
  <c r="H208" i="6"/>
  <c r="I208" i="6" s="1"/>
  <c r="D209" i="6" s="1"/>
  <c r="E209" i="6" s="1"/>
  <c r="F207" i="6"/>
  <c r="C315" i="2"/>
  <c r="A315" i="2" s="1"/>
  <c r="G312" i="6" l="1"/>
  <c r="A312" i="6"/>
  <c r="B312" i="6" s="1"/>
  <c r="C313" i="6"/>
  <c r="H209" i="6"/>
  <c r="I209" i="6" s="1"/>
  <c r="D210" i="6" s="1"/>
  <c r="E210" i="6" s="1"/>
  <c r="F208" i="6"/>
  <c r="C316" i="2"/>
  <c r="A316" i="2" s="1"/>
  <c r="G313" i="6" l="1"/>
  <c r="A313" i="6"/>
  <c r="B313" i="6" s="1"/>
  <c r="C314" i="6"/>
  <c r="H210" i="6"/>
  <c r="I210" i="6" s="1"/>
  <c r="D211" i="6" s="1"/>
  <c r="E211" i="6" s="1"/>
  <c r="F209" i="6"/>
  <c r="C317" i="2"/>
  <c r="A317" i="2" s="1"/>
  <c r="G314" i="6" l="1"/>
  <c r="A314" i="6"/>
  <c r="B314" i="6" s="1"/>
  <c r="C315" i="6"/>
  <c r="H211" i="6"/>
  <c r="I211" i="6" s="1"/>
  <c r="D212" i="6" s="1"/>
  <c r="E212" i="6" s="1"/>
  <c r="F210" i="6"/>
  <c r="C318" i="2"/>
  <c r="A318" i="2" s="1"/>
  <c r="G315" i="6" l="1"/>
  <c r="A315" i="6"/>
  <c r="B315" i="6" s="1"/>
  <c r="C316" i="6"/>
  <c r="F211" i="6"/>
  <c r="H212" i="6"/>
  <c r="I212" i="6" s="1"/>
  <c r="D213" i="6" s="1"/>
  <c r="E213" i="6" s="1"/>
  <c r="C319" i="2"/>
  <c r="A319" i="2" s="1"/>
  <c r="G316" i="6" l="1"/>
  <c r="A316" i="6"/>
  <c r="B316" i="6" s="1"/>
  <c r="C317" i="6"/>
  <c r="H213" i="6"/>
  <c r="I213" i="6" s="1"/>
  <c r="D214" i="6" s="1"/>
  <c r="E214" i="6" s="1"/>
  <c r="F213" i="6"/>
  <c r="F212" i="6"/>
  <c r="C320" i="2"/>
  <c r="A320" i="2" s="1"/>
  <c r="A317" i="6" l="1"/>
  <c r="B317" i="6" s="1"/>
  <c r="G317" i="6"/>
  <c r="C318" i="6"/>
  <c r="H214" i="6"/>
  <c r="I214" i="6" s="1"/>
  <c r="D215" i="6" s="1"/>
  <c r="E215" i="6" s="1"/>
  <c r="C321" i="2"/>
  <c r="A321" i="2" s="1"/>
  <c r="A318" i="6" l="1"/>
  <c r="B318" i="6" s="1"/>
  <c r="G318" i="6"/>
  <c r="C319" i="6"/>
  <c r="H215" i="6"/>
  <c r="I215" i="6" s="1"/>
  <c r="D216" i="6" s="1"/>
  <c r="E216" i="6" s="1"/>
  <c r="F214" i="6"/>
  <c r="C322" i="2"/>
  <c r="A322" i="2" s="1"/>
  <c r="G319" i="6" l="1"/>
  <c r="A319" i="6"/>
  <c r="B319" i="6" s="1"/>
  <c r="C320" i="6"/>
  <c r="H216" i="6"/>
  <c r="I216" i="6" s="1"/>
  <c r="D217" i="6" s="1"/>
  <c r="E217" i="6" s="1"/>
  <c r="F215" i="6"/>
  <c r="C323" i="2"/>
  <c r="A323" i="2" s="1"/>
  <c r="G320" i="6" l="1"/>
  <c r="A320" i="6"/>
  <c r="B320" i="6" s="1"/>
  <c r="C321" i="6"/>
  <c r="H217" i="6"/>
  <c r="I217" i="6" s="1"/>
  <c r="D218" i="6" s="1"/>
  <c r="E218" i="6" s="1"/>
  <c r="F217" i="6"/>
  <c r="F216" i="6"/>
  <c r="C324" i="2"/>
  <c r="A324" i="2" s="1"/>
  <c r="G321" i="6" l="1"/>
  <c r="A321" i="6"/>
  <c r="B321" i="6" s="1"/>
  <c r="C322" i="6"/>
  <c r="H218" i="6"/>
  <c r="I218" i="6" s="1"/>
  <c r="D219" i="6" s="1"/>
  <c r="E219" i="6" s="1"/>
  <c r="C325" i="2"/>
  <c r="A325" i="2" s="1"/>
  <c r="G322" i="6" l="1"/>
  <c r="A322" i="6"/>
  <c r="B322" i="6" s="1"/>
  <c r="C323" i="6"/>
  <c r="H219" i="6"/>
  <c r="I219" i="6" s="1"/>
  <c r="D220" i="6" s="1"/>
  <c r="E220" i="6" s="1"/>
  <c r="F219" i="6"/>
  <c r="F218" i="6"/>
  <c r="C326" i="2"/>
  <c r="A326" i="2" s="1"/>
  <c r="G323" i="6" l="1"/>
  <c r="A323" i="6"/>
  <c r="B323" i="6" s="1"/>
  <c r="C324" i="6"/>
  <c r="H220" i="6"/>
  <c r="I220" i="6" s="1"/>
  <c r="D221" i="6" s="1"/>
  <c r="E221" i="6" s="1"/>
  <c r="C327" i="2"/>
  <c r="A327" i="2" s="1"/>
  <c r="G324" i="6" l="1"/>
  <c r="A324" i="6"/>
  <c r="B324" i="6" s="1"/>
  <c r="C325" i="6"/>
  <c r="H221" i="6"/>
  <c r="I221" i="6" s="1"/>
  <c r="D222" i="6" s="1"/>
  <c r="E222" i="6" s="1"/>
  <c r="F220" i="6"/>
  <c r="C328" i="2"/>
  <c r="A328" i="2" s="1"/>
  <c r="A325" i="6" l="1"/>
  <c r="B325" i="6" s="1"/>
  <c r="G325" i="6"/>
  <c r="C326" i="6"/>
  <c r="H222" i="6"/>
  <c r="I222" i="6" s="1"/>
  <c r="D223" i="6" s="1"/>
  <c r="E223" i="6" s="1"/>
  <c r="F222" i="6"/>
  <c r="F221" i="6"/>
  <c r="C329" i="2"/>
  <c r="A329" i="2" s="1"/>
  <c r="A326" i="6" l="1"/>
  <c r="B326" i="6" s="1"/>
  <c r="G326" i="6"/>
  <c r="C327" i="6"/>
  <c r="H223" i="6"/>
  <c r="I223" i="6" s="1"/>
  <c r="D224" i="6" s="1"/>
  <c r="E224" i="6" s="1"/>
  <c r="C330" i="2"/>
  <c r="A330" i="2" s="1"/>
  <c r="G327" i="6" l="1"/>
  <c r="A327" i="6"/>
  <c r="B327" i="6" s="1"/>
  <c r="C328" i="6"/>
  <c r="H224" i="6"/>
  <c r="I224" i="6" s="1"/>
  <c r="D225" i="6" s="1"/>
  <c r="E225" i="6" s="1"/>
  <c r="F223" i="6"/>
  <c r="C331" i="2"/>
  <c r="A331" i="2" s="1"/>
  <c r="G328" i="6" l="1"/>
  <c r="A328" i="6"/>
  <c r="B328" i="6" s="1"/>
  <c r="C329" i="6"/>
  <c r="H225" i="6"/>
  <c r="I225" i="6" s="1"/>
  <c r="D226" i="6" s="1"/>
  <c r="E226" i="6" s="1"/>
  <c r="F224" i="6"/>
  <c r="C332" i="2"/>
  <c r="A332" i="2" s="1"/>
  <c r="G329" i="6" l="1"/>
  <c r="A329" i="6"/>
  <c r="B329" i="6" s="1"/>
  <c r="C330" i="6"/>
  <c r="H226" i="6"/>
  <c r="I226" i="6" s="1"/>
  <c r="D227" i="6" s="1"/>
  <c r="E227" i="6" s="1"/>
  <c r="F225" i="6"/>
  <c r="C333" i="2"/>
  <c r="A333" i="2" s="1"/>
  <c r="G330" i="6" l="1"/>
  <c r="A330" i="6"/>
  <c r="B330" i="6" s="1"/>
  <c r="C331" i="6"/>
  <c r="H227" i="6"/>
  <c r="I227" i="6" s="1"/>
  <c r="D228" i="6" s="1"/>
  <c r="E228" i="6" s="1"/>
  <c r="F227" i="6"/>
  <c r="F226" i="6"/>
  <c r="C334" i="2"/>
  <c r="A334" i="2" s="1"/>
  <c r="G331" i="6" l="1"/>
  <c r="A331" i="6"/>
  <c r="B331" i="6" s="1"/>
  <c r="C332" i="6"/>
  <c r="H228" i="6"/>
  <c r="I228" i="6" s="1"/>
  <c r="D229" i="6" s="1"/>
  <c r="E229" i="6" s="1"/>
  <c r="C335" i="2"/>
  <c r="A335" i="2" s="1"/>
  <c r="G332" i="6" l="1"/>
  <c r="A332" i="6"/>
  <c r="B332" i="6" s="1"/>
  <c r="C333" i="6"/>
  <c r="H229" i="6"/>
  <c r="I229" i="6" s="1"/>
  <c r="D230" i="6" s="1"/>
  <c r="E230" i="6" s="1"/>
  <c r="F228" i="6"/>
  <c r="C336" i="2"/>
  <c r="A336" i="2" s="1"/>
  <c r="A333" i="6" l="1"/>
  <c r="B333" i="6" s="1"/>
  <c r="G333" i="6"/>
  <c r="C334" i="6"/>
  <c r="H230" i="6"/>
  <c r="I230" i="6" s="1"/>
  <c r="D231" i="6" s="1"/>
  <c r="E231" i="6" s="1"/>
  <c r="F229" i="6"/>
  <c r="C337" i="2"/>
  <c r="A337" i="2" s="1"/>
  <c r="A334" i="6" l="1"/>
  <c r="B334" i="6" s="1"/>
  <c r="G334" i="6"/>
  <c r="C335" i="6"/>
  <c r="H231" i="6"/>
  <c r="I231" i="6" s="1"/>
  <c r="D232" i="6" s="1"/>
  <c r="E232" i="6" s="1"/>
  <c r="F230" i="6"/>
  <c r="C338" i="2"/>
  <c r="A338" i="2" s="1"/>
  <c r="G335" i="6" l="1"/>
  <c r="A335" i="6"/>
  <c r="B335" i="6" s="1"/>
  <c r="C336" i="6"/>
  <c r="H232" i="6"/>
  <c r="I232" i="6" s="1"/>
  <c r="D233" i="6" s="1"/>
  <c r="E233" i="6" s="1"/>
  <c r="F231" i="6"/>
  <c r="C339" i="2"/>
  <c r="A339" i="2" s="1"/>
  <c r="G336" i="6" l="1"/>
  <c r="A336" i="6"/>
  <c r="B336" i="6" s="1"/>
  <c r="C337" i="6"/>
  <c r="H233" i="6"/>
  <c r="I233" i="6" s="1"/>
  <c r="D234" i="6" s="1"/>
  <c r="E234" i="6" s="1"/>
  <c r="F233" i="6"/>
  <c r="F232" i="6"/>
  <c r="C340" i="2"/>
  <c r="A340" i="2" s="1"/>
  <c r="G337" i="6" l="1"/>
  <c r="A337" i="6"/>
  <c r="B337" i="6" s="1"/>
  <c r="C338" i="6"/>
  <c r="H234" i="6"/>
  <c r="I234" i="6" s="1"/>
  <c r="D235" i="6" s="1"/>
  <c r="E235" i="6" s="1"/>
  <c r="C341" i="2"/>
  <c r="A341" i="2" s="1"/>
  <c r="G338" i="6" l="1"/>
  <c r="A338" i="6"/>
  <c r="B338" i="6" s="1"/>
  <c r="C339" i="6"/>
  <c r="H235" i="6"/>
  <c r="I235" i="6" s="1"/>
  <c r="D236" i="6" s="1"/>
  <c r="E236" i="6" s="1"/>
  <c r="F234" i="6"/>
  <c r="C342" i="2"/>
  <c r="A342" i="2" s="1"/>
  <c r="G339" i="6" l="1"/>
  <c r="A339" i="6"/>
  <c r="B339" i="6" s="1"/>
  <c r="C340" i="6"/>
  <c r="H236" i="6"/>
  <c r="I236" i="6" s="1"/>
  <c r="D237" i="6" s="1"/>
  <c r="E237" i="6" s="1"/>
  <c r="F236" i="6"/>
  <c r="F235" i="6"/>
  <c r="C343" i="2"/>
  <c r="A343" i="2" s="1"/>
  <c r="G340" i="6" l="1"/>
  <c r="A340" i="6"/>
  <c r="B340" i="6" s="1"/>
  <c r="C341" i="6"/>
  <c r="H237" i="6"/>
  <c r="I237" i="6" s="1"/>
  <c r="D238" i="6" s="1"/>
  <c r="E238" i="6" s="1"/>
  <c r="C344" i="2"/>
  <c r="A344" i="2" s="1"/>
  <c r="A341" i="6" l="1"/>
  <c r="B341" i="6" s="1"/>
  <c r="G341" i="6"/>
  <c r="C342" i="6"/>
  <c r="H238" i="6"/>
  <c r="I238" i="6" s="1"/>
  <c r="D239" i="6" s="1"/>
  <c r="E239" i="6" s="1"/>
  <c r="F237" i="6"/>
  <c r="C345" i="2"/>
  <c r="A345" i="2" s="1"/>
  <c r="A342" i="6" l="1"/>
  <c r="B342" i="6" s="1"/>
  <c r="G342" i="6"/>
  <c r="C343" i="6"/>
  <c r="F238" i="6"/>
  <c r="H239" i="6"/>
  <c r="I239" i="6" s="1"/>
  <c r="D240" i="6" s="1"/>
  <c r="E240" i="6" s="1"/>
  <c r="C346" i="2"/>
  <c r="A346" i="2" s="1"/>
  <c r="G343" i="6" l="1"/>
  <c r="A343" i="6"/>
  <c r="B343" i="6" s="1"/>
  <c r="C344" i="6"/>
  <c r="H240" i="6"/>
  <c r="I240" i="6" s="1"/>
  <c r="D241" i="6" s="1"/>
  <c r="E241" i="6" s="1"/>
  <c r="F240" i="6"/>
  <c r="F239" i="6"/>
  <c r="C347" i="2"/>
  <c r="A347" i="2" s="1"/>
  <c r="G344" i="6" l="1"/>
  <c r="A344" i="6"/>
  <c r="B344" i="6" s="1"/>
  <c r="C345" i="6"/>
  <c r="H241" i="6"/>
  <c r="I241" i="6" s="1"/>
  <c r="D242" i="6" s="1"/>
  <c r="E242" i="6" s="1"/>
  <c r="C348" i="2"/>
  <c r="A348" i="2" s="1"/>
  <c r="G345" i="6" l="1"/>
  <c r="A345" i="6"/>
  <c r="B345" i="6" s="1"/>
  <c r="C346" i="6"/>
  <c r="H242" i="6"/>
  <c r="I242" i="6" s="1"/>
  <c r="D243" i="6" s="1"/>
  <c r="E243" i="6" s="1"/>
  <c r="F241" i="6"/>
  <c r="C349" i="2"/>
  <c r="A349" i="2" s="1"/>
  <c r="G346" i="6" l="1"/>
  <c r="A346" i="6"/>
  <c r="B346" i="6" s="1"/>
  <c r="C347" i="6"/>
  <c r="F242" i="6"/>
  <c r="H243" i="6"/>
  <c r="I243" i="6" s="1"/>
  <c r="D244" i="6" s="1"/>
  <c r="E244" i="6" s="1"/>
  <c r="C350" i="2"/>
  <c r="A350" i="2" s="1"/>
  <c r="G347" i="6" l="1"/>
  <c r="A347" i="6"/>
  <c r="B347" i="6" s="1"/>
  <c r="C348" i="6"/>
  <c r="H244" i="6"/>
  <c r="I244" i="6" s="1"/>
  <c r="D245" i="6" s="1"/>
  <c r="E245" i="6" s="1"/>
  <c r="F244" i="6"/>
  <c r="F243" i="6"/>
  <c r="C351" i="2"/>
  <c r="A351" i="2" s="1"/>
  <c r="G348" i="6" l="1"/>
  <c r="A348" i="6"/>
  <c r="B348" i="6" s="1"/>
  <c r="C349" i="6"/>
  <c r="H245" i="6"/>
  <c r="I245" i="6" s="1"/>
  <c r="D246" i="6" s="1"/>
  <c r="E246" i="6" s="1"/>
  <c r="C352" i="2"/>
  <c r="A352" i="2" s="1"/>
  <c r="A349" i="6" l="1"/>
  <c r="B349" i="6" s="1"/>
  <c r="G349" i="6"/>
  <c r="C350" i="6"/>
  <c r="H246" i="6"/>
  <c r="I246" i="6" s="1"/>
  <c r="D247" i="6" s="1"/>
  <c r="E247" i="6" s="1"/>
  <c r="F246" i="6"/>
  <c r="F245" i="6"/>
  <c r="C353" i="2"/>
  <c r="A353" i="2" s="1"/>
  <c r="G350" i="6" l="1"/>
  <c r="A350" i="6"/>
  <c r="B350" i="6" s="1"/>
  <c r="C351" i="6"/>
  <c r="H247" i="6"/>
  <c r="I247" i="6" s="1"/>
  <c r="D248" i="6" s="1"/>
  <c r="E248" i="6" s="1"/>
  <c r="C354" i="2"/>
  <c r="A354" i="2" s="1"/>
  <c r="G351" i="6" l="1"/>
  <c r="A351" i="6"/>
  <c r="B351" i="6" s="1"/>
  <c r="C352" i="6"/>
  <c r="H248" i="6"/>
  <c r="I248" i="6" s="1"/>
  <c r="D249" i="6" s="1"/>
  <c r="E249" i="6" s="1"/>
  <c r="F248" i="6"/>
  <c r="F247" i="6"/>
  <c r="C355" i="2"/>
  <c r="A355" i="2" s="1"/>
  <c r="G352" i="6" l="1"/>
  <c r="A352" i="6"/>
  <c r="B352" i="6" s="1"/>
  <c r="C353" i="6"/>
  <c r="H249" i="6"/>
  <c r="I249" i="6" s="1"/>
  <c r="D250" i="6" s="1"/>
  <c r="E250" i="6" s="1"/>
  <c r="C356" i="2"/>
  <c r="A356" i="2" s="1"/>
  <c r="G353" i="6" l="1"/>
  <c r="A353" i="6"/>
  <c r="B353" i="6" s="1"/>
  <c r="C354" i="6"/>
  <c r="H250" i="6"/>
  <c r="I250" i="6" s="1"/>
  <c r="D251" i="6" s="1"/>
  <c r="E251" i="6" s="1"/>
  <c r="F249" i="6"/>
  <c r="C357" i="2"/>
  <c r="A357" i="2" s="1"/>
  <c r="G354" i="6" l="1"/>
  <c r="A354" i="6"/>
  <c r="B354" i="6" s="1"/>
  <c r="C355" i="6"/>
  <c r="H251" i="6"/>
  <c r="I251" i="6" s="1"/>
  <c r="D252" i="6" s="1"/>
  <c r="E252" i="6" s="1"/>
  <c r="F250" i="6"/>
  <c r="C358" i="2"/>
  <c r="A358" i="2" s="1"/>
  <c r="G355" i="6" l="1"/>
  <c r="A355" i="6"/>
  <c r="B355" i="6" s="1"/>
  <c r="C356" i="6"/>
  <c r="F251" i="6"/>
  <c r="H252" i="6"/>
  <c r="I252" i="6" s="1"/>
  <c r="D253" i="6" s="1"/>
  <c r="E253" i="6" s="1"/>
  <c r="F252" i="6"/>
  <c r="C359" i="2"/>
  <c r="A359" i="2" s="1"/>
  <c r="G356" i="6" l="1"/>
  <c r="A356" i="6"/>
  <c r="B356" i="6" s="1"/>
  <c r="C357" i="6"/>
  <c r="H253" i="6"/>
  <c r="I253" i="6" s="1"/>
  <c r="D254" i="6" s="1"/>
  <c r="E254" i="6" s="1"/>
  <c r="F253" i="6"/>
  <c r="C360" i="2"/>
  <c r="A360" i="2" s="1"/>
  <c r="A357" i="6" l="1"/>
  <c r="B357" i="6" s="1"/>
  <c r="G357" i="6"/>
  <c r="C358" i="6"/>
  <c r="H254" i="6"/>
  <c r="I254" i="6" s="1"/>
  <c r="D255" i="6" s="1"/>
  <c r="E255" i="6" s="1"/>
  <c r="C361" i="2"/>
  <c r="A361" i="2" s="1"/>
  <c r="G358" i="6" l="1"/>
  <c r="A358" i="6"/>
  <c r="B358" i="6" s="1"/>
  <c r="C359" i="6"/>
  <c r="H255" i="6"/>
  <c r="I255" i="6" s="1"/>
  <c r="D256" i="6" s="1"/>
  <c r="E256" i="6" s="1"/>
  <c r="F254" i="6"/>
  <c r="C362" i="2"/>
  <c r="A362" i="2" s="1"/>
  <c r="G359" i="6" l="1"/>
  <c r="A359" i="6"/>
  <c r="B359" i="6" s="1"/>
  <c r="C360" i="6"/>
  <c r="H256" i="6"/>
  <c r="I256" i="6" s="1"/>
  <c r="D257" i="6" s="1"/>
  <c r="E257" i="6" s="1"/>
  <c r="F255" i="6"/>
  <c r="B4" i="2"/>
  <c r="B5" i="2" s="1"/>
  <c r="B6" i="2" s="1"/>
  <c r="B7" i="2" s="1"/>
  <c r="B8" i="2" s="1"/>
  <c r="B9" i="2" s="1"/>
  <c r="B10" i="2" s="1"/>
  <c r="B11" i="2" s="1"/>
  <c r="B12" i="2" s="1"/>
  <c r="B13" i="2" s="1"/>
  <c r="B14" i="2" s="1"/>
  <c r="B15" i="2" s="1"/>
  <c r="B16" i="2" s="1"/>
  <c r="B17" i="2" s="1"/>
  <c r="B18" i="2" s="1"/>
  <c r="B19" i="2" s="1"/>
  <c r="B20" i="2" s="1"/>
  <c r="B21" i="2" s="1"/>
  <c r="B22" i="2" s="1"/>
  <c r="B23" i="2" s="1"/>
  <c r="B24" i="2" s="1"/>
  <c r="B25" i="2" s="1"/>
  <c r="B26" i="2" s="1"/>
  <c r="B27" i="2" s="1"/>
  <c r="B28" i="2" s="1"/>
  <c r="B29" i="2" s="1"/>
  <c r="B30" i="2" s="1"/>
  <c r="B31" i="2" s="1"/>
  <c r="B32" i="2" s="1"/>
  <c r="B33" i="2" s="1"/>
  <c r="B34" i="2" s="1"/>
  <c r="B35" i="2" s="1"/>
  <c r="B36" i="2" s="1"/>
  <c r="B37" i="2" s="1"/>
  <c r="B38" i="2" s="1"/>
  <c r="B39" i="2" s="1"/>
  <c r="B40" i="2" s="1"/>
  <c r="B41" i="2" s="1"/>
  <c r="B42" i="2" s="1"/>
  <c r="B43" i="2" s="1"/>
  <c r="B44" i="2" s="1"/>
  <c r="B45" i="2" s="1"/>
  <c r="B46" i="2" s="1"/>
  <c r="B47" i="2" s="1"/>
  <c r="B48" i="2" s="1"/>
  <c r="B49" i="2" s="1"/>
  <c r="B50" i="2" s="1"/>
  <c r="B51" i="2" s="1"/>
  <c r="B52" i="2" s="1"/>
  <c r="B53" i="2" s="1"/>
  <c r="B54" i="2" s="1"/>
  <c r="B55" i="2" s="1"/>
  <c r="B56" i="2" s="1"/>
  <c r="B57" i="2" s="1"/>
  <c r="B58" i="2" s="1"/>
  <c r="B59" i="2" s="1"/>
  <c r="B60" i="2" s="1"/>
  <c r="B61" i="2" s="1"/>
  <c r="B62" i="2" s="1"/>
  <c r="B63" i="2" s="1"/>
  <c r="B64" i="2" s="1"/>
  <c r="B65" i="2" s="1"/>
  <c r="B66" i="2" s="1"/>
  <c r="B67" i="2" s="1"/>
  <c r="B68" i="2" s="1"/>
  <c r="B69" i="2" s="1"/>
  <c r="B70" i="2" s="1"/>
  <c r="B71" i="2" s="1"/>
  <c r="B72" i="2" s="1"/>
  <c r="B73" i="2" s="1"/>
  <c r="B74" i="2" s="1"/>
  <c r="B75" i="2" s="1"/>
  <c r="B76" i="2" s="1"/>
  <c r="B77" i="2" s="1"/>
  <c r="B78" i="2" s="1"/>
  <c r="B79" i="2" s="1"/>
  <c r="B80" i="2" s="1"/>
  <c r="B81" i="2" s="1"/>
  <c r="B82" i="2" s="1"/>
  <c r="B83" i="2" s="1"/>
  <c r="B84" i="2" s="1"/>
  <c r="B85" i="2" s="1"/>
  <c r="B86" i="2" s="1"/>
  <c r="B87" i="2" s="1"/>
  <c r="B88" i="2" s="1"/>
  <c r="B89" i="2" s="1"/>
  <c r="B90" i="2" s="1"/>
  <c r="B91" i="2" s="1"/>
  <c r="B92" i="2" s="1"/>
  <c r="B93" i="2" s="1"/>
  <c r="B94" i="2" s="1"/>
  <c r="B95" i="2" s="1"/>
  <c r="B96" i="2" s="1"/>
  <c r="B97" i="2" s="1"/>
  <c r="B98" i="2" s="1"/>
  <c r="B99" i="2" s="1"/>
  <c r="B100" i="2" s="1"/>
  <c r="B101" i="2" s="1"/>
  <c r="B102" i="2" s="1"/>
  <c r="B103" i="2" s="1"/>
  <c r="B104" i="2" s="1"/>
  <c r="B105" i="2" s="1"/>
  <c r="B106" i="2" s="1"/>
  <c r="B107" i="2" s="1"/>
  <c r="B108" i="2" s="1"/>
  <c r="B109" i="2" s="1"/>
  <c r="B110" i="2" s="1"/>
  <c r="B111" i="2" s="1"/>
  <c r="B112" i="2" s="1"/>
  <c r="B113" i="2" s="1"/>
  <c r="B114" i="2" s="1"/>
  <c r="B115" i="2" s="1"/>
  <c r="B116" i="2" s="1"/>
  <c r="B117" i="2" s="1"/>
  <c r="B118" i="2" s="1"/>
  <c r="B119" i="2" s="1"/>
  <c r="B120" i="2" s="1"/>
  <c r="B121" i="2" s="1"/>
  <c r="B122" i="2" s="1"/>
  <c r="B123" i="2" s="1"/>
  <c r="B124" i="2" s="1"/>
  <c r="B125" i="2" s="1"/>
  <c r="B126" i="2" s="1"/>
  <c r="B127" i="2" s="1"/>
  <c r="B128" i="2" s="1"/>
  <c r="B129" i="2" s="1"/>
  <c r="B130" i="2" s="1"/>
  <c r="B131" i="2" s="1"/>
  <c r="B132" i="2" s="1"/>
  <c r="B133" i="2" s="1"/>
  <c r="B134" i="2" s="1"/>
  <c r="B135" i="2" s="1"/>
  <c r="B136" i="2" s="1"/>
  <c r="B137" i="2" s="1"/>
  <c r="B138" i="2" s="1"/>
  <c r="B139" i="2" s="1"/>
  <c r="B140" i="2" s="1"/>
  <c r="B141" i="2" s="1"/>
  <c r="B142" i="2" s="1"/>
  <c r="B143" i="2" s="1"/>
  <c r="B144" i="2" s="1"/>
  <c r="B145" i="2" s="1"/>
  <c r="B146" i="2" s="1"/>
  <c r="B147" i="2" s="1"/>
  <c r="B148" i="2" s="1"/>
  <c r="B149" i="2" s="1"/>
  <c r="B150" i="2" s="1"/>
  <c r="B151" i="2" s="1"/>
  <c r="B152" i="2" s="1"/>
  <c r="B153" i="2" s="1"/>
  <c r="B154" i="2" s="1"/>
  <c r="B155" i="2" s="1"/>
  <c r="B156" i="2" s="1"/>
  <c r="B157" i="2" s="1"/>
  <c r="B158" i="2" s="1"/>
  <c r="B159" i="2" s="1"/>
  <c r="B160" i="2" s="1"/>
  <c r="B161" i="2" s="1"/>
  <c r="B162" i="2" s="1"/>
  <c r="B163" i="2" s="1"/>
  <c r="B164" i="2" s="1"/>
  <c r="B165" i="2" s="1"/>
  <c r="B166" i="2" s="1"/>
  <c r="B167" i="2" s="1"/>
  <c r="B168" i="2" s="1"/>
  <c r="B169" i="2" s="1"/>
  <c r="B170" i="2" s="1"/>
  <c r="B171" i="2" s="1"/>
  <c r="B172" i="2" s="1"/>
  <c r="B173" i="2" s="1"/>
  <c r="B174" i="2" s="1"/>
  <c r="B175" i="2" s="1"/>
  <c r="B176" i="2" s="1"/>
  <c r="B177" i="2" s="1"/>
  <c r="B178" i="2" s="1"/>
  <c r="B179" i="2" s="1"/>
  <c r="B180" i="2" s="1"/>
  <c r="B181" i="2" s="1"/>
  <c r="B182" i="2" s="1"/>
  <c r="B183" i="2" s="1"/>
  <c r="B184" i="2" s="1"/>
  <c r="B185" i="2" s="1"/>
  <c r="B186" i="2" s="1"/>
  <c r="B187" i="2" s="1"/>
  <c r="B188" i="2" s="1"/>
  <c r="B189" i="2" s="1"/>
  <c r="B190" i="2" s="1"/>
  <c r="B191" i="2" s="1"/>
  <c r="B192" i="2" s="1"/>
  <c r="B193" i="2" s="1"/>
  <c r="B194" i="2" s="1"/>
  <c r="B195" i="2" s="1"/>
  <c r="B196" i="2" s="1"/>
  <c r="B197" i="2" s="1"/>
  <c r="B198" i="2" s="1"/>
  <c r="B199" i="2" s="1"/>
  <c r="B200" i="2" s="1"/>
  <c r="B201" i="2" s="1"/>
  <c r="B202" i="2" s="1"/>
  <c r="B203" i="2" s="1"/>
  <c r="B204" i="2" s="1"/>
  <c r="B205" i="2" s="1"/>
  <c r="B206" i="2" s="1"/>
  <c r="B207" i="2" s="1"/>
  <c r="B208" i="2" s="1"/>
  <c r="B209" i="2" s="1"/>
  <c r="B210" i="2" s="1"/>
  <c r="B211" i="2" s="1"/>
  <c r="B212" i="2" s="1"/>
  <c r="B213" i="2" s="1"/>
  <c r="B214" i="2" s="1"/>
  <c r="B215" i="2" s="1"/>
  <c r="B216" i="2" s="1"/>
  <c r="B217" i="2" s="1"/>
  <c r="B218" i="2" s="1"/>
  <c r="B219" i="2" s="1"/>
  <c r="B220" i="2" s="1"/>
  <c r="B221" i="2" s="1"/>
  <c r="B222" i="2" s="1"/>
  <c r="B223" i="2" s="1"/>
  <c r="B224" i="2" s="1"/>
  <c r="B225" i="2" s="1"/>
  <c r="B226" i="2" s="1"/>
  <c r="B227" i="2" s="1"/>
  <c r="B228" i="2" s="1"/>
  <c r="B229" i="2" s="1"/>
  <c r="B230" i="2" s="1"/>
  <c r="B231" i="2" s="1"/>
  <c r="B232" i="2" s="1"/>
  <c r="B233" i="2" s="1"/>
  <c r="B234" i="2" s="1"/>
  <c r="B235" i="2" s="1"/>
  <c r="B236" i="2" s="1"/>
  <c r="B237" i="2" s="1"/>
  <c r="B238" i="2" s="1"/>
  <c r="B239" i="2" s="1"/>
  <c r="B240" i="2" s="1"/>
  <c r="B241" i="2" s="1"/>
  <c r="B242" i="2" s="1"/>
  <c r="B243" i="2" s="1"/>
  <c r="B244" i="2" s="1"/>
  <c r="B245" i="2" s="1"/>
  <c r="B246" i="2" s="1"/>
  <c r="B247" i="2" s="1"/>
  <c r="B248" i="2" s="1"/>
  <c r="B249" i="2" s="1"/>
  <c r="B250" i="2" s="1"/>
  <c r="B251" i="2" s="1"/>
  <c r="B252" i="2" s="1"/>
  <c r="B253" i="2" s="1"/>
  <c r="B254" i="2" s="1"/>
  <c r="B255" i="2" s="1"/>
  <c r="B256" i="2" s="1"/>
  <c r="B257" i="2" s="1"/>
  <c r="B258" i="2" s="1"/>
  <c r="B259" i="2" s="1"/>
  <c r="B260" i="2" s="1"/>
  <c r="B261" i="2" s="1"/>
  <c r="B262" i="2" s="1"/>
  <c r="B263" i="2" s="1"/>
  <c r="B264" i="2" s="1"/>
  <c r="B265" i="2" s="1"/>
  <c r="B266" i="2" s="1"/>
  <c r="B267" i="2" s="1"/>
  <c r="B268" i="2" s="1"/>
  <c r="B269" i="2" s="1"/>
  <c r="B270" i="2" s="1"/>
  <c r="B271" i="2" s="1"/>
  <c r="B272" i="2" s="1"/>
  <c r="B273" i="2" s="1"/>
  <c r="B274" i="2" s="1"/>
  <c r="B275" i="2" s="1"/>
  <c r="B276" i="2" s="1"/>
  <c r="B277" i="2" s="1"/>
  <c r="B278" i="2" s="1"/>
  <c r="B279" i="2" s="1"/>
  <c r="B280" i="2" s="1"/>
  <c r="B281" i="2" s="1"/>
  <c r="B282" i="2" s="1"/>
  <c r="B283" i="2" s="1"/>
  <c r="B284" i="2" s="1"/>
  <c r="B285" i="2" s="1"/>
  <c r="B286" i="2" s="1"/>
  <c r="B287" i="2" s="1"/>
  <c r="B288" i="2" s="1"/>
  <c r="B289" i="2" s="1"/>
  <c r="B290" i="2" s="1"/>
  <c r="B291" i="2" s="1"/>
  <c r="B292" i="2" s="1"/>
  <c r="B293" i="2" s="1"/>
  <c r="B294" i="2" s="1"/>
  <c r="B295" i="2" s="1"/>
  <c r="B296" i="2" s="1"/>
  <c r="B297" i="2" s="1"/>
  <c r="B298" i="2" s="1"/>
  <c r="B299" i="2" s="1"/>
  <c r="B300" i="2" s="1"/>
  <c r="B301" i="2" s="1"/>
  <c r="B302" i="2" s="1"/>
  <c r="B303" i="2" s="1"/>
  <c r="B304" i="2" s="1"/>
  <c r="B305" i="2" s="1"/>
  <c r="B306" i="2" s="1"/>
  <c r="B307" i="2" s="1"/>
  <c r="B308" i="2" s="1"/>
  <c r="B309" i="2" s="1"/>
  <c r="B310" i="2" s="1"/>
  <c r="B311" i="2" s="1"/>
  <c r="B312" i="2" s="1"/>
  <c r="B313" i="2" s="1"/>
  <c r="B314" i="2" s="1"/>
  <c r="B315" i="2" s="1"/>
  <c r="B316" i="2" s="1"/>
  <c r="B317" i="2" s="1"/>
  <c r="B318" i="2" s="1"/>
  <c r="B319" i="2" s="1"/>
  <c r="B320" i="2" s="1"/>
  <c r="B321" i="2" s="1"/>
  <c r="B322" i="2" s="1"/>
  <c r="B323" i="2" s="1"/>
  <c r="B324" i="2" s="1"/>
  <c r="B325" i="2" s="1"/>
  <c r="B326" i="2" s="1"/>
  <c r="B327" i="2" s="1"/>
  <c r="B328" i="2" s="1"/>
  <c r="B329" i="2" s="1"/>
  <c r="B330" i="2" s="1"/>
  <c r="B331" i="2" s="1"/>
  <c r="B332" i="2" s="1"/>
  <c r="B333" i="2" s="1"/>
  <c r="B334" i="2" s="1"/>
  <c r="B335" i="2" s="1"/>
  <c r="B336" i="2" s="1"/>
  <c r="B337" i="2" s="1"/>
  <c r="B338" i="2" s="1"/>
  <c r="B339" i="2" s="1"/>
  <c r="B340" i="2" s="1"/>
  <c r="B341" i="2" s="1"/>
  <c r="B342" i="2" s="1"/>
  <c r="B343" i="2" s="1"/>
  <c r="B344" i="2" s="1"/>
  <c r="B345" i="2" s="1"/>
  <c r="B346" i="2" s="1"/>
  <c r="B347" i="2" s="1"/>
  <c r="B348" i="2" s="1"/>
  <c r="B349" i="2" s="1"/>
  <c r="B350" i="2" s="1"/>
  <c r="B351" i="2" s="1"/>
  <c r="B352" i="2" s="1"/>
  <c r="B353" i="2" s="1"/>
  <c r="B354" i="2" s="1"/>
  <c r="B355" i="2" s="1"/>
  <c r="B356" i="2" s="1"/>
  <c r="B357" i="2" s="1"/>
  <c r="B358" i="2" s="1"/>
  <c r="B359" i="2" s="1"/>
  <c r="B360" i="2" s="1"/>
  <c r="B361" i="2" s="1"/>
  <c r="B362" i="2" s="1"/>
  <c r="G360" i="6" l="1"/>
  <c r="A360" i="6"/>
  <c r="B360" i="6" s="1"/>
  <c r="C361" i="6"/>
  <c r="H257" i="6"/>
  <c r="I257" i="6" s="1"/>
  <c r="D258" i="6" s="1"/>
  <c r="E258" i="6" s="1"/>
  <c r="F256" i="6"/>
  <c r="G361" i="6" l="1"/>
  <c r="A361" i="6"/>
  <c r="B361" i="6" s="1"/>
  <c r="C362" i="6"/>
  <c r="H258" i="6"/>
  <c r="I258" i="6" s="1"/>
  <c r="D259" i="6" s="1"/>
  <c r="E259" i="6" s="1"/>
  <c r="F257" i="6"/>
  <c r="I3" i="2"/>
  <c r="D4" i="2" s="1"/>
  <c r="G362" i="6" l="1"/>
  <c r="A362" i="6"/>
  <c r="B362" i="6" s="1"/>
  <c r="H259" i="6"/>
  <c r="I259" i="6" s="1"/>
  <c r="D260" i="6" s="1"/>
  <c r="E260" i="6" s="1"/>
  <c r="F258" i="6"/>
  <c r="G4" i="2"/>
  <c r="E4" i="2" s="1"/>
  <c r="H260" i="6" l="1"/>
  <c r="I260" i="6" s="1"/>
  <c r="D261" i="6" s="1"/>
  <c r="E261" i="6" s="1"/>
  <c r="F259" i="6"/>
  <c r="H4" i="2"/>
  <c r="I4" i="2" s="1"/>
  <c r="D5" i="2" s="1"/>
  <c r="F4" i="2"/>
  <c r="H261" i="6" l="1"/>
  <c r="I261" i="6" s="1"/>
  <c r="D262" i="6" s="1"/>
  <c r="E262" i="6" s="1"/>
  <c r="F260" i="6"/>
  <c r="G5" i="2"/>
  <c r="E5" i="2" l="1"/>
  <c r="H5" i="2" s="1"/>
  <c r="I5" i="2" s="1"/>
  <c r="D6" i="2" s="1"/>
  <c r="H262" i="6"/>
  <c r="I262" i="6" s="1"/>
  <c r="D263" i="6" s="1"/>
  <c r="E263" i="6" s="1"/>
  <c r="F261" i="6"/>
  <c r="F5" i="2" l="1"/>
  <c r="H263" i="6"/>
  <c r="I263" i="6" s="1"/>
  <c r="D264" i="6" s="1"/>
  <c r="E264" i="6" s="1"/>
  <c r="F262" i="6"/>
  <c r="G6" i="2"/>
  <c r="E6" i="2" s="1"/>
  <c r="F6" i="2" l="1"/>
  <c r="H264" i="6"/>
  <c r="I264" i="6" s="1"/>
  <c r="D265" i="6" s="1"/>
  <c r="E265" i="6" s="1"/>
  <c r="F263" i="6"/>
  <c r="H6" i="2" l="1"/>
  <c r="I6" i="2" s="1"/>
  <c r="D7" i="2" s="1"/>
  <c r="H265" i="6"/>
  <c r="I265" i="6" s="1"/>
  <c r="D266" i="6" s="1"/>
  <c r="E266" i="6" s="1"/>
  <c r="F264" i="6"/>
  <c r="G7" i="2" l="1"/>
  <c r="E7" i="2" s="1"/>
  <c r="F7" i="2" s="1"/>
  <c r="H266" i="6"/>
  <c r="I266" i="6" s="1"/>
  <c r="D267" i="6" s="1"/>
  <c r="E267" i="6" s="1"/>
  <c r="F265" i="6"/>
  <c r="H7" i="2" l="1"/>
  <c r="I7" i="2" s="1"/>
  <c r="D8" i="2" s="1"/>
  <c r="H267" i="6"/>
  <c r="I267" i="6" s="1"/>
  <c r="D268" i="6" s="1"/>
  <c r="E268" i="6" s="1"/>
  <c r="F266" i="6"/>
  <c r="G8" i="2" l="1"/>
  <c r="E8" i="2"/>
  <c r="H268" i="6"/>
  <c r="I268" i="6" s="1"/>
  <c r="D269" i="6" s="1"/>
  <c r="E269" i="6" s="1"/>
  <c r="F267" i="6"/>
  <c r="H8" i="2" l="1"/>
  <c r="I8" i="2" s="1"/>
  <c r="D9" i="2" s="1"/>
  <c r="G9" i="2"/>
  <c r="E9" i="2" s="1"/>
  <c r="H9" i="2" s="1"/>
  <c r="I9" i="2" s="1"/>
  <c r="D10" i="2" s="1"/>
  <c r="F8" i="2"/>
  <c r="H269" i="6"/>
  <c r="I269" i="6" s="1"/>
  <c r="D270" i="6" s="1"/>
  <c r="E270" i="6" s="1"/>
  <c r="F268" i="6"/>
  <c r="F9" i="2" l="1"/>
  <c r="G10" i="2"/>
  <c r="E10" i="2"/>
  <c r="H270" i="6"/>
  <c r="I270" i="6" s="1"/>
  <c r="D271" i="6" s="1"/>
  <c r="E271" i="6" s="1"/>
  <c r="F269" i="6"/>
  <c r="H10" i="2" l="1"/>
  <c r="I10" i="2" s="1"/>
  <c r="D11" i="2" s="1"/>
  <c r="F10" i="2"/>
  <c r="G11" i="2"/>
  <c r="E11" i="2"/>
  <c r="F11" i="2" s="1"/>
  <c r="H271" i="6"/>
  <c r="I271" i="6" s="1"/>
  <c r="D272" i="6" s="1"/>
  <c r="E272" i="6" s="1"/>
  <c r="F270" i="6"/>
  <c r="H11" i="2" l="1"/>
  <c r="I11" i="2" s="1"/>
  <c r="D12" i="2" s="1"/>
  <c r="H272" i="6"/>
  <c r="I272" i="6" s="1"/>
  <c r="D273" i="6" s="1"/>
  <c r="E273" i="6" s="1"/>
  <c r="F271" i="6"/>
  <c r="G12" i="2" l="1"/>
  <c r="E12" i="2" s="1"/>
  <c r="H12" i="2" s="1"/>
  <c r="I12" i="2" s="1"/>
  <c r="D13" i="2" s="1"/>
  <c r="H273" i="6"/>
  <c r="I273" i="6" s="1"/>
  <c r="D274" i="6" s="1"/>
  <c r="E274" i="6" s="1"/>
  <c r="F273" i="6"/>
  <c r="F272" i="6"/>
  <c r="G13" i="2" l="1"/>
  <c r="E13" i="2" s="1"/>
  <c r="F13" i="2" s="1"/>
  <c r="F12" i="2"/>
  <c r="H274" i="6"/>
  <c r="I274" i="6" s="1"/>
  <c r="D275" i="6" s="1"/>
  <c r="E275" i="6" s="1"/>
  <c r="H13" i="2" l="1"/>
  <c r="I13" i="2" s="1"/>
  <c r="D14" i="2" s="1"/>
  <c r="G14" i="2" s="1"/>
  <c r="H275" i="6"/>
  <c r="I275" i="6" s="1"/>
  <c r="D276" i="6" s="1"/>
  <c r="E276" i="6" s="1"/>
  <c r="F274" i="6"/>
  <c r="E14" i="2" l="1"/>
  <c r="F14" i="2" s="1"/>
  <c r="H276" i="6"/>
  <c r="I276" i="6" s="1"/>
  <c r="D277" i="6" s="1"/>
  <c r="E277" i="6" s="1"/>
  <c r="F275" i="6"/>
  <c r="C27" i="3" l="1"/>
  <c r="C30" i="3" s="1"/>
  <c r="D54" i="9" s="1"/>
  <c r="H14" i="2"/>
  <c r="D21" i="4" s="1"/>
  <c r="D24" i="4" s="1"/>
  <c r="H277" i="6"/>
  <c r="I277" i="6" s="1"/>
  <c r="D278" i="6" s="1"/>
  <c r="E278" i="6" s="1"/>
  <c r="F277" i="6"/>
  <c r="F276" i="6"/>
  <c r="I14" i="2" l="1"/>
  <c r="D15" i="2" s="1"/>
  <c r="H278" i="6"/>
  <c r="I278" i="6" s="1"/>
  <c r="D279" i="6" s="1"/>
  <c r="E279" i="6" s="1"/>
  <c r="G15" i="2" l="1"/>
  <c r="E15" i="2" s="1"/>
  <c r="H279" i="6"/>
  <c r="I279" i="6" s="1"/>
  <c r="D280" i="6" s="1"/>
  <c r="E280" i="6" s="1"/>
  <c r="F278" i="6"/>
  <c r="H15" i="2" l="1"/>
  <c r="I15" i="2" s="1"/>
  <c r="D16" i="2" s="1"/>
  <c r="F15" i="2"/>
  <c r="G16" i="2"/>
  <c r="H280" i="6"/>
  <c r="I280" i="6" s="1"/>
  <c r="D281" i="6" s="1"/>
  <c r="E281" i="6" s="1"/>
  <c r="F279" i="6"/>
  <c r="E16" i="2" l="1"/>
  <c r="F16" i="2"/>
  <c r="H16" i="2"/>
  <c r="I16" i="2" s="1"/>
  <c r="D17" i="2" s="1"/>
  <c r="H281" i="6"/>
  <c r="I281" i="6" s="1"/>
  <c r="D282" i="6" s="1"/>
  <c r="E282" i="6" s="1"/>
  <c r="F280" i="6"/>
  <c r="G17" i="2" l="1"/>
  <c r="E17" i="2" s="1"/>
  <c r="H282" i="6"/>
  <c r="I282" i="6" s="1"/>
  <c r="D283" i="6" s="1"/>
  <c r="E283" i="6" s="1"/>
  <c r="F281" i="6"/>
  <c r="H17" i="2" l="1"/>
  <c r="I17" i="2" s="1"/>
  <c r="D18" i="2" s="1"/>
  <c r="F17" i="2"/>
  <c r="H283" i="6"/>
  <c r="I283" i="6" s="1"/>
  <c r="D284" i="6" s="1"/>
  <c r="E284" i="6" s="1"/>
  <c r="F283" i="6"/>
  <c r="F282" i="6"/>
  <c r="G18" i="2" l="1"/>
  <c r="E18" i="2" s="1"/>
  <c r="H284" i="6"/>
  <c r="I284" i="6" s="1"/>
  <c r="D285" i="6" s="1"/>
  <c r="E285" i="6" s="1"/>
  <c r="H18" i="2" l="1"/>
  <c r="I18" i="2" s="1"/>
  <c r="D19" i="2" s="1"/>
  <c r="F18" i="2"/>
  <c r="H285" i="6"/>
  <c r="I285" i="6" s="1"/>
  <c r="D286" i="6" s="1"/>
  <c r="E286" i="6" s="1"/>
  <c r="F284" i="6"/>
  <c r="G19" i="2" l="1"/>
  <c r="E19" i="2" s="1"/>
  <c r="H286" i="6"/>
  <c r="I286" i="6" s="1"/>
  <c r="D287" i="6" s="1"/>
  <c r="E287" i="6" s="1"/>
  <c r="F286" i="6"/>
  <c r="F285" i="6"/>
  <c r="F19" i="2" l="1"/>
  <c r="H19" i="2"/>
  <c r="I19" i="2" s="1"/>
  <c r="D20" i="2" s="1"/>
  <c r="H287" i="6"/>
  <c r="I287" i="6" s="1"/>
  <c r="D288" i="6" s="1"/>
  <c r="E288" i="6" s="1"/>
  <c r="G20" i="2" l="1"/>
  <c r="E20" i="2" s="1"/>
  <c r="H288" i="6"/>
  <c r="I288" i="6" s="1"/>
  <c r="D289" i="6" s="1"/>
  <c r="E289" i="6" s="1"/>
  <c r="F287" i="6"/>
  <c r="H20" i="2" l="1"/>
  <c r="I20" i="2" s="1"/>
  <c r="D21" i="2" s="1"/>
  <c r="F20" i="2"/>
  <c r="H289" i="6"/>
  <c r="I289" i="6" s="1"/>
  <c r="D290" i="6" s="1"/>
  <c r="E290" i="6" s="1"/>
  <c r="F288" i="6"/>
  <c r="G21" i="2" l="1"/>
  <c r="E21" i="2" s="1"/>
  <c r="F289" i="6"/>
  <c r="H290" i="6"/>
  <c r="I290" i="6" s="1"/>
  <c r="D291" i="6" s="1"/>
  <c r="E291" i="6" s="1"/>
  <c r="F21" i="2" l="1"/>
  <c r="H21" i="2"/>
  <c r="I21" i="2" s="1"/>
  <c r="D22" i="2" s="1"/>
  <c r="H291" i="6"/>
  <c r="I291" i="6" s="1"/>
  <c r="D292" i="6" s="1"/>
  <c r="E292" i="6" s="1"/>
  <c r="F290" i="6"/>
  <c r="G22" i="2" l="1"/>
  <c r="E22" i="2" s="1"/>
  <c r="H292" i="6"/>
  <c r="I292" i="6" s="1"/>
  <c r="D293" i="6" s="1"/>
  <c r="E293" i="6" s="1"/>
  <c r="F291" i="6"/>
  <c r="H22" i="2" l="1"/>
  <c r="I22" i="2" s="1"/>
  <c r="D23" i="2" s="1"/>
  <c r="F22" i="2"/>
  <c r="H293" i="6"/>
  <c r="I293" i="6" s="1"/>
  <c r="D294" i="6" s="1"/>
  <c r="E294" i="6" s="1"/>
  <c r="F292" i="6"/>
  <c r="G23" i="2" l="1"/>
  <c r="E23" i="2" s="1"/>
  <c r="H294" i="6"/>
  <c r="I294" i="6" s="1"/>
  <c r="D295" i="6" s="1"/>
  <c r="E295" i="6" s="1"/>
  <c r="F293" i="6"/>
  <c r="F23" i="2" l="1"/>
  <c r="H23" i="2"/>
  <c r="I23" i="2" s="1"/>
  <c r="D24" i="2" s="1"/>
  <c r="G24" i="2"/>
  <c r="H295" i="6"/>
  <c r="I295" i="6" s="1"/>
  <c r="D296" i="6" s="1"/>
  <c r="E296" i="6" s="1"/>
  <c r="F294" i="6"/>
  <c r="E24" i="2" l="1"/>
  <c r="F24" i="2" s="1"/>
  <c r="H24" i="2"/>
  <c r="I24" i="2" s="1"/>
  <c r="D25" i="2" s="1"/>
  <c r="H296" i="6"/>
  <c r="I296" i="6" s="1"/>
  <c r="D297" i="6" s="1"/>
  <c r="E297" i="6" s="1"/>
  <c r="F295" i="6"/>
  <c r="G25" i="2" l="1"/>
  <c r="E25" i="2" s="1"/>
  <c r="H297" i="6"/>
  <c r="I297" i="6" s="1"/>
  <c r="D298" i="6" s="1"/>
  <c r="E298" i="6" s="1"/>
  <c r="F296" i="6"/>
  <c r="F25" i="2" l="1"/>
  <c r="H25" i="2"/>
  <c r="I25" i="2" s="1"/>
  <c r="D26" i="2" s="1"/>
  <c r="H298" i="6"/>
  <c r="I298" i="6" s="1"/>
  <c r="D299" i="6" s="1"/>
  <c r="E299" i="6" s="1"/>
  <c r="F297" i="6"/>
  <c r="G26" i="2" l="1"/>
  <c r="E26" i="2" s="1"/>
  <c r="H299" i="6"/>
  <c r="I299" i="6" s="1"/>
  <c r="D300" i="6" s="1"/>
  <c r="E300" i="6" s="1"/>
  <c r="F298" i="6"/>
  <c r="F26" i="2" l="1"/>
  <c r="D27" i="3"/>
  <c r="D30" i="3" s="1"/>
  <c r="E54" i="9" s="1"/>
  <c r="H26" i="2"/>
  <c r="I26" i="2" s="1"/>
  <c r="D27" i="2" s="1"/>
  <c r="H300" i="6"/>
  <c r="I300" i="6" s="1"/>
  <c r="D301" i="6" s="1"/>
  <c r="E301" i="6" s="1"/>
  <c r="F299" i="6"/>
  <c r="G27" i="2" l="1"/>
  <c r="H301" i="6"/>
  <c r="I301" i="6" s="1"/>
  <c r="D302" i="6" s="1"/>
  <c r="E302" i="6" s="1"/>
  <c r="F300" i="6"/>
  <c r="E27" i="2" l="1"/>
  <c r="F27" i="2" s="1"/>
  <c r="H302" i="6"/>
  <c r="I302" i="6" s="1"/>
  <c r="D303" i="6" s="1"/>
  <c r="E303" i="6" s="1"/>
  <c r="F302" i="6"/>
  <c r="F301" i="6"/>
  <c r="H27" i="2" l="1"/>
  <c r="I27" i="2" s="1"/>
  <c r="D28" i="2" s="1"/>
  <c r="G28" i="2"/>
  <c r="E28" i="2" s="1"/>
  <c r="H303" i="6"/>
  <c r="I303" i="6" s="1"/>
  <c r="D304" i="6" s="1"/>
  <c r="E304" i="6" s="1"/>
  <c r="F28" i="2" l="1"/>
  <c r="H304" i="6"/>
  <c r="I304" i="6" s="1"/>
  <c r="D305" i="6" s="1"/>
  <c r="E305" i="6" s="1"/>
  <c r="F303" i="6"/>
  <c r="H28" i="2" l="1"/>
  <c r="I28" i="2" s="1"/>
  <c r="D29" i="2" s="1"/>
  <c r="H305" i="6"/>
  <c r="I305" i="6" s="1"/>
  <c r="D306" i="6" s="1"/>
  <c r="E306" i="6" s="1"/>
  <c r="F304" i="6"/>
  <c r="G29" i="2" l="1"/>
  <c r="F305" i="6"/>
  <c r="H306" i="6"/>
  <c r="I306" i="6" s="1"/>
  <c r="D307" i="6" s="1"/>
  <c r="E307" i="6" s="1"/>
  <c r="E29" i="2" l="1"/>
  <c r="F29" i="2" s="1"/>
  <c r="H307" i="6"/>
  <c r="I307" i="6" s="1"/>
  <c r="D308" i="6" s="1"/>
  <c r="E308" i="6" s="1"/>
  <c r="F306" i="6"/>
  <c r="H29" i="2" l="1"/>
  <c r="I29" i="2" s="1"/>
  <c r="D30" i="2" s="1"/>
  <c r="G30" i="2" s="1"/>
  <c r="H308" i="6"/>
  <c r="I308" i="6" s="1"/>
  <c r="D309" i="6" s="1"/>
  <c r="E309" i="6" s="1"/>
  <c r="F307" i="6"/>
  <c r="E30" i="2" l="1"/>
  <c r="F30" i="2" s="1"/>
  <c r="H309" i="6"/>
  <c r="I309" i="6" s="1"/>
  <c r="D310" i="6" s="1"/>
  <c r="E310" i="6" s="1"/>
  <c r="F308" i="6"/>
  <c r="H30" i="2" l="1"/>
  <c r="I30" i="2" s="1"/>
  <c r="D31" i="2" s="1"/>
  <c r="G31" i="2" s="1"/>
  <c r="H310" i="6"/>
  <c r="I310" i="6" s="1"/>
  <c r="D311" i="6" s="1"/>
  <c r="E311" i="6" s="1"/>
  <c r="F309" i="6"/>
  <c r="E31" i="2" l="1"/>
  <c r="H31" i="2" s="1"/>
  <c r="I31" i="2" s="1"/>
  <c r="D32" i="2" s="1"/>
  <c r="F31" i="2"/>
  <c r="G32" i="2"/>
  <c r="H311" i="6"/>
  <c r="I311" i="6" s="1"/>
  <c r="D312" i="6" s="1"/>
  <c r="E312" i="6" s="1"/>
  <c r="F311" i="6"/>
  <c r="F310" i="6"/>
  <c r="E32" i="2" l="1"/>
  <c r="F32" i="2" s="1"/>
  <c r="H312" i="6"/>
  <c r="I312" i="6" s="1"/>
  <c r="D313" i="6" s="1"/>
  <c r="E313" i="6" s="1"/>
  <c r="H32" i="2" l="1"/>
  <c r="I32" i="2" s="1"/>
  <c r="D33" i="2" s="1"/>
  <c r="G33" i="2"/>
  <c r="H313" i="6"/>
  <c r="I313" i="6" s="1"/>
  <c r="D314" i="6" s="1"/>
  <c r="E314" i="6" s="1"/>
  <c r="F312" i="6"/>
  <c r="E33" i="2" l="1"/>
  <c r="F33" i="2"/>
  <c r="H33" i="2"/>
  <c r="I33" i="2" s="1"/>
  <c r="D34" i="2" s="1"/>
  <c r="H314" i="6"/>
  <c r="I314" i="6" s="1"/>
  <c r="D315" i="6" s="1"/>
  <c r="E315" i="6" s="1"/>
  <c r="F313" i="6"/>
  <c r="G34" i="2" l="1"/>
  <c r="E34" i="2" s="1"/>
  <c r="H315" i="6"/>
  <c r="I315" i="6" s="1"/>
  <c r="D316" i="6" s="1"/>
  <c r="E316" i="6" s="1"/>
  <c r="F314" i="6"/>
  <c r="F34" i="2" l="1"/>
  <c r="H34" i="2"/>
  <c r="I34" i="2" s="1"/>
  <c r="D35" i="2" s="1"/>
  <c r="H316" i="6"/>
  <c r="I316" i="6" s="1"/>
  <c r="D317" i="6" s="1"/>
  <c r="E317" i="6" s="1"/>
  <c r="F315" i="6"/>
  <c r="G35" i="2" l="1"/>
  <c r="E35" i="2" s="1"/>
  <c r="F35" i="2" s="1"/>
  <c r="H317" i="6"/>
  <c r="I317" i="6" s="1"/>
  <c r="D318" i="6" s="1"/>
  <c r="E318" i="6" s="1"/>
  <c r="F316" i="6"/>
  <c r="H35" i="2" l="1"/>
  <c r="I35" i="2" s="1"/>
  <c r="D36" i="2" s="1"/>
  <c r="H318" i="6"/>
  <c r="I318" i="6" s="1"/>
  <c r="D319" i="6" s="1"/>
  <c r="E319" i="6" s="1"/>
  <c r="F318" i="6"/>
  <c r="F317" i="6"/>
  <c r="G36" i="2" l="1"/>
  <c r="E36" i="2" s="1"/>
  <c r="H319" i="6"/>
  <c r="I319" i="6" s="1"/>
  <c r="D320" i="6" s="1"/>
  <c r="E320" i="6" s="1"/>
  <c r="F36" i="2" l="1"/>
  <c r="H36" i="2"/>
  <c r="I36" i="2" s="1"/>
  <c r="D37" i="2" s="1"/>
  <c r="H320" i="6"/>
  <c r="I320" i="6" s="1"/>
  <c r="D321" i="6" s="1"/>
  <c r="E321" i="6" s="1"/>
  <c r="F319" i="6"/>
  <c r="G37" i="2" l="1"/>
  <c r="E37" i="2" s="1"/>
  <c r="F37" i="2" s="1"/>
  <c r="H321" i="6"/>
  <c r="I321" i="6" s="1"/>
  <c r="D322" i="6" s="1"/>
  <c r="E322" i="6" s="1"/>
  <c r="F320" i="6"/>
  <c r="H37" i="2" l="1"/>
  <c r="I37" i="2" s="1"/>
  <c r="D38" i="2" s="1"/>
  <c r="H322" i="6"/>
  <c r="I322" i="6" s="1"/>
  <c r="D323" i="6" s="1"/>
  <c r="E323" i="6" s="1"/>
  <c r="F321" i="6"/>
  <c r="G38" i="2" l="1"/>
  <c r="E38" i="2" s="1"/>
  <c r="F38" i="2" s="1"/>
  <c r="H323" i="6"/>
  <c r="I323" i="6" s="1"/>
  <c r="D324" i="6" s="1"/>
  <c r="E324" i="6" s="1"/>
  <c r="F322" i="6"/>
  <c r="H38" i="2" l="1"/>
  <c r="I38" i="2" s="1"/>
  <c r="D39" i="2" s="1"/>
  <c r="E27" i="3"/>
  <c r="E30" i="3" s="1"/>
  <c r="F54" i="9" s="1"/>
  <c r="H324" i="6"/>
  <c r="I324" i="6" s="1"/>
  <c r="D325" i="6" s="1"/>
  <c r="E325" i="6" s="1"/>
  <c r="F323" i="6"/>
  <c r="G39" i="2" l="1"/>
  <c r="E39" i="2" s="1"/>
  <c r="F39" i="2" s="1"/>
  <c r="H325" i="6"/>
  <c r="I325" i="6" s="1"/>
  <c r="D326" i="6" s="1"/>
  <c r="E326" i="6" s="1"/>
  <c r="F324" i="6"/>
  <c r="H39" i="2" l="1"/>
  <c r="I39" i="2" s="1"/>
  <c r="D40" i="2" s="1"/>
  <c r="H326" i="6"/>
  <c r="I326" i="6" s="1"/>
  <c r="D327" i="6" s="1"/>
  <c r="E327" i="6" s="1"/>
  <c r="F326" i="6"/>
  <c r="F325" i="6"/>
  <c r="G40" i="2" l="1"/>
  <c r="E40" i="2" s="1"/>
  <c r="H327" i="6"/>
  <c r="I327" i="6" s="1"/>
  <c r="D328" i="6" s="1"/>
  <c r="E328" i="6" s="1"/>
  <c r="F327" i="6"/>
  <c r="F40" i="2" l="1"/>
  <c r="H40" i="2"/>
  <c r="I40" i="2" s="1"/>
  <c r="D41" i="2" s="1"/>
  <c r="H328" i="6"/>
  <c r="I328" i="6" s="1"/>
  <c r="D329" i="6" s="1"/>
  <c r="E329" i="6" s="1"/>
  <c r="G41" i="2" l="1"/>
  <c r="E41" i="2" s="1"/>
  <c r="H329" i="6"/>
  <c r="I329" i="6" s="1"/>
  <c r="D330" i="6" s="1"/>
  <c r="E330" i="6" s="1"/>
  <c r="F328" i="6"/>
  <c r="H41" i="2" l="1"/>
  <c r="I41" i="2" s="1"/>
  <c r="D42" i="2" s="1"/>
  <c r="F41" i="2"/>
  <c r="H330" i="6"/>
  <c r="I330" i="6" s="1"/>
  <c r="D331" i="6" s="1"/>
  <c r="E331" i="6" s="1"/>
  <c r="F329" i="6"/>
  <c r="G42" i="2" l="1"/>
  <c r="E42" i="2" s="1"/>
  <c r="F42" i="2" s="1"/>
  <c r="H331" i="6"/>
  <c r="I331" i="6" s="1"/>
  <c r="D332" i="6" s="1"/>
  <c r="E332" i="6" s="1"/>
  <c r="F330" i="6"/>
  <c r="H42" i="2" l="1"/>
  <c r="I42" i="2" s="1"/>
  <c r="D43" i="2" s="1"/>
  <c r="H332" i="6"/>
  <c r="I332" i="6" s="1"/>
  <c r="D333" i="6" s="1"/>
  <c r="E333" i="6" s="1"/>
  <c r="F331" i="6"/>
  <c r="G43" i="2" l="1"/>
  <c r="E43" i="2" s="1"/>
  <c r="H333" i="6"/>
  <c r="I333" i="6" s="1"/>
  <c r="D334" i="6" s="1"/>
  <c r="E334" i="6" s="1"/>
  <c r="F332" i="6"/>
  <c r="H43" i="2" l="1"/>
  <c r="I43" i="2" s="1"/>
  <c r="D44" i="2" s="1"/>
  <c r="F43" i="2"/>
  <c r="H334" i="6"/>
  <c r="I334" i="6" s="1"/>
  <c r="D335" i="6" s="1"/>
  <c r="E335" i="6" s="1"/>
  <c r="F333" i="6"/>
  <c r="G44" i="2" l="1"/>
  <c r="E44" i="2" s="1"/>
  <c r="F334" i="6"/>
  <c r="H335" i="6"/>
  <c r="I335" i="6" s="1"/>
  <c r="D336" i="6" s="1"/>
  <c r="E336" i="6" s="1"/>
  <c r="F335" i="6"/>
  <c r="H44" i="2" l="1"/>
  <c r="I44" i="2" s="1"/>
  <c r="D45" i="2" s="1"/>
  <c r="F44" i="2"/>
  <c r="H336" i="6"/>
  <c r="I336" i="6" s="1"/>
  <c r="D337" i="6" s="1"/>
  <c r="E337" i="6" s="1"/>
  <c r="F336" i="6"/>
  <c r="G45" i="2" l="1"/>
  <c r="E45" i="2" s="1"/>
  <c r="H337" i="6"/>
  <c r="I337" i="6" s="1"/>
  <c r="D338" i="6" s="1"/>
  <c r="E338" i="6" s="1"/>
  <c r="H45" i="2" l="1"/>
  <c r="I45" i="2" s="1"/>
  <c r="D46" i="2" s="1"/>
  <c r="F45" i="2"/>
  <c r="H338" i="6"/>
  <c r="I338" i="6" s="1"/>
  <c r="D339" i="6" s="1"/>
  <c r="E339" i="6" s="1"/>
  <c r="F337" i="6"/>
  <c r="G46" i="2" l="1"/>
  <c r="E46" i="2" s="1"/>
  <c r="H339" i="6"/>
  <c r="I339" i="6" s="1"/>
  <c r="D340" i="6" s="1"/>
  <c r="E340" i="6" s="1"/>
  <c r="F338" i="6"/>
  <c r="F46" i="2" l="1"/>
  <c r="H46" i="2"/>
  <c r="I46" i="2" s="1"/>
  <c r="D47" i="2" s="1"/>
  <c r="H340" i="6"/>
  <c r="I340" i="6" s="1"/>
  <c r="D341" i="6" s="1"/>
  <c r="E341" i="6" s="1"/>
  <c r="F339" i="6"/>
  <c r="G47" i="2" l="1"/>
  <c r="E47" i="2" s="1"/>
  <c r="H341" i="6"/>
  <c r="I341" i="6" s="1"/>
  <c r="D342" i="6" s="1"/>
  <c r="E342" i="6" s="1"/>
  <c r="F340" i="6"/>
  <c r="F47" i="2" l="1"/>
  <c r="H47" i="2"/>
  <c r="I47" i="2" s="1"/>
  <c r="D48" i="2" s="1"/>
  <c r="H342" i="6"/>
  <c r="I342" i="6" s="1"/>
  <c r="D343" i="6" s="1"/>
  <c r="E343" i="6" s="1"/>
  <c r="F341" i="6"/>
  <c r="G48" i="2" l="1"/>
  <c r="E48" i="2"/>
  <c r="H48" i="2" s="1"/>
  <c r="I48" i="2" s="1"/>
  <c r="D49" i="2" s="1"/>
  <c r="H343" i="6"/>
  <c r="I343" i="6" s="1"/>
  <c r="D344" i="6" s="1"/>
  <c r="E344" i="6" s="1"/>
  <c r="F342" i="6"/>
  <c r="F48" i="2" l="1"/>
  <c r="G49" i="2"/>
  <c r="E49" i="2" s="1"/>
  <c r="F343" i="6"/>
  <c r="H344" i="6"/>
  <c r="I344" i="6" s="1"/>
  <c r="D345" i="6" s="1"/>
  <c r="E345" i="6" s="1"/>
  <c r="F49" i="2" l="1"/>
  <c r="H345" i="6"/>
  <c r="I345" i="6" s="1"/>
  <c r="D346" i="6" s="1"/>
  <c r="E346" i="6" s="1"/>
  <c r="F344" i="6"/>
  <c r="H49" i="2" l="1"/>
  <c r="I49" i="2" s="1"/>
  <c r="D50" i="2" s="1"/>
  <c r="H346" i="6"/>
  <c r="I346" i="6" s="1"/>
  <c r="D347" i="6" s="1"/>
  <c r="E347" i="6" s="1"/>
  <c r="F345" i="6"/>
  <c r="G50" i="2" l="1"/>
  <c r="E50" i="2"/>
  <c r="H347" i="6"/>
  <c r="I347" i="6" s="1"/>
  <c r="D348" i="6" s="1"/>
  <c r="E348" i="6" s="1"/>
  <c r="F346" i="6"/>
  <c r="H50" i="2" l="1"/>
  <c r="I50" i="2" s="1"/>
  <c r="D51" i="2" s="1"/>
  <c r="G51" i="2"/>
  <c r="F50" i="2"/>
  <c r="F27" i="3"/>
  <c r="F30" i="3" s="1"/>
  <c r="G54" i="9" s="1"/>
  <c r="F347" i="6"/>
  <c r="H348" i="6"/>
  <c r="I348" i="6" s="1"/>
  <c r="D349" i="6" s="1"/>
  <c r="E349" i="6" s="1"/>
  <c r="E51" i="2" l="1"/>
  <c r="H51" i="2" s="1"/>
  <c r="I51" i="2" s="1"/>
  <c r="D52" i="2" s="1"/>
  <c r="G52" i="2" s="1"/>
  <c r="H349" i="6"/>
  <c r="I349" i="6" s="1"/>
  <c r="D350" i="6" s="1"/>
  <c r="E350" i="6" s="1"/>
  <c r="F348" i="6"/>
  <c r="E52" i="2" l="1"/>
  <c r="F51" i="2"/>
  <c r="F52" i="2"/>
  <c r="H52" i="2"/>
  <c r="I52" i="2" s="1"/>
  <c r="D53" i="2" s="1"/>
  <c r="H350" i="6"/>
  <c r="I350" i="6" s="1"/>
  <c r="D351" i="6" s="1"/>
  <c r="E351" i="6" s="1"/>
  <c r="F350" i="6"/>
  <c r="F349" i="6"/>
  <c r="G53" i="2" l="1"/>
  <c r="H351" i="6"/>
  <c r="I351" i="6" s="1"/>
  <c r="D352" i="6" s="1"/>
  <c r="E352" i="6" s="1"/>
  <c r="E53" i="2" l="1"/>
  <c r="F53" i="2" s="1"/>
  <c r="H352" i="6"/>
  <c r="I352" i="6" s="1"/>
  <c r="D353" i="6" s="1"/>
  <c r="E353" i="6" s="1"/>
  <c r="F352" i="6"/>
  <c r="F351" i="6"/>
  <c r="H53" i="2" l="1"/>
  <c r="I53" i="2" s="1"/>
  <c r="D54" i="2" s="1"/>
  <c r="G54" i="2"/>
  <c r="H353" i="6"/>
  <c r="I353" i="6" s="1"/>
  <c r="D354" i="6" s="1"/>
  <c r="E354" i="6" s="1"/>
  <c r="E54" i="2" l="1"/>
  <c r="F54" i="2" s="1"/>
  <c r="H54" i="2"/>
  <c r="I54" i="2" s="1"/>
  <c r="D55" i="2" s="1"/>
  <c r="F353" i="6"/>
  <c r="H354" i="6"/>
  <c r="I354" i="6" s="1"/>
  <c r="D355" i="6" s="1"/>
  <c r="E355" i="6" s="1"/>
  <c r="G55" i="2" l="1"/>
  <c r="E55" i="2" s="1"/>
  <c r="H355" i="6"/>
  <c r="I355" i="6" s="1"/>
  <c r="D356" i="6" s="1"/>
  <c r="E356" i="6" s="1"/>
  <c r="F354" i="6"/>
  <c r="F55" i="2" l="1"/>
  <c r="H55" i="2"/>
  <c r="I55" i="2" s="1"/>
  <c r="D56" i="2" s="1"/>
  <c r="H356" i="6"/>
  <c r="I356" i="6" s="1"/>
  <c r="D357" i="6" s="1"/>
  <c r="E357" i="6" s="1"/>
  <c r="F355" i="6"/>
  <c r="G56" i="2" l="1"/>
  <c r="E56" i="2" s="1"/>
  <c r="H357" i="6"/>
  <c r="I357" i="6" s="1"/>
  <c r="D358" i="6" s="1"/>
  <c r="E358" i="6" s="1"/>
  <c r="F356" i="6"/>
  <c r="F56" i="2" l="1"/>
  <c r="H56" i="2"/>
  <c r="I56" i="2" s="1"/>
  <c r="D57" i="2" s="1"/>
  <c r="H358" i="6"/>
  <c r="I358" i="6" s="1"/>
  <c r="D359" i="6" s="1"/>
  <c r="E359" i="6" s="1"/>
  <c r="F357" i="6"/>
  <c r="G57" i="2" l="1"/>
  <c r="E57" i="2" s="1"/>
  <c r="H359" i="6"/>
  <c r="I359" i="6" s="1"/>
  <c r="D360" i="6" s="1"/>
  <c r="E360" i="6" s="1"/>
  <c r="F358" i="6"/>
  <c r="F57" i="2" l="1"/>
  <c r="H57" i="2"/>
  <c r="I57" i="2" s="1"/>
  <c r="D58" i="2" s="1"/>
  <c r="F359" i="6"/>
  <c r="H360" i="6"/>
  <c r="I360" i="6" s="1"/>
  <c r="D361" i="6" s="1"/>
  <c r="E361" i="6" s="1"/>
  <c r="G58" i="2" l="1"/>
  <c r="E58" i="2" s="1"/>
  <c r="H361" i="6"/>
  <c r="I361" i="6" s="1"/>
  <c r="D362" i="6" s="1"/>
  <c r="E362" i="6" s="1"/>
  <c r="F360" i="6"/>
  <c r="F58" i="2" l="1"/>
  <c r="H58" i="2"/>
  <c r="I58" i="2" s="1"/>
  <c r="D59" i="2" s="1"/>
  <c r="H362" i="6"/>
  <c r="I362" i="6" s="1"/>
  <c r="F361" i="6"/>
  <c r="G59" i="2" l="1"/>
  <c r="E59" i="2" s="1"/>
  <c r="H59" i="2" s="1"/>
  <c r="I59" i="2" s="1"/>
  <c r="D60" i="2" s="1"/>
  <c r="F362" i="6"/>
  <c r="F59" i="2" l="1"/>
  <c r="G60" i="2"/>
  <c r="E60" i="2" s="1"/>
  <c r="H60" i="2" l="1"/>
  <c r="I60" i="2" s="1"/>
  <c r="D61" i="2" s="1"/>
  <c r="F60" i="2"/>
  <c r="G61" i="2" l="1"/>
  <c r="E61" i="2" s="1"/>
  <c r="F61" i="2" s="1"/>
  <c r="H61" i="2" l="1"/>
  <c r="I61" i="2" s="1"/>
  <c r="D62" i="2" s="1"/>
  <c r="G62" i="2" l="1"/>
  <c r="E62" i="2"/>
  <c r="H62" i="2" s="1"/>
  <c r="I62" i="2" s="1"/>
  <c r="D63" i="2" s="1"/>
  <c r="G27" i="3"/>
  <c r="G30" i="3" s="1"/>
  <c r="H54" i="9" s="1"/>
  <c r="F62" i="2" l="1"/>
  <c r="I27" i="3" s="1"/>
  <c r="G63" i="2"/>
  <c r="E63" i="2" s="1"/>
  <c r="F63" i="2" l="1"/>
  <c r="H63" i="2"/>
  <c r="I63" i="2" s="1"/>
  <c r="D64" i="2" s="1"/>
  <c r="G64" i="2" l="1"/>
  <c r="E64" i="2" s="1"/>
  <c r="F64" i="2" l="1"/>
  <c r="H64" i="2"/>
  <c r="I64" i="2" s="1"/>
  <c r="D65" i="2" s="1"/>
  <c r="G65" i="2" l="1"/>
  <c r="E65" i="2" l="1"/>
  <c r="H65" i="2" s="1"/>
  <c r="I65" i="2" s="1"/>
  <c r="D66" i="2" s="1"/>
  <c r="G66" i="2" s="1"/>
  <c r="F65" i="2" l="1"/>
  <c r="E66" i="2"/>
  <c r="H66" i="2" s="1"/>
  <c r="I66" i="2" s="1"/>
  <c r="D67" i="2" s="1"/>
  <c r="G67" i="2" s="1"/>
  <c r="F66" i="2"/>
  <c r="E67" i="2" l="1"/>
  <c r="F67" i="2"/>
  <c r="H67" i="2"/>
  <c r="I67" i="2" s="1"/>
  <c r="D68" i="2" s="1"/>
  <c r="G68" i="2" l="1"/>
  <c r="E68" i="2" l="1"/>
  <c r="H68" i="2" s="1"/>
  <c r="I68" i="2" s="1"/>
  <c r="D69" i="2" s="1"/>
  <c r="G69" i="2" s="1"/>
  <c r="E69" i="2" l="1"/>
  <c r="H69" i="2" s="1"/>
  <c r="I69" i="2" s="1"/>
  <c r="D70" i="2" s="1"/>
  <c r="F68" i="2"/>
  <c r="F69" i="2" l="1"/>
  <c r="G70" i="2"/>
  <c r="E70" i="2" l="1"/>
  <c r="F70" i="2" s="1"/>
  <c r="H70" i="2" l="1"/>
  <c r="I70" i="2" s="1"/>
  <c r="D71" i="2" s="1"/>
  <c r="G71" i="2" l="1"/>
  <c r="E71" i="2" s="1"/>
  <c r="F71" i="2" l="1"/>
  <c r="H71" i="2"/>
  <c r="I71" i="2" s="1"/>
  <c r="D72" i="2" s="1"/>
  <c r="G72" i="2" s="1"/>
  <c r="E72" i="2" s="1"/>
  <c r="H72" i="2" s="1"/>
  <c r="I72" i="2" s="1"/>
  <c r="D73" i="2" s="1"/>
  <c r="G73" i="2" s="1"/>
  <c r="E73" i="2" l="1"/>
  <c r="H73" i="2" s="1"/>
  <c r="I73" i="2" s="1"/>
  <c r="D74" i="2" s="1"/>
  <c r="F72" i="2"/>
  <c r="G74" i="2"/>
  <c r="F73" i="2" l="1"/>
  <c r="E74" i="2"/>
  <c r="H74" i="2" s="1"/>
  <c r="I74" i="2" s="1"/>
  <c r="D75" i="2" s="1"/>
  <c r="G75" i="2" s="1"/>
  <c r="F74" i="2" l="1"/>
  <c r="E75" i="2"/>
  <c r="F75" i="2" s="1"/>
  <c r="H75" i="2" l="1"/>
  <c r="I75" i="2" s="1"/>
  <c r="D76" i="2" s="1"/>
  <c r="G76" i="2" s="1"/>
  <c r="E76" i="2" l="1"/>
  <c r="F76" i="2" s="1"/>
  <c r="H76" i="2"/>
  <c r="I76" i="2" s="1"/>
  <c r="D77" i="2" s="1"/>
  <c r="G77" i="2" l="1"/>
  <c r="E77" i="2" s="1"/>
  <c r="F77" i="2" l="1"/>
  <c r="H77" i="2"/>
  <c r="I77" i="2" s="1"/>
  <c r="D78" i="2" s="1"/>
  <c r="G78" i="2" s="1"/>
  <c r="E78" i="2" l="1"/>
  <c r="H78" i="2" s="1"/>
  <c r="I78" i="2" s="1"/>
  <c r="D79" i="2" s="1"/>
  <c r="F78" i="2"/>
  <c r="G79" i="2" l="1"/>
  <c r="E79" i="2"/>
  <c r="H79" i="2" l="1"/>
  <c r="I79" i="2" s="1"/>
  <c r="D80" i="2" s="1"/>
  <c r="F79" i="2"/>
  <c r="G80" i="2"/>
  <c r="E80" i="2" l="1"/>
  <c r="H80" i="2"/>
  <c r="I80" i="2" s="1"/>
  <c r="D81" i="2" s="1"/>
  <c r="G81" i="2" l="1"/>
  <c r="E81" i="2" s="1"/>
  <c r="F81" i="2" s="1"/>
  <c r="F80" i="2"/>
  <c r="H81" i="2" l="1"/>
  <c r="I81" i="2" s="1"/>
  <c r="D82" i="2" s="1"/>
  <c r="G82" i="2" l="1"/>
  <c r="E82" i="2" s="1"/>
  <c r="H82" i="2" l="1"/>
  <c r="I82" i="2" s="1"/>
  <c r="D83" i="2" s="1"/>
  <c r="F82" i="2"/>
  <c r="G83" i="2" l="1"/>
  <c r="E83" i="2" s="1"/>
  <c r="F83" i="2" s="1"/>
  <c r="H83" i="2" l="1"/>
  <c r="I83" i="2" s="1"/>
  <c r="D84" i="2" s="1"/>
  <c r="G84" i="2" l="1"/>
  <c r="E84" i="2" l="1"/>
  <c r="F84" i="2" s="1"/>
  <c r="H84" i="2" l="1"/>
  <c r="I84" i="2" s="1"/>
  <c r="D85" i="2" s="1"/>
  <c r="G85" i="2" l="1"/>
  <c r="E85" i="2" s="1"/>
  <c r="H85" i="2" l="1"/>
  <c r="I85" i="2" s="1"/>
  <c r="D86" i="2" s="1"/>
  <c r="G86" i="2" s="1"/>
  <c r="E86" i="2" s="1"/>
  <c r="F86" i="2" s="1"/>
  <c r="F85" i="2"/>
  <c r="H86" i="2" l="1"/>
  <c r="I86" i="2" s="1"/>
  <c r="D87" i="2" s="1"/>
  <c r="G87" i="2"/>
  <c r="E87" i="2" s="1"/>
  <c r="H87" i="2" l="1"/>
  <c r="I87" i="2" s="1"/>
  <c r="D88" i="2" s="1"/>
  <c r="G88" i="2" s="1"/>
  <c r="F87" i="2"/>
  <c r="E88" i="2"/>
  <c r="H88" i="2" l="1"/>
  <c r="I88" i="2" s="1"/>
  <c r="D89" i="2" s="1"/>
  <c r="F88" i="2"/>
  <c r="G89" i="2" l="1"/>
  <c r="E89" i="2" l="1"/>
  <c r="F89" i="2" s="1"/>
  <c r="H89" i="2" l="1"/>
  <c r="I89" i="2" s="1"/>
  <c r="D90" i="2" s="1"/>
  <c r="G90" i="2" s="1"/>
  <c r="E90" i="2" l="1"/>
  <c r="H90" i="2" s="1"/>
  <c r="I90" i="2" s="1"/>
  <c r="D91" i="2" s="1"/>
  <c r="G91" i="2" s="1"/>
  <c r="E91" i="2" s="1"/>
  <c r="F91" i="2" s="1"/>
  <c r="F90" i="2" l="1"/>
  <c r="H91" i="2"/>
  <c r="I91" i="2" s="1"/>
  <c r="D92" i="2" s="1"/>
  <c r="G92" i="2" l="1"/>
  <c r="E92" i="2" s="1"/>
  <c r="F92" i="2" s="1"/>
  <c r="H92" i="2" l="1"/>
  <c r="I92" i="2" s="1"/>
  <c r="D93" i="2" s="1"/>
  <c r="G93" i="2" l="1"/>
  <c r="E93" i="2" s="1"/>
  <c r="F93" i="2" s="1"/>
  <c r="H93" i="2" l="1"/>
  <c r="I93" i="2" s="1"/>
  <c r="D94" i="2" s="1"/>
  <c r="G94" i="2" l="1"/>
  <c r="E94" i="2" s="1"/>
  <c r="H94" i="2" l="1"/>
  <c r="I94" i="2" s="1"/>
  <c r="D95" i="2" s="1"/>
  <c r="F94" i="2"/>
  <c r="G95" i="2" l="1"/>
  <c r="E95" i="2" s="1"/>
  <c r="H95" i="2" l="1"/>
  <c r="I95" i="2" s="1"/>
  <c r="D96" i="2" s="1"/>
  <c r="G96" i="2" s="1"/>
  <c r="E96" i="2" s="1"/>
  <c r="H96" i="2" s="1"/>
  <c r="I96" i="2" s="1"/>
  <c r="D97" i="2" s="1"/>
  <c r="F95" i="2"/>
  <c r="F96" i="2" l="1"/>
  <c r="G97" i="2"/>
  <c r="E97" i="2" s="1"/>
  <c r="F97" i="2" l="1"/>
  <c r="H97" i="2"/>
  <c r="I97" i="2" s="1"/>
  <c r="D98" i="2" s="1"/>
  <c r="G98" i="2" s="1"/>
  <c r="E98" i="2" s="1"/>
  <c r="H98" i="2" s="1"/>
  <c r="I98" i="2" s="1"/>
  <c r="D99" i="2" s="1"/>
  <c r="F98" i="2" l="1"/>
  <c r="G99" i="2"/>
  <c r="E99" i="2" s="1"/>
  <c r="F99" i="2" s="1"/>
  <c r="H99" i="2" l="1"/>
  <c r="I99" i="2" s="1"/>
  <c r="D100" i="2" s="1"/>
  <c r="G100" i="2" l="1"/>
  <c r="E100" i="2" s="1"/>
  <c r="F100" i="2" l="1"/>
  <c r="H100" i="2"/>
  <c r="I100" i="2" s="1"/>
  <c r="D101" i="2" s="1"/>
  <c r="G101" i="2" l="1"/>
  <c r="E101" i="2" s="1"/>
  <c r="F101" i="2" s="1"/>
  <c r="H101" i="2" l="1"/>
  <c r="I101" i="2" s="1"/>
  <c r="D102" i="2" s="1"/>
  <c r="G102" i="2" l="1"/>
  <c r="E102" i="2" s="1"/>
  <c r="F102" i="2" s="1"/>
  <c r="H102" i="2" l="1"/>
  <c r="I102" i="2" s="1"/>
  <c r="D103" i="2" s="1"/>
  <c r="G103" i="2" l="1"/>
  <c r="E103" i="2" s="1"/>
  <c r="H103" i="2" l="1"/>
  <c r="I103" i="2" s="1"/>
  <c r="D104" i="2" s="1"/>
  <c r="F103" i="2"/>
  <c r="G104" i="2"/>
  <c r="E104" i="2" s="1"/>
  <c r="F104" i="2" s="1"/>
  <c r="H104" i="2" l="1"/>
  <c r="I104" i="2" s="1"/>
  <c r="D105" i="2" s="1"/>
  <c r="G105" i="2" l="1"/>
  <c r="E105" i="2"/>
  <c r="H105" i="2" l="1"/>
  <c r="I105" i="2" s="1"/>
  <c r="D106" i="2" s="1"/>
  <c r="G106" i="2" s="1"/>
  <c r="F105" i="2"/>
  <c r="E106" i="2" l="1"/>
  <c r="F106" i="2" s="1"/>
  <c r="H106" i="2" l="1"/>
  <c r="I106" i="2" s="1"/>
  <c r="D107" i="2" s="1"/>
  <c r="G107" i="2" l="1"/>
  <c r="E107" i="2" l="1"/>
  <c r="F107" i="2" s="1"/>
  <c r="H107" i="2" l="1"/>
  <c r="I107" i="2" s="1"/>
  <c r="D108" i="2" s="1"/>
  <c r="G108" i="2" s="1"/>
  <c r="E108" i="2" l="1"/>
  <c r="H108" i="2" s="1"/>
  <c r="I108" i="2" s="1"/>
  <c r="D109" i="2" s="1"/>
  <c r="G109" i="2" s="1"/>
  <c r="F108" i="2" l="1"/>
  <c r="E109" i="2"/>
  <c r="F109" i="2" s="1"/>
  <c r="H109" i="2" l="1"/>
  <c r="I109" i="2" s="1"/>
  <c r="D110" i="2" s="1"/>
  <c r="G110" i="2" l="1"/>
  <c r="E110" i="2" s="1"/>
  <c r="H110" i="2" l="1"/>
  <c r="I110" i="2" s="1"/>
  <c r="D111" i="2" s="1"/>
  <c r="G111" i="2" s="1"/>
  <c r="E111" i="2" s="1"/>
  <c r="H111" i="2" s="1"/>
  <c r="I111" i="2" s="1"/>
  <c r="D112" i="2" s="1"/>
  <c r="G112" i="2" s="1"/>
  <c r="E112" i="2" s="1"/>
  <c r="F110" i="2"/>
  <c r="F111" i="2" l="1"/>
  <c r="F112" i="2"/>
  <c r="H112" i="2"/>
  <c r="I112" i="2" s="1"/>
  <c r="D113" i="2" s="1"/>
  <c r="G113" i="2" s="1"/>
  <c r="E113" i="2" l="1"/>
  <c r="F113" i="2" s="1"/>
  <c r="H113" i="2" l="1"/>
  <c r="I113" i="2" s="1"/>
  <c r="D114" i="2" s="1"/>
  <c r="G114" i="2" s="1"/>
  <c r="E114" i="2" l="1"/>
  <c r="H114" i="2" s="1"/>
  <c r="I114" i="2" s="1"/>
  <c r="D115" i="2" s="1"/>
  <c r="G115" i="2"/>
  <c r="E115" i="2" s="1"/>
  <c r="F115" i="2" s="1"/>
  <c r="F114" i="2" l="1"/>
  <c r="H115" i="2"/>
  <c r="I115" i="2" s="1"/>
  <c r="D116" i="2" s="1"/>
  <c r="G116" i="2" l="1"/>
  <c r="E116" i="2" s="1"/>
  <c r="F116" i="2" s="1"/>
  <c r="H116" i="2" l="1"/>
  <c r="I116" i="2" s="1"/>
  <c r="D117" i="2" s="1"/>
  <c r="G117" i="2" l="1"/>
  <c r="E117" i="2"/>
  <c r="H117" i="2" s="1"/>
  <c r="I117" i="2" s="1"/>
  <c r="D118" i="2" s="1"/>
  <c r="F117" i="2" l="1"/>
  <c r="G118" i="2"/>
  <c r="E118" i="2"/>
  <c r="F118" i="2" s="1"/>
  <c r="H118" i="2" l="1"/>
  <c r="I118" i="2" s="1"/>
  <c r="D119" i="2" s="1"/>
  <c r="G119" i="2" l="1"/>
  <c r="E119" i="2" s="1"/>
  <c r="F119" i="2" s="1"/>
  <c r="H119" i="2" l="1"/>
  <c r="I119" i="2" s="1"/>
  <c r="D120" i="2" s="1"/>
  <c r="G120" i="2" l="1"/>
  <c r="E120" i="2" s="1"/>
  <c r="F120" i="2" s="1"/>
  <c r="H120" i="2" l="1"/>
  <c r="I120" i="2" s="1"/>
  <c r="D121" i="2" s="1"/>
  <c r="G121" i="2" l="1"/>
  <c r="E121" i="2" s="1"/>
  <c r="F121" i="2" s="1"/>
  <c r="H121" i="2" l="1"/>
  <c r="I121" i="2" s="1"/>
  <c r="D122" i="2" s="1"/>
  <c r="G122" i="2" l="1"/>
  <c r="E122" i="2" s="1"/>
  <c r="F122" i="2" s="1"/>
  <c r="H122" i="2" l="1"/>
  <c r="I122" i="2" s="1"/>
  <c r="D123" i="2" s="1"/>
  <c r="G123" i="2" s="1"/>
  <c r="E123" i="2" l="1"/>
  <c r="H123" i="2" s="1"/>
  <c r="I123" i="2" s="1"/>
  <c r="D124" i="2" s="1"/>
  <c r="G124" i="2" s="1"/>
  <c r="F123" i="2" l="1"/>
  <c r="E124" i="2"/>
  <c r="H124" i="2" s="1"/>
  <c r="I124" i="2" s="1"/>
  <c r="D125" i="2" s="1"/>
  <c r="G125" i="2" s="1"/>
  <c r="F124" i="2" l="1"/>
  <c r="E125" i="2"/>
  <c r="H125" i="2" s="1"/>
  <c r="I125" i="2" s="1"/>
  <c r="D126" i="2" s="1"/>
  <c r="G126" i="2" s="1"/>
  <c r="F125" i="2" l="1"/>
  <c r="E126" i="2"/>
  <c r="H126" i="2" s="1"/>
  <c r="I126" i="2" s="1"/>
  <c r="D127" i="2" s="1"/>
  <c r="G127" i="2" s="1"/>
  <c r="F126" i="2" l="1"/>
  <c r="E127" i="2"/>
  <c r="H127" i="2" s="1"/>
  <c r="I127" i="2" s="1"/>
  <c r="D128" i="2" s="1"/>
  <c r="G128" i="2" s="1"/>
  <c r="F127" i="2" l="1"/>
  <c r="E128" i="2"/>
  <c r="H128" i="2" s="1"/>
  <c r="I128" i="2" s="1"/>
  <c r="D129" i="2" s="1"/>
  <c r="G129" i="2" s="1"/>
  <c r="F128" i="2" l="1"/>
  <c r="E129" i="2"/>
  <c r="H129" i="2" s="1"/>
  <c r="I129" i="2" s="1"/>
  <c r="D130" i="2" s="1"/>
  <c r="G130" i="2" s="1"/>
  <c r="F129" i="2" l="1"/>
  <c r="E130" i="2"/>
  <c r="H130" i="2" s="1"/>
  <c r="I130" i="2" s="1"/>
  <c r="D131" i="2" s="1"/>
  <c r="G131" i="2" s="1"/>
  <c r="F130" i="2" l="1"/>
  <c r="E131" i="2"/>
  <c r="H131" i="2" s="1"/>
  <c r="I131" i="2" s="1"/>
  <c r="D132" i="2" s="1"/>
  <c r="G132" i="2" s="1"/>
  <c r="F131" i="2" l="1"/>
  <c r="E132" i="2"/>
  <c r="H132" i="2" s="1"/>
  <c r="I132" i="2" s="1"/>
  <c r="D133" i="2" s="1"/>
  <c r="G133" i="2" s="1"/>
  <c r="F132" i="2" l="1"/>
  <c r="E133" i="2"/>
  <c r="H133" i="2" s="1"/>
  <c r="I133" i="2" s="1"/>
  <c r="D134" i="2" s="1"/>
  <c r="G134" i="2" s="1"/>
  <c r="F133" i="2" l="1"/>
  <c r="E134" i="2"/>
  <c r="H134" i="2" s="1"/>
  <c r="I134" i="2" s="1"/>
  <c r="D135" i="2" s="1"/>
  <c r="G135" i="2" s="1"/>
  <c r="F134" i="2" l="1"/>
  <c r="E135" i="2"/>
  <c r="H135" i="2" s="1"/>
  <c r="I135" i="2" s="1"/>
  <c r="D136" i="2" s="1"/>
  <c r="G136" i="2" s="1"/>
  <c r="F135" i="2" l="1"/>
  <c r="E136" i="2"/>
  <c r="H136" i="2" s="1"/>
  <c r="I136" i="2" s="1"/>
  <c r="D137" i="2" s="1"/>
  <c r="G137" i="2" s="1"/>
  <c r="F136" i="2" l="1"/>
  <c r="E137" i="2"/>
  <c r="H137" i="2" s="1"/>
  <c r="I137" i="2" s="1"/>
  <c r="D138" i="2" s="1"/>
  <c r="G138" i="2" s="1"/>
  <c r="F137" i="2" l="1"/>
  <c r="E138" i="2"/>
  <c r="H138" i="2" s="1"/>
  <c r="I138" i="2" s="1"/>
  <c r="D139" i="2" s="1"/>
  <c r="G139" i="2" s="1"/>
  <c r="F138" i="2" l="1"/>
  <c r="E139" i="2"/>
  <c r="H139" i="2" s="1"/>
  <c r="I139" i="2" s="1"/>
  <c r="D140" i="2" s="1"/>
  <c r="G140" i="2" s="1"/>
  <c r="F139" i="2" l="1"/>
  <c r="E140" i="2"/>
  <c r="H140" i="2" s="1"/>
  <c r="I140" i="2" s="1"/>
  <c r="D141" i="2" s="1"/>
  <c r="G141" i="2" s="1"/>
  <c r="F140" i="2" l="1"/>
  <c r="E141" i="2"/>
  <c r="H141" i="2" s="1"/>
  <c r="I141" i="2" s="1"/>
  <c r="D142" i="2" s="1"/>
  <c r="G142" i="2" s="1"/>
  <c r="F141" i="2" l="1"/>
  <c r="E142" i="2"/>
  <c r="H142" i="2" s="1"/>
  <c r="I142" i="2" s="1"/>
  <c r="D143" i="2" s="1"/>
  <c r="G143" i="2" s="1"/>
  <c r="F142" i="2" l="1"/>
  <c r="E143" i="2"/>
  <c r="H143" i="2" s="1"/>
  <c r="I143" i="2" s="1"/>
  <c r="D144" i="2" s="1"/>
  <c r="G144" i="2" s="1"/>
  <c r="F143" i="2" l="1"/>
  <c r="E144" i="2"/>
  <c r="H144" i="2" s="1"/>
  <c r="I144" i="2" s="1"/>
  <c r="D145" i="2" s="1"/>
  <c r="F144" i="2" l="1"/>
  <c r="G145" i="2"/>
  <c r="E145" i="2"/>
  <c r="H145" i="2" s="1"/>
  <c r="I145" i="2" s="1"/>
  <c r="D146" i="2" s="1"/>
  <c r="G146" i="2" s="1"/>
  <c r="F145" i="2" l="1"/>
  <c r="E146" i="2"/>
  <c r="H146" i="2" s="1"/>
  <c r="I146" i="2" s="1"/>
  <c r="D147" i="2" s="1"/>
  <c r="F146" i="2" l="1"/>
  <c r="G147" i="2"/>
  <c r="E147" i="2"/>
  <c r="F147" i="2" s="1"/>
  <c r="H147" i="2" l="1"/>
  <c r="I147" i="2" s="1"/>
  <c r="D148" i="2" s="1"/>
  <c r="G148" i="2" s="1"/>
  <c r="E148" i="2" l="1"/>
  <c r="H148" i="2" s="1"/>
  <c r="I148" i="2" s="1"/>
  <c r="D149" i="2" s="1"/>
  <c r="F148" i="2" l="1"/>
  <c r="G149" i="2"/>
  <c r="E149" i="2"/>
  <c r="H149" i="2" l="1"/>
  <c r="I149" i="2" s="1"/>
  <c r="D150" i="2" s="1"/>
  <c r="G150" i="2" s="1"/>
  <c r="E150" i="2" s="1"/>
  <c r="H150" i="2" s="1"/>
  <c r="I150" i="2" s="1"/>
  <c r="D151" i="2" s="1"/>
  <c r="F149" i="2"/>
  <c r="F150" i="2" l="1"/>
  <c r="G151" i="2"/>
  <c r="E151" i="2"/>
  <c r="H151" i="2" l="1"/>
  <c r="I151" i="2" s="1"/>
  <c r="D152" i="2" s="1"/>
  <c r="G152" i="2" s="1"/>
  <c r="F151" i="2"/>
  <c r="E152" i="2"/>
  <c r="H152" i="2" s="1"/>
  <c r="I152" i="2" s="1"/>
  <c r="D153" i="2" s="1"/>
  <c r="F152" i="2" l="1"/>
  <c r="G153" i="2"/>
  <c r="E153" i="2"/>
  <c r="H153" i="2" l="1"/>
  <c r="I153" i="2" s="1"/>
  <c r="D154" i="2" s="1"/>
  <c r="G154" i="2" s="1"/>
  <c r="F153" i="2"/>
  <c r="E154" i="2"/>
  <c r="H154" i="2" s="1"/>
  <c r="I154" i="2" s="1"/>
  <c r="D155" i="2" s="1"/>
  <c r="G155" i="2" s="1"/>
  <c r="F154" i="2" l="1"/>
  <c r="E155" i="2"/>
  <c r="H155" i="2" s="1"/>
  <c r="I155" i="2" s="1"/>
  <c r="D156" i="2" s="1"/>
  <c r="G156" i="2" s="1"/>
  <c r="F155" i="2" l="1"/>
  <c r="E156" i="2"/>
  <c r="H156" i="2" s="1"/>
  <c r="I156" i="2" s="1"/>
  <c r="D157" i="2" s="1"/>
  <c r="G157" i="2" s="1"/>
  <c r="E157" i="2" l="1"/>
  <c r="H157" i="2" s="1"/>
  <c r="I157" i="2" s="1"/>
  <c r="D158" i="2" s="1"/>
  <c r="G158" i="2" s="1"/>
  <c r="F156" i="2"/>
  <c r="F157" i="2" l="1"/>
  <c r="E158" i="2"/>
  <c r="H158" i="2" s="1"/>
  <c r="I158" i="2" s="1"/>
  <c r="D159" i="2" s="1"/>
  <c r="G159" i="2" s="1"/>
  <c r="F158" i="2" l="1"/>
  <c r="E159" i="2"/>
  <c r="H159" i="2" s="1"/>
  <c r="I159" i="2" s="1"/>
  <c r="D160" i="2" s="1"/>
  <c r="F159" i="2" l="1"/>
  <c r="G160" i="2"/>
  <c r="E160" i="2"/>
  <c r="H160" i="2" s="1"/>
  <c r="I160" i="2" s="1"/>
  <c r="D161" i="2" s="1"/>
  <c r="F160" i="2" l="1"/>
  <c r="G161" i="2"/>
  <c r="E161" i="2"/>
  <c r="H161" i="2" s="1"/>
  <c r="I161" i="2" s="1"/>
  <c r="D162" i="2" s="1"/>
  <c r="F161" i="2" l="1"/>
  <c r="G162" i="2"/>
  <c r="E162" i="2"/>
  <c r="H162" i="2" s="1"/>
  <c r="I162" i="2" s="1"/>
  <c r="D163" i="2" s="1"/>
  <c r="G163" i="2" s="1"/>
  <c r="F162" i="2" l="1"/>
  <c r="E163" i="2"/>
  <c r="H163" i="2" s="1"/>
  <c r="I163" i="2" s="1"/>
  <c r="D164" i="2" s="1"/>
  <c r="G164" i="2" s="1"/>
  <c r="F163" i="2" l="1"/>
  <c r="E164" i="2"/>
  <c r="H164" i="2" s="1"/>
  <c r="I164" i="2" s="1"/>
  <c r="D165" i="2" s="1"/>
  <c r="G165" i="2" s="1"/>
  <c r="F164" i="2" l="1"/>
  <c r="E165" i="2"/>
  <c r="H165" i="2" s="1"/>
  <c r="I165" i="2" s="1"/>
  <c r="D166" i="2" s="1"/>
  <c r="G166" i="2" s="1"/>
  <c r="F165" i="2" l="1"/>
  <c r="E166" i="2"/>
  <c r="H166" i="2" s="1"/>
  <c r="I166" i="2" s="1"/>
  <c r="D167" i="2" s="1"/>
  <c r="G167" i="2" s="1"/>
  <c r="F166" i="2" l="1"/>
  <c r="E167" i="2"/>
  <c r="H167" i="2" s="1"/>
  <c r="I167" i="2" s="1"/>
  <c r="D168" i="2" s="1"/>
  <c r="G168" i="2" s="1"/>
  <c r="F167" i="2" l="1"/>
  <c r="E168" i="2"/>
  <c r="H168" i="2" s="1"/>
  <c r="I168" i="2" s="1"/>
  <c r="D169" i="2" s="1"/>
  <c r="G169" i="2" s="1"/>
  <c r="F168" i="2" l="1"/>
  <c r="E169" i="2"/>
  <c r="H169" i="2" s="1"/>
  <c r="I169" i="2" s="1"/>
  <c r="D170" i="2" s="1"/>
  <c r="G170" i="2" s="1"/>
  <c r="F169" i="2" l="1"/>
  <c r="E170" i="2"/>
  <c r="H170" i="2" s="1"/>
  <c r="I170" i="2" s="1"/>
  <c r="D171" i="2" s="1"/>
  <c r="G171" i="2" s="1"/>
  <c r="F170" i="2" l="1"/>
  <c r="E171" i="2"/>
  <c r="H171" i="2" s="1"/>
  <c r="I171" i="2" s="1"/>
  <c r="D172" i="2" s="1"/>
  <c r="G172" i="2" s="1"/>
  <c r="F171" i="2" l="1"/>
  <c r="E172" i="2"/>
  <c r="H172" i="2" s="1"/>
  <c r="I172" i="2" s="1"/>
  <c r="D173" i="2" s="1"/>
  <c r="G173" i="2" s="1"/>
  <c r="F172" i="2" l="1"/>
  <c r="E173" i="2"/>
  <c r="H173" i="2" s="1"/>
  <c r="I173" i="2" s="1"/>
  <c r="D174" i="2" s="1"/>
  <c r="G174" i="2" s="1"/>
  <c r="F173" i="2" l="1"/>
  <c r="E174" i="2"/>
  <c r="H174" i="2" s="1"/>
  <c r="I174" i="2" s="1"/>
  <c r="D175" i="2" s="1"/>
  <c r="G175" i="2" s="1"/>
  <c r="F174" i="2" l="1"/>
  <c r="E175" i="2"/>
  <c r="H175" i="2" s="1"/>
  <c r="I175" i="2" s="1"/>
  <c r="D176" i="2" s="1"/>
  <c r="G176" i="2" s="1"/>
  <c r="F175" i="2" l="1"/>
  <c r="E176" i="2"/>
  <c r="H176" i="2" s="1"/>
  <c r="I176" i="2" s="1"/>
  <c r="D177" i="2" s="1"/>
  <c r="G177" i="2" s="1"/>
  <c r="F176" i="2" l="1"/>
  <c r="E177" i="2"/>
  <c r="H177" i="2" s="1"/>
  <c r="I177" i="2" s="1"/>
  <c r="D178" i="2" s="1"/>
  <c r="G178" i="2" s="1"/>
  <c r="F177" i="2" l="1"/>
  <c r="E178" i="2"/>
  <c r="H178" i="2" s="1"/>
  <c r="I178" i="2" s="1"/>
  <c r="D179" i="2" s="1"/>
  <c r="G179" i="2" s="1"/>
  <c r="F178" i="2" l="1"/>
  <c r="E179" i="2"/>
  <c r="H179" i="2" s="1"/>
  <c r="I179" i="2" s="1"/>
  <c r="D180" i="2" s="1"/>
  <c r="F179" i="2" l="1"/>
  <c r="G180" i="2"/>
  <c r="E180" i="2"/>
  <c r="H180" i="2" s="1"/>
  <c r="I180" i="2" s="1"/>
  <c r="D181" i="2" s="1"/>
  <c r="F180" i="2" l="1"/>
  <c r="G181" i="2"/>
  <c r="E181" i="2"/>
  <c r="H181" i="2" l="1"/>
  <c r="I181" i="2" s="1"/>
  <c r="D182" i="2" s="1"/>
  <c r="F181" i="2"/>
  <c r="G182" i="2"/>
  <c r="E182" i="2" l="1"/>
  <c r="H182" i="2"/>
  <c r="I182" i="2" s="1"/>
  <c r="D183" i="2" s="1"/>
  <c r="G183" i="2" s="1"/>
  <c r="F182" i="2"/>
  <c r="E183" i="2" l="1"/>
  <c r="H183" i="2"/>
  <c r="I183" i="2" s="1"/>
  <c r="D184" i="2" s="1"/>
  <c r="F183" i="2"/>
  <c r="G184" i="2"/>
  <c r="E184" i="2" s="1"/>
  <c r="H184" i="2" l="1"/>
  <c r="I184" i="2" s="1"/>
  <c r="D185" i="2" s="1"/>
  <c r="F184" i="2"/>
  <c r="G185" i="2"/>
  <c r="E185" i="2"/>
  <c r="H185" i="2" s="1"/>
  <c r="I185" i="2" s="1"/>
  <c r="D186" i="2" s="1"/>
  <c r="F185" i="2" l="1"/>
  <c r="G186" i="2"/>
  <c r="E186" i="2"/>
  <c r="F186" i="2" s="1"/>
  <c r="H186" i="2" l="1"/>
  <c r="I186" i="2" s="1"/>
  <c r="D187" i="2" s="1"/>
  <c r="G187" i="2"/>
  <c r="E187" i="2"/>
  <c r="F187" i="2" s="1"/>
  <c r="H187" i="2" l="1"/>
  <c r="I187" i="2" s="1"/>
  <c r="D188" i="2" s="1"/>
  <c r="G188" i="2" l="1"/>
  <c r="E188" i="2"/>
  <c r="H188" i="2" l="1"/>
  <c r="I188" i="2" s="1"/>
  <c r="D189" i="2" s="1"/>
  <c r="G189" i="2"/>
  <c r="E189" i="2" s="1"/>
  <c r="F189" i="2" s="1"/>
  <c r="F188" i="2"/>
  <c r="H189" i="2" l="1"/>
  <c r="I189" i="2" s="1"/>
  <c r="D190" i="2" s="1"/>
  <c r="G190" i="2"/>
  <c r="E190" i="2" l="1"/>
  <c r="F190" i="2" s="1"/>
  <c r="H190" i="2"/>
  <c r="I190" i="2" s="1"/>
  <c r="D191" i="2" s="1"/>
  <c r="G191" i="2" l="1"/>
  <c r="E191" i="2"/>
  <c r="F191" i="2" s="1"/>
  <c r="H191" i="2" l="1"/>
  <c r="I191" i="2" s="1"/>
  <c r="D192" i="2" s="1"/>
  <c r="G192" i="2" l="1"/>
  <c r="E192" i="2"/>
  <c r="H192" i="2" l="1"/>
  <c r="I192" i="2" s="1"/>
  <c r="D193" i="2" s="1"/>
  <c r="G193" i="2"/>
  <c r="F192" i="2"/>
  <c r="E193" i="2" l="1"/>
  <c r="H193" i="2"/>
  <c r="I193" i="2" s="1"/>
  <c r="D194" i="2" s="1"/>
  <c r="G194" i="2" s="1"/>
  <c r="F193" i="2"/>
  <c r="E194" i="2" l="1"/>
  <c r="H194" i="2" s="1"/>
  <c r="I194" i="2" s="1"/>
  <c r="D195" i="2" s="1"/>
  <c r="G195" i="2" s="1"/>
  <c r="E195" i="2" s="1"/>
  <c r="H195" i="2" s="1"/>
  <c r="I195" i="2" s="1"/>
  <c r="D196" i="2" s="1"/>
  <c r="F194" i="2"/>
  <c r="G196" i="2" l="1"/>
  <c r="E196" i="2"/>
  <c r="F196" i="2" s="1"/>
  <c r="F195" i="2"/>
  <c r="H196" i="2" l="1"/>
  <c r="I196" i="2" s="1"/>
  <c r="D197" i="2" s="1"/>
  <c r="G197" i="2"/>
  <c r="E197" i="2" l="1"/>
  <c r="F197" i="2"/>
  <c r="H197" i="2"/>
  <c r="I197" i="2" s="1"/>
  <c r="D198" i="2" s="1"/>
  <c r="G198" i="2" s="1"/>
  <c r="E198" i="2" s="1"/>
  <c r="H198" i="2" l="1"/>
  <c r="I198" i="2" s="1"/>
  <c r="D199" i="2" s="1"/>
  <c r="G199" i="2" s="1"/>
  <c r="F198" i="2"/>
  <c r="E199" i="2" l="1"/>
  <c r="H199" i="2" s="1"/>
  <c r="I199" i="2" s="1"/>
  <c r="D200" i="2" s="1"/>
  <c r="G200" i="2"/>
  <c r="E200" i="2"/>
  <c r="H200" i="2" s="1"/>
  <c r="I200" i="2" s="1"/>
  <c r="D201" i="2" s="1"/>
  <c r="F199" i="2"/>
  <c r="G201" i="2" l="1"/>
  <c r="E201" i="2"/>
  <c r="F200" i="2"/>
  <c r="H201" i="2" l="1"/>
  <c r="I201" i="2" s="1"/>
  <c r="D202" i="2" s="1"/>
  <c r="G202" i="2"/>
  <c r="E202" i="2"/>
  <c r="F202" i="2" s="1"/>
  <c r="F201" i="2"/>
  <c r="H202" i="2" l="1"/>
  <c r="I202" i="2" s="1"/>
  <c r="D203" i="2" s="1"/>
  <c r="G203" i="2" l="1"/>
  <c r="E203" i="2"/>
  <c r="F203" i="2" s="1"/>
  <c r="H203" i="2" l="1"/>
  <c r="I203" i="2" s="1"/>
  <c r="D204" i="2" s="1"/>
  <c r="G204" i="2" l="1"/>
  <c r="E204" i="2" s="1"/>
  <c r="F204" i="2" s="1"/>
  <c r="H204" i="2" l="1"/>
  <c r="I204" i="2" s="1"/>
  <c r="D205" i="2" s="1"/>
  <c r="G205" i="2" l="1"/>
  <c r="E205" i="2"/>
  <c r="F205" i="2" s="1"/>
  <c r="H205" i="2" l="1"/>
  <c r="I205" i="2" s="1"/>
  <c r="D206" i="2" s="1"/>
  <c r="G206" i="2" l="1"/>
  <c r="E206" i="2"/>
  <c r="H206" i="2" s="1"/>
  <c r="I206" i="2" s="1"/>
  <c r="D207" i="2" s="1"/>
  <c r="G207" i="2" l="1"/>
  <c r="E207" i="2"/>
  <c r="F206" i="2"/>
  <c r="H207" i="2" l="1"/>
  <c r="I207" i="2" s="1"/>
  <c r="D208" i="2" s="1"/>
  <c r="G208" i="2"/>
  <c r="E208" i="2"/>
  <c r="H208" i="2" s="1"/>
  <c r="I208" i="2" s="1"/>
  <c r="D209" i="2" s="1"/>
  <c r="F207" i="2"/>
  <c r="G209" i="2" l="1"/>
  <c r="E209" i="2" s="1"/>
  <c r="F209" i="2" s="1"/>
  <c r="F208" i="2"/>
  <c r="H209" i="2" l="1"/>
  <c r="I209" i="2" s="1"/>
  <c r="D210" i="2" s="1"/>
  <c r="G210" i="2" l="1"/>
  <c r="E210" i="2" s="1"/>
  <c r="F210" i="2" s="1"/>
  <c r="H210" i="2" l="1"/>
  <c r="I210" i="2" s="1"/>
  <c r="D211" i="2" s="1"/>
  <c r="G211" i="2" l="1"/>
  <c r="E211" i="2"/>
  <c r="F211" i="2" s="1"/>
  <c r="H211" i="2" l="1"/>
  <c r="I211" i="2" s="1"/>
  <c r="D212" i="2" s="1"/>
  <c r="G212" i="2" l="1"/>
  <c r="E212" i="2"/>
  <c r="H212" i="2" l="1"/>
  <c r="I212" i="2" s="1"/>
  <c r="D213" i="2" s="1"/>
  <c r="G213" i="2"/>
  <c r="E213" i="2" s="1"/>
  <c r="H213" i="2" s="1"/>
  <c r="I213" i="2" s="1"/>
  <c r="D214" i="2" s="1"/>
  <c r="F212" i="2"/>
  <c r="G214" i="2" l="1"/>
  <c r="E214" i="2"/>
  <c r="F214" i="2" s="1"/>
  <c r="F213" i="2"/>
  <c r="H214" i="2" l="1"/>
  <c r="I214" i="2" s="1"/>
  <c r="D215" i="2" s="1"/>
  <c r="G215" i="2" l="1"/>
  <c r="E215" i="2"/>
  <c r="H215" i="2" l="1"/>
  <c r="I215" i="2" s="1"/>
  <c r="D216" i="2" s="1"/>
  <c r="G216" i="2"/>
  <c r="E216" i="2"/>
  <c r="F216" i="2" s="1"/>
  <c r="F215" i="2"/>
  <c r="H216" i="2" l="1"/>
  <c r="I216" i="2" s="1"/>
  <c r="D217" i="2" s="1"/>
  <c r="G217" i="2" l="1"/>
  <c r="E217" i="2" s="1"/>
  <c r="F217" i="2" s="1"/>
  <c r="H217" i="2" l="1"/>
  <c r="I217" i="2" s="1"/>
  <c r="D218" i="2" s="1"/>
  <c r="G218" i="2" l="1"/>
  <c r="E218" i="2"/>
  <c r="H218" i="2" l="1"/>
  <c r="I218" i="2" s="1"/>
  <c r="D219" i="2" s="1"/>
  <c r="G219" i="2" s="1"/>
  <c r="E219" i="2" s="1"/>
  <c r="H219" i="2" s="1"/>
  <c r="I219" i="2" s="1"/>
  <c r="D220" i="2" s="1"/>
  <c r="F218" i="2"/>
  <c r="G220" i="2" l="1"/>
  <c r="E220" i="2"/>
  <c r="H220" i="2" s="1"/>
  <c r="I220" i="2" s="1"/>
  <c r="D221" i="2" s="1"/>
  <c r="F219" i="2"/>
  <c r="G221" i="2" l="1"/>
  <c r="E221" i="2"/>
  <c r="F220" i="2"/>
  <c r="F221" i="2"/>
  <c r="H221" i="2" l="1"/>
  <c r="I221" i="2" s="1"/>
  <c r="D222" i="2" s="1"/>
  <c r="G222" i="2" l="1"/>
  <c r="E222" i="2"/>
  <c r="F222" i="2" s="1"/>
  <c r="H222" i="2" l="1"/>
  <c r="I222" i="2" s="1"/>
  <c r="D223" i="2" s="1"/>
  <c r="G223" i="2" l="1"/>
  <c r="E223" i="2" s="1"/>
  <c r="H223" i="2" l="1"/>
  <c r="I223" i="2" s="1"/>
  <c r="D224" i="2" s="1"/>
  <c r="G224" i="2"/>
  <c r="F223" i="2"/>
  <c r="E224" i="2" l="1"/>
  <c r="F224" i="2" s="1"/>
  <c r="H224" i="2"/>
  <c r="I224" i="2" s="1"/>
  <c r="D225" i="2" s="1"/>
  <c r="G225" i="2" l="1"/>
  <c r="E225" i="2" s="1"/>
  <c r="H225" i="2" s="1"/>
  <c r="I225" i="2" s="1"/>
  <c r="D226" i="2" s="1"/>
  <c r="G226" i="2" l="1"/>
  <c r="E226" i="2"/>
  <c r="F226" i="2" s="1"/>
  <c r="F225" i="2"/>
  <c r="H226" i="2" l="1"/>
  <c r="I226" i="2" s="1"/>
  <c r="D227" i="2" s="1"/>
  <c r="G227" i="2" l="1"/>
  <c r="E227" i="2"/>
  <c r="H227" i="2" s="1"/>
  <c r="I227" i="2" s="1"/>
  <c r="D228" i="2" s="1"/>
  <c r="G228" i="2" l="1"/>
  <c r="E228" i="2"/>
  <c r="F227" i="2"/>
  <c r="H228" i="2" l="1"/>
  <c r="I228" i="2" s="1"/>
  <c r="D229" i="2" s="1"/>
  <c r="G229" i="2"/>
  <c r="E229" i="2" s="1"/>
  <c r="F229" i="2" s="1"/>
  <c r="F228" i="2"/>
  <c r="H229" i="2" l="1"/>
  <c r="I229" i="2" s="1"/>
  <c r="D230" i="2" s="1"/>
  <c r="G230" i="2" l="1"/>
  <c r="E230" i="2"/>
  <c r="F230" i="2" s="1"/>
  <c r="H230" i="2" l="1"/>
  <c r="I230" i="2" s="1"/>
  <c r="D231" i="2" s="1"/>
  <c r="G231" i="2" l="1"/>
  <c r="E231" i="2" s="1"/>
  <c r="H231" i="2" l="1"/>
  <c r="I231" i="2" s="1"/>
  <c r="D232" i="2" s="1"/>
  <c r="G232" i="2" s="1"/>
  <c r="E232" i="2" s="1"/>
  <c r="F232" i="2" s="1"/>
  <c r="F231" i="2"/>
  <c r="H232" i="2" l="1"/>
  <c r="I232" i="2" s="1"/>
  <c r="D233" i="2" s="1"/>
  <c r="G233" i="2" l="1"/>
  <c r="E233" i="2"/>
  <c r="H233" i="2" l="1"/>
  <c r="I233" i="2" s="1"/>
  <c r="D234" i="2" s="1"/>
  <c r="G234" i="2" s="1"/>
  <c r="E234" i="2" s="1"/>
  <c r="F234" i="2" s="1"/>
  <c r="F233" i="2"/>
  <c r="H234" i="2" l="1"/>
  <c r="I234" i="2" s="1"/>
  <c r="D235" i="2" s="1"/>
  <c r="G235" i="2" l="1"/>
  <c r="E235" i="2"/>
  <c r="H235" i="2" l="1"/>
  <c r="I235" i="2" s="1"/>
  <c r="D236" i="2" s="1"/>
  <c r="G236" i="2"/>
  <c r="E236" i="2" s="1"/>
  <c r="H236" i="2" s="1"/>
  <c r="I236" i="2" s="1"/>
  <c r="D237" i="2" s="1"/>
  <c r="F235" i="2"/>
  <c r="G237" i="2" l="1"/>
  <c r="E237" i="2"/>
  <c r="F237" i="2" s="1"/>
  <c r="F236" i="2"/>
  <c r="H237" i="2" l="1"/>
  <c r="I237" i="2" s="1"/>
  <c r="D238" i="2" s="1"/>
  <c r="G238" i="2" l="1"/>
  <c r="E238" i="2"/>
  <c r="F238" i="2" s="1"/>
  <c r="H238" i="2" l="1"/>
  <c r="I238" i="2" s="1"/>
  <c r="D239" i="2" s="1"/>
  <c r="G239" i="2" l="1"/>
  <c r="E239" i="2" s="1"/>
  <c r="F239" i="2" s="1"/>
  <c r="H239" i="2" l="1"/>
  <c r="I239" i="2" s="1"/>
  <c r="D240" i="2" s="1"/>
  <c r="G240" i="2" l="1"/>
  <c r="E240" i="2" s="1"/>
  <c r="F240" i="2" s="1"/>
  <c r="H240" i="2" l="1"/>
  <c r="I240" i="2" s="1"/>
  <c r="D241" i="2" s="1"/>
  <c r="G241" i="2" l="1"/>
  <c r="E241" i="2"/>
  <c r="F241" i="2" s="1"/>
  <c r="H241" i="2" l="1"/>
  <c r="I241" i="2" s="1"/>
  <c r="D242" i="2" s="1"/>
  <c r="G242" i="2" l="1"/>
  <c r="E242" i="2"/>
  <c r="F242" i="2" s="1"/>
  <c r="H242" i="2" l="1"/>
  <c r="I242" i="2" s="1"/>
  <c r="D243" i="2" s="1"/>
  <c r="G243" i="2" l="1"/>
  <c r="E243" i="2"/>
  <c r="F243" i="2" s="1"/>
  <c r="H243" i="2" l="1"/>
  <c r="I243" i="2" s="1"/>
  <c r="D244" i="2" s="1"/>
  <c r="G244" i="2" l="1"/>
  <c r="E244" i="2"/>
  <c r="F244" i="2" s="1"/>
  <c r="H244" i="2" l="1"/>
  <c r="I244" i="2" s="1"/>
  <c r="D245" i="2" s="1"/>
  <c r="G245" i="2" l="1"/>
  <c r="E245" i="2"/>
  <c r="H245" i="2" l="1"/>
  <c r="I245" i="2" s="1"/>
  <c r="D246" i="2" s="1"/>
  <c r="G246" i="2"/>
  <c r="E246" i="2" s="1"/>
  <c r="F246" i="2" s="1"/>
  <c r="F245" i="2"/>
  <c r="H246" i="2" l="1"/>
  <c r="I246" i="2" s="1"/>
  <c r="D247" i="2" s="1"/>
  <c r="G247" i="2" l="1"/>
  <c r="E247" i="2"/>
  <c r="F247" i="2" s="1"/>
  <c r="H247" i="2" l="1"/>
  <c r="I247" i="2" s="1"/>
  <c r="D248" i="2" s="1"/>
  <c r="G248" i="2" l="1"/>
  <c r="E248" i="2"/>
  <c r="H248" i="2" l="1"/>
  <c r="I248" i="2" s="1"/>
  <c r="D249" i="2" s="1"/>
  <c r="G249" i="2"/>
  <c r="E249" i="2"/>
  <c r="F249" i="2" s="1"/>
  <c r="F248" i="2"/>
  <c r="H249" i="2" l="1"/>
  <c r="I249" i="2" s="1"/>
  <c r="D250" i="2" s="1"/>
  <c r="G250" i="2" l="1"/>
  <c r="E250" i="2" s="1"/>
  <c r="F250" i="2" s="1"/>
  <c r="H250" i="2" l="1"/>
  <c r="I250" i="2" s="1"/>
  <c r="D251" i="2" s="1"/>
  <c r="G251" i="2" l="1"/>
  <c r="E251" i="2" s="1"/>
  <c r="H251" i="2" s="1"/>
  <c r="I251" i="2" s="1"/>
  <c r="D252" i="2" s="1"/>
  <c r="G252" i="2" l="1"/>
  <c r="E252" i="2"/>
  <c r="F251" i="2"/>
  <c r="H252" i="2"/>
  <c r="I252" i="2" s="1"/>
  <c r="D253" i="2" s="1"/>
  <c r="G253" i="2" l="1"/>
  <c r="E253" i="2"/>
  <c r="F252" i="2"/>
  <c r="H253" i="2" l="1"/>
  <c r="I253" i="2" s="1"/>
  <c r="D254" i="2" s="1"/>
  <c r="G254" i="2"/>
  <c r="F253" i="2"/>
  <c r="E254" i="2" l="1"/>
  <c r="H254" i="2" s="1"/>
  <c r="I254" i="2" s="1"/>
  <c r="D255" i="2" s="1"/>
  <c r="G255" i="2" s="1"/>
  <c r="E255" i="2"/>
  <c r="F255" i="2" s="1"/>
  <c r="F254" i="2"/>
  <c r="H255" i="2" l="1"/>
  <c r="I255" i="2" s="1"/>
  <c r="D256" i="2" s="1"/>
  <c r="G256" i="2" l="1"/>
  <c r="E256" i="2"/>
  <c r="H256" i="2" l="1"/>
  <c r="I256" i="2" s="1"/>
  <c r="D257" i="2" s="1"/>
  <c r="G257" i="2"/>
  <c r="E257" i="2"/>
  <c r="F256" i="2"/>
  <c r="H257" i="2" l="1"/>
  <c r="I257" i="2" s="1"/>
  <c r="D258" i="2" s="1"/>
  <c r="G258" i="2"/>
  <c r="E258" i="2"/>
  <c r="F258" i="2" s="1"/>
  <c r="F257" i="2"/>
  <c r="H258" i="2" l="1"/>
  <c r="I258" i="2" s="1"/>
  <c r="D259" i="2" s="1"/>
  <c r="G259" i="2" l="1"/>
  <c r="E259" i="2"/>
  <c r="H259" i="2" l="1"/>
  <c r="I259" i="2" s="1"/>
  <c r="D260" i="2" s="1"/>
  <c r="G260" i="2"/>
  <c r="F259" i="2"/>
  <c r="E260" i="2" l="1"/>
  <c r="F260" i="2" s="1"/>
  <c r="H260" i="2"/>
  <c r="I260" i="2" s="1"/>
  <c r="D261" i="2" s="1"/>
  <c r="G261" i="2" l="1"/>
  <c r="E261" i="2"/>
  <c r="F261" i="2" s="1"/>
  <c r="H261" i="2" l="1"/>
  <c r="I261" i="2" s="1"/>
  <c r="D262" i="2" s="1"/>
  <c r="G262" i="2" l="1"/>
  <c r="E262" i="2"/>
  <c r="F262" i="2" s="1"/>
  <c r="H262" i="2" l="1"/>
  <c r="I262" i="2" s="1"/>
  <c r="D263" i="2" s="1"/>
  <c r="G263" i="2" l="1"/>
  <c r="E263" i="2"/>
  <c r="H263" i="2" l="1"/>
  <c r="I263" i="2" s="1"/>
  <c r="D264" i="2" s="1"/>
  <c r="G264" i="2" s="1"/>
  <c r="F263" i="2"/>
  <c r="E264" i="2" l="1"/>
  <c r="H264" i="2" s="1"/>
  <c r="I264" i="2" s="1"/>
  <c r="D265" i="2" s="1"/>
  <c r="G265" i="2" s="1"/>
  <c r="F264" i="2"/>
  <c r="E265" i="2" l="1"/>
  <c r="F265" i="2" s="1"/>
  <c r="H265" i="2"/>
  <c r="I265" i="2" s="1"/>
  <c r="D266" i="2" s="1"/>
  <c r="G266" i="2" l="1"/>
  <c r="E266" i="2"/>
  <c r="H266" i="2" l="1"/>
  <c r="I266" i="2" s="1"/>
  <c r="D267" i="2" s="1"/>
  <c r="G267" i="2"/>
  <c r="F266" i="2"/>
  <c r="E267" i="2" l="1"/>
  <c r="H267" i="2"/>
  <c r="I267" i="2" s="1"/>
  <c r="D268" i="2" s="1"/>
  <c r="G268" i="2"/>
  <c r="E268" i="2" s="1"/>
  <c r="F268" i="2" s="1"/>
  <c r="F267" i="2"/>
  <c r="H268" i="2" l="1"/>
  <c r="I268" i="2" s="1"/>
  <c r="D269" i="2" s="1"/>
  <c r="G269" i="2" l="1"/>
  <c r="E269" i="2"/>
  <c r="F269" i="2" s="1"/>
  <c r="H269" i="2" l="1"/>
  <c r="I269" i="2" s="1"/>
  <c r="D270" i="2" s="1"/>
  <c r="G270" i="2" l="1"/>
  <c r="E270" i="2"/>
  <c r="F270" i="2" s="1"/>
  <c r="H270" i="2" l="1"/>
  <c r="I270" i="2" s="1"/>
  <c r="D271" i="2" s="1"/>
  <c r="G271" i="2" l="1"/>
  <c r="E271" i="2" s="1"/>
  <c r="H271" i="2" l="1"/>
  <c r="I271" i="2" s="1"/>
  <c r="D272" i="2" s="1"/>
  <c r="G272" i="2"/>
  <c r="F271" i="2"/>
  <c r="E272" i="2" l="1"/>
  <c r="H272" i="2"/>
  <c r="I272" i="2" s="1"/>
  <c r="D273" i="2" s="1"/>
  <c r="G273" i="2" s="1"/>
  <c r="E273" i="2" s="1"/>
  <c r="H273" i="2" s="1"/>
  <c r="I273" i="2" s="1"/>
  <c r="D274" i="2" s="1"/>
  <c r="F272" i="2"/>
  <c r="G274" i="2" l="1"/>
  <c r="E274" i="2"/>
  <c r="F273" i="2"/>
  <c r="H274" i="2" l="1"/>
  <c r="I274" i="2" s="1"/>
  <c r="D275" i="2" s="1"/>
  <c r="G275" i="2"/>
  <c r="F274" i="2"/>
  <c r="E275" i="2" l="1"/>
  <c r="F275" i="2" s="1"/>
  <c r="H275" i="2"/>
  <c r="I275" i="2" s="1"/>
  <c r="D276" i="2" s="1"/>
  <c r="G276" i="2" l="1"/>
  <c r="E276" i="2" s="1"/>
  <c r="H276" i="2" l="1"/>
  <c r="I276" i="2" s="1"/>
  <c r="D277" i="2" s="1"/>
  <c r="G277" i="2"/>
  <c r="F276" i="2"/>
  <c r="E277" i="2" l="1"/>
  <c r="H277" i="2"/>
  <c r="I277" i="2" s="1"/>
  <c r="D278" i="2" s="1"/>
  <c r="G278" i="2" s="1"/>
  <c r="F277" i="2"/>
  <c r="E278" i="2" l="1"/>
  <c r="F278" i="2"/>
  <c r="H278" i="2"/>
  <c r="I278" i="2" s="1"/>
  <c r="D279" i="2" s="1"/>
  <c r="G279" i="2" l="1"/>
  <c r="E279" i="2"/>
  <c r="F279" i="2" s="1"/>
  <c r="H279" i="2" l="1"/>
  <c r="I279" i="2" s="1"/>
  <c r="D280" i="2" s="1"/>
  <c r="G280" i="2" l="1"/>
  <c r="E280" i="2"/>
  <c r="F280" i="2" s="1"/>
  <c r="H280" i="2" l="1"/>
  <c r="I280" i="2" s="1"/>
  <c r="D281" i="2" s="1"/>
  <c r="G281" i="2" l="1"/>
  <c r="E281" i="2" s="1"/>
  <c r="F281" i="2" s="1"/>
  <c r="H281" i="2" l="1"/>
  <c r="I281" i="2" s="1"/>
  <c r="D282" i="2" s="1"/>
  <c r="G282" i="2" l="1"/>
  <c r="E282" i="2"/>
  <c r="F282" i="2" s="1"/>
  <c r="H282" i="2" l="1"/>
  <c r="I282" i="2" s="1"/>
  <c r="D283" i="2" s="1"/>
  <c r="G283" i="2" l="1"/>
  <c r="E283" i="2"/>
  <c r="F283" i="2" s="1"/>
  <c r="H283" i="2" l="1"/>
  <c r="I283" i="2" s="1"/>
  <c r="D284" i="2" s="1"/>
  <c r="G284" i="2" l="1"/>
  <c r="E284" i="2"/>
  <c r="H284" i="2" s="1"/>
  <c r="I284" i="2" s="1"/>
  <c r="D285" i="2" s="1"/>
  <c r="G285" i="2" l="1"/>
  <c r="E285" i="2"/>
  <c r="F284" i="2"/>
  <c r="H285" i="2" l="1"/>
  <c r="I285" i="2" s="1"/>
  <c r="D286" i="2" s="1"/>
  <c r="G286" i="2"/>
  <c r="E286" i="2"/>
  <c r="F285" i="2"/>
  <c r="H286" i="2" l="1"/>
  <c r="I286" i="2" s="1"/>
  <c r="D287" i="2" s="1"/>
  <c r="G287" i="2" s="1"/>
  <c r="E287" i="2" s="1"/>
  <c r="H287" i="2" s="1"/>
  <c r="I287" i="2" s="1"/>
  <c r="D288" i="2" s="1"/>
  <c r="F286" i="2"/>
  <c r="G288" i="2" l="1"/>
  <c r="E288" i="2"/>
  <c r="H288" i="2" s="1"/>
  <c r="I288" i="2" s="1"/>
  <c r="D289" i="2" s="1"/>
  <c r="F287" i="2"/>
  <c r="G289" i="2" l="1"/>
  <c r="E289" i="2"/>
  <c r="F289" i="2" s="1"/>
  <c r="F288" i="2"/>
  <c r="H289" i="2" l="1"/>
  <c r="I289" i="2" s="1"/>
  <c r="D290" i="2" s="1"/>
  <c r="G290" i="2" l="1"/>
  <c r="E290" i="2"/>
  <c r="F290" i="2" s="1"/>
  <c r="H290" i="2" l="1"/>
  <c r="I290" i="2" s="1"/>
  <c r="D291" i="2" s="1"/>
  <c r="G291" i="2" l="1"/>
  <c r="E291" i="2" s="1"/>
  <c r="F291" i="2" s="1"/>
  <c r="H291" i="2" l="1"/>
  <c r="I291" i="2" s="1"/>
  <c r="D292" i="2" s="1"/>
  <c r="G292" i="2" l="1"/>
  <c r="E292" i="2"/>
  <c r="H292" i="2" s="1"/>
  <c r="I292" i="2" s="1"/>
  <c r="D293" i="2" s="1"/>
  <c r="G293" i="2" l="1"/>
  <c r="E293" i="2"/>
  <c r="F293" i="2" s="1"/>
  <c r="F292" i="2"/>
  <c r="H293" i="2" l="1"/>
  <c r="I293" i="2" s="1"/>
  <c r="D294" i="2" s="1"/>
  <c r="G294" i="2" l="1"/>
  <c r="E294" i="2" s="1"/>
  <c r="F294" i="2" s="1"/>
  <c r="H294" i="2" l="1"/>
  <c r="I294" i="2" s="1"/>
  <c r="D295" i="2" s="1"/>
  <c r="G295" i="2" l="1"/>
  <c r="E295" i="2" s="1"/>
  <c r="H295" i="2" s="1"/>
  <c r="I295" i="2" s="1"/>
  <c r="D296" i="2" s="1"/>
  <c r="G296" i="2" l="1"/>
  <c r="E296" i="2"/>
  <c r="F295" i="2"/>
  <c r="F296" i="2"/>
  <c r="H296" i="2" l="1"/>
  <c r="I296" i="2" s="1"/>
  <c r="D297" i="2" s="1"/>
  <c r="G297" i="2" l="1"/>
  <c r="E297" i="2" s="1"/>
  <c r="H297" i="2" l="1"/>
  <c r="I297" i="2" s="1"/>
  <c r="D298" i="2" s="1"/>
  <c r="G298" i="2"/>
  <c r="F297" i="2"/>
  <c r="E298" i="2" l="1"/>
  <c r="F298" i="2" s="1"/>
  <c r="H298" i="2" l="1"/>
  <c r="I298" i="2" s="1"/>
  <c r="D299" i="2" s="1"/>
  <c r="G299" i="2"/>
  <c r="E299" i="2"/>
  <c r="H299" i="2" l="1"/>
  <c r="I299" i="2" s="1"/>
  <c r="D300" i="2" s="1"/>
  <c r="G300" i="2"/>
  <c r="E300" i="2" s="1"/>
  <c r="H300" i="2" s="1"/>
  <c r="I300" i="2" s="1"/>
  <c r="D301" i="2" s="1"/>
  <c r="F299" i="2"/>
  <c r="G301" i="2" l="1"/>
  <c r="E301" i="2"/>
  <c r="F301" i="2" s="1"/>
  <c r="F300" i="2"/>
  <c r="H301" i="2" l="1"/>
  <c r="I301" i="2" s="1"/>
  <c r="D302" i="2" s="1"/>
  <c r="G302" i="2" l="1"/>
  <c r="E302" i="2"/>
  <c r="F302" i="2" l="1"/>
  <c r="M10" i="2"/>
  <c r="D6" i="4" s="1"/>
  <c r="H302" i="2"/>
  <c r="I302" i="2" s="1"/>
  <c r="D303" i="2" s="1"/>
  <c r="G303" i="2" l="1"/>
  <c r="E303" i="2"/>
  <c r="F303" i="2" s="1"/>
  <c r="H303" i="2" l="1"/>
  <c r="I303" i="2" s="1"/>
  <c r="D304" i="2" s="1"/>
  <c r="G304" i="2" l="1"/>
  <c r="E304" i="2"/>
  <c r="H304" i="2" s="1"/>
  <c r="I304" i="2" s="1"/>
  <c r="D305" i="2" s="1"/>
  <c r="G305" i="2" l="1"/>
  <c r="E305" i="2"/>
  <c r="F304" i="2"/>
  <c r="H305" i="2"/>
  <c r="I305" i="2" s="1"/>
  <c r="D306" i="2" s="1"/>
  <c r="G306" i="2" l="1"/>
  <c r="E306" i="2"/>
  <c r="F306" i="2" s="1"/>
  <c r="F305" i="2"/>
  <c r="H306" i="2" l="1"/>
  <c r="I306" i="2" s="1"/>
  <c r="D307" i="2" s="1"/>
  <c r="G307" i="2" l="1"/>
  <c r="E307" i="2"/>
  <c r="H307" i="2" s="1"/>
  <c r="I307" i="2" s="1"/>
  <c r="D308" i="2" s="1"/>
  <c r="G308" i="2" l="1"/>
  <c r="E308" i="2" s="1"/>
  <c r="F308" i="2" s="1"/>
  <c r="F307" i="2"/>
  <c r="H308" i="2" l="1"/>
  <c r="I308" i="2" s="1"/>
  <c r="D309" i="2" s="1"/>
  <c r="G309" i="2" l="1"/>
  <c r="E309" i="2" s="1"/>
  <c r="H309" i="2" l="1"/>
  <c r="I309" i="2" s="1"/>
  <c r="D310" i="2" s="1"/>
  <c r="G310" i="2"/>
  <c r="E310" i="2"/>
  <c r="H310" i="2" s="1"/>
  <c r="I310" i="2" s="1"/>
  <c r="D311" i="2" s="1"/>
  <c r="F309" i="2"/>
  <c r="G311" i="2" l="1"/>
  <c r="E311" i="2" s="1"/>
  <c r="F311" i="2" s="1"/>
  <c r="F310" i="2"/>
  <c r="H311" i="2" l="1"/>
  <c r="I311" i="2" s="1"/>
  <c r="D312" i="2" s="1"/>
  <c r="G312" i="2" l="1"/>
  <c r="E312" i="2"/>
  <c r="F312" i="2" s="1"/>
  <c r="H312" i="2" l="1"/>
  <c r="I312" i="2" s="1"/>
  <c r="D313" i="2" s="1"/>
  <c r="G313" i="2" l="1"/>
  <c r="E313" i="2"/>
  <c r="H313" i="2" l="1"/>
  <c r="I313" i="2" s="1"/>
  <c r="D314" i="2" s="1"/>
  <c r="G314" i="2"/>
  <c r="E314" i="2" s="1"/>
  <c r="F314" i="2" s="1"/>
  <c r="F313" i="2"/>
  <c r="H314" i="2" l="1"/>
  <c r="I314" i="2" s="1"/>
  <c r="D315" i="2" s="1"/>
  <c r="G315" i="2" l="1"/>
  <c r="E315" i="2"/>
  <c r="F315" i="2" s="1"/>
  <c r="H315" i="2" l="1"/>
  <c r="I315" i="2" s="1"/>
  <c r="D316" i="2" s="1"/>
  <c r="G316" i="2" l="1"/>
  <c r="E316" i="2"/>
  <c r="F316" i="2" s="1"/>
  <c r="H316" i="2" l="1"/>
  <c r="I316" i="2" s="1"/>
  <c r="D317" i="2" s="1"/>
  <c r="G317" i="2" l="1"/>
  <c r="E317" i="2"/>
  <c r="F317" i="2" s="1"/>
  <c r="H317" i="2" l="1"/>
  <c r="I317" i="2" s="1"/>
  <c r="D318" i="2" s="1"/>
  <c r="G318" i="2" l="1"/>
  <c r="E318" i="2"/>
  <c r="F318" i="2" s="1"/>
  <c r="H318" i="2" l="1"/>
  <c r="I318" i="2" s="1"/>
  <c r="D319" i="2" s="1"/>
  <c r="G319" i="2" l="1"/>
  <c r="E319" i="2"/>
  <c r="H319" i="2" s="1"/>
  <c r="I319" i="2" s="1"/>
  <c r="D320" i="2" s="1"/>
  <c r="G320" i="2" l="1"/>
  <c r="E320" i="2"/>
  <c r="F319" i="2"/>
  <c r="F320" i="2"/>
  <c r="H320" i="2" l="1"/>
  <c r="I320" i="2" s="1"/>
  <c r="D321" i="2" s="1"/>
  <c r="G321" i="2" l="1"/>
  <c r="E321" i="2"/>
  <c r="H321" i="2" l="1"/>
  <c r="I321" i="2" s="1"/>
  <c r="D322" i="2" s="1"/>
  <c r="G322" i="2"/>
  <c r="E322" i="2"/>
  <c r="F322" i="2" s="1"/>
  <c r="F321" i="2"/>
  <c r="H322" i="2" l="1"/>
  <c r="I322" i="2" s="1"/>
  <c r="D323" i="2" s="1"/>
  <c r="G323" i="2" l="1"/>
  <c r="E323" i="2"/>
  <c r="F323" i="2" s="1"/>
  <c r="H323" i="2" l="1"/>
  <c r="I323" i="2" s="1"/>
  <c r="D324" i="2" s="1"/>
  <c r="G324" i="2" l="1"/>
  <c r="E324" i="2"/>
  <c r="H324" i="2" s="1"/>
  <c r="I324" i="2" s="1"/>
  <c r="D325" i="2" s="1"/>
  <c r="G325" i="2" l="1"/>
  <c r="E325" i="2" s="1"/>
  <c r="F325" i="2" s="1"/>
  <c r="F324" i="2"/>
  <c r="H325" i="2" l="1"/>
  <c r="I325" i="2" s="1"/>
  <c r="D326" i="2" s="1"/>
  <c r="G326" i="2" l="1"/>
  <c r="E326" i="2"/>
  <c r="F326" i="2" s="1"/>
  <c r="H326" i="2" l="1"/>
  <c r="I326" i="2" s="1"/>
  <c r="D327" i="2" s="1"/>
  <c r="G327" i="2" l="1"/>
  <c r="E327" i="2"/>
  <c r="H327" i="2" s="1"/>
  <c r="I327" i="2" s="1"/>
  <c r="D328" i="2" s="1"/>
  <c r="G328" i="2" l="1"/>
  <c r="E328" i="2"/>
  <c r="F327" i="2"/>
  <c r="F328" i="2"/>
  <c r="H328" i="2" l="1"/>
  <c r="I328" i="2" s="1"/>
  <c r="D329" i="2" s="1"/>
  <c r="G329" i="2" l="1"/>
  <c r="E329" i="2"/>
  <c r="H329" i="2" l="1"/>
  <c r="I329" i="2" s="1"/>
  <c r="D330" i="2" s="1"/>
  <c r="G330" i="2"/>
  <c r="F329" i="2"/>
  <c r="E330" i="2" l="1"/>
  <c r="F330" i="2" s="1"/>
  <c r="H330" i="2"/>
  <c r="I330" i="2" s="1"/>
  <c r="D331" i="2" s="1"/>
  <c r="G331" i="2" l="1"/>
  <c r="E331" i="2"/>
  <c r="H331" i="2" l="1"/>
  <c r="I331" i="2" s="1"/>
  <c r="D332" i="2" s="1"/>
  <c r="G332" i="2"/>
  <c r="E332" i="2"/>
  <c r="F332" i="2" s="1"/>
  <c r="F331" i="2"/>
  <c r="H332" i="2" l="1"/>
  <c r="I332" i="2" s="1"/>
  <c r="D333" i="2" s="1"/>
  <c r="G333" i="2" l="1"/>
  <c r="E333" i="2"/>
  <c r="F333" i="2" s="1"/>
  <c r="H333" i="2" l="1"/>
  <c r="I333" i="2" s="1"/>
  <c r="D334" i="2" s="1"/>
  <c r="G334" i="2" l="1"/>
  <c r="E334" i="2"/>
  <c r="F334" i="2" s="1"/>
  <c r="H334" i="2" l="1"/>
  <c r="I334" i="2" s="1"/>
  <c r="D335" i="2" s="1"/>
  <c r="G335" i="2" l="1"/>
  <c r="E335" i="2"/>
  <c r="H335" i="2" s="1"/>
  <c r="I335" i="2" s="1"/>
  <c r="D336" i="2" s="1"/>
  <c r="G336" i="2" l="1"/>
  <c r="E336" i="2"/>
  <c r="F335" i="2"/>
  <c r="H336" i="2" l="1"/>
  <c r="I336" i="2" s="1"/>
  <c r="D337" i="2" s="1"/>
  <c r="G337" i="2"/>
  <c r="E337" i="2"/>
  <c r="F337" i="2" s="1"/>
  <c r="F336" i="2"/>
  <c r="H337" i="2" l="1"/>
  <c r="I337" i="2" s="1"/>
  <c r="D338" i="2" s="1"/>
  <c r="G338" i="2" l="1"/>
  <c r="E338" i="2" s="1"/>
  <c r="F338" i="2" s="1"/>
  <c r="H338" i="2" l="1"/>
  <c r="I338" i="2" s="1"/>
  <c r="D339" i="2" s="1"/>
  <c r="G339" i="2" l="1"/>
  <c r="E339" i="2"/>
  <c r="F339" i="2" s="1"/>
  <c r="H339" i="2" l="1"/>
  <c r="I339" i="2" s="1"/>
  <c r="D340" i="2" s="1"/>
  <c r="G340" i="2" l="1"/>
  <c r="E340" i="2"/>
  <c r="F340" i="2" s="1"/>
  <c r="H340" i="2" l="1"/>
  <c r="I340" i="2" s="1"/>
  <c r="D341" i="2" s="1"/>
  <c r="G341" i="2" l="1"/>
  <c r="E341" i="2"/>
  <c r="H341" i="2" l="1"/>
  <c r="I341" i="2" s="1"/>
  <c r="D342" i="2" s="1"/>
  <c r="G342" i="2"/>
  <c r="E342" i="2"/>
  <c r="F342" i="2" s="1"/>
  <c r="F341" i="2"/>
  <c r="H342" i="2" l="1"/>
  <c r="I342" i="2" s="1"/>
  <c r="D343" i="2" s="1"/>
  <c r="G343" i="2" l="1"/>
  <c r="E343" i="2"/>
  <c r="H343" i="2" l="1"/>
  <c r="I343" i="2" s="1"/>
  <c r="D344" i="2" s="1"/>
  <c r="G344" i="2"/>
  <c r="E344" i="2" s="1"/>
  <c r="F344" i="2" s="1"/>
  <c r="F343" i="2"/>
  <c r="H344" i="2" l="1"/>
  <c r="I344" i="2" s="1"/>
  <c r="D345" i="2" s="1"/>
  <c r="G345" i="2" l="1"/>
  <c r="E345" i="2" s="1"/>
  <c r="H345" i="2" s="1"/>
  <c r="I345" i="2" s="1"/>
  <c r="D346" i="2" s="1"/>
  <c r="G346" i="2" l="1"/>
  <c r="E346" i="2"/>
  <c r="F346" i="2" s="1"/>
  <c r="F345" i="2"/>
  <c r="H346" i="2" l="1"/>
  <c r="I346" i="2" s="1"/>
  <c r="D347" i="2" s="1"/>
  <c r="G347" i="2" l="1"/>
  <c r="E347" i="2"/>
  <c r="F347" i="2" s="1"/>
  <c r="H347" i="2" l="1"/>
  <c r="I347" i="2" s="1"/>
  <c r="D348" i="2" s="1"/>
  <c r="G348" i="2" l="1"/>
  <c r="E348" i="2"/>
  <c r="F348" i="2" s="1"/>
  <c r="H348" i="2" l="1"/>
  <c r="I348" i="2" s="1"/>
  <c r="D349" i="2" s="1"/>
  <c r="G349" i="2" l="1"/>
  <c r="E349" i="2"/>
  <c r="H349" i="2" l="1"/>
  <c r="I349" i="2" s="1"/>
  <c r="D350" i="2" s="1"/>
  <c r="G350" i="2"/>
  <c r="E350" i="2"/>
  <c r="H350" i="2" s="1"/>
  <c r="F349" i="2"/>
  <c r="I350" i="2" l="1"/>
  <c r="D351" i="2" s="1"/>
  <c r="G351" i="2" s="1"/>
  <c r="E351" i="2" s="1"/>
  <c r="F351" i="2" s="1"/>
  <c r="F350" i="2"/>
  <c r="H351" i="2" l="1"/>
  <c r="I351" i="2" s="1"/>
  <c r="D352" i="2" s="1"/>
  <c r="G352" i="2" l="1"/>
  <c r="E352" i="2"/>
  <c r="F352" i="2" s="1"/>
  <c r="H352" i="2" l="1"/>
  <c r="I352" i="2" s="1"/>
  <c r="D353" i="2" s="1"/>
  <c r="G353" i="2" l="1"/>
  <c r="E353" i="2" s="1"/>
  <c r="H353" i="2" s="1"/>
  <c r="I353" i="2" s="1"/>
  <c r="D354" i="2" s="1"/>
  <c r="G354" i="2" l="1"/>
  <c r="E354" i="2"/>
  <c r="F354" i="2" s="1"/>
  <c r="F353" i="2"/>
  <c r="H354" i="2" l="1"/>
  <c r="I354" i="2" s="1"/>
  <c r="D355" i="2" s="1"/>
  <c r="G355" i="2" l="1"/>
  <c r="E355" i="2"/>
  <c r="F355" i="2" s="1"/>
  <c r="H355" i="2" l="1"/>
  <c r="I355" i="2" s="1"/>
  <c r="D356" i="2" s="1"/>
  <c r="G356" i="2" l="1"/>
  <c r="E356" i="2"/>
  <c r="F356" i="2" s="1"/>
  <c r="H356" i="2" l="1"/>
  <c r="I356" i="2" s="1"/>
  <c r="D357" i="2" s="1"/>
  <c r="G357" i="2" l="1"/>
  <c r="E357" i="2" s="1"/>
  <c r="F357" i="2" s="1"/>
  <c r="H357" i="2" l="1"/>
  <c r="I357" i="2" s="1"/>
  <c r="D358" i="2" s="1"/>
  <c r="G358" i="2" l="1"/>
  <c r="E358" i="2"/>
  <c r="H358" i="2" l="1"/>
  <c r="I358" i="2" s="1"/>
  <c r="D359" i="2" s="1"/>
  <c r="G359" i="2" s="1"/>
  <c r="E359" i="2" s="1"/>
  <c r="H359" i="2" s="1"/>
  <c r="I359" i="2" s="1"/>
  <c r="D360" i="2" s="1"/>
  <c r="F358" i="2"/>
  <c r="G360" i="2" l="1"/>
  <c r="E360" i="2"/>
  <c r="F360" i="2" s="1"/>
  <c r="F359" i="2"/>
  <c r="H360" i="2" l="1"/>
  <c r="I360" i="2" s="1"/>
  <c r="D361" i="2" s="1"/>
  <c r="G361" i="2" l="1"/>
  <c r="E361" i="2" s="1"/>
  <c r="F361" i="2" s="1"/>
  <c r="H361" i="2" l="1"/>
  <c r="I361" i="2" s="1"/>
  <c r="D362" i="2" s="1"/>
  <c r="G362" i="2" l="1"/>
  <c r="E362" i="2"/>
  <c r="F362" i="2" s="1"/>
  <c r="H362" i="2" l="1"/>
  <c r="I362" i="2" s="1"/>
</calcChain>
</file>

<file path=xl/sharedStrings.xml><?xml version="1.0" encoding="utf-8"?>
<sst xmlns="http://schemas.openxmlformats.org/spreadsheetml/2006/main" count="274" uniqueCount="155">
  <si>
    <t>Property Name</t>
  </si>
  <si>
    <t>Property Type</t>
  </si>
  <si>
    <t>Units</t>
  </si>
  <si>
    <t>Year Built</t>
  </si>
  <si>
    <t>Occupancy rate</t>
  </si>
  <si>
    <t>Market</t>
  </si>
  <si>
    <t>Average Unit Side</t>
  </si>
  <si>
    <t>Test Property 1</t>
  </si>
  <si>
    <t>Garden Style Multifamily</t>
  </si>
  <si>
    <t>Secondary metro, growing pop</t>
  </si>
  <si>
    <t>900 Sq Ft</t>
  </si>
  <si>
    <t>Income Assumptions</t>
  </si>
  <si>
    <t>Property Overview</t>
  </si>
  <si>
    <t>Average In-place rent</t>
  </si>
  <si>
    <t>Market Rent</t>
  </si>
  <si>
    <t>Economic Vacancy</t>
  </si>
  <si>
    <t>Annual rent growth</t>
  </si>
  <si>
    <t>Other income (as a % of gross potential rent)</t>
  </si>
  <si>
    <t>Operating Expenses</t>
  </si>
  <si>
    <t>Reparis &amp; maintenance</t>
  </si>
  <si>
    <t>payroll &amp; admin</t>
  </si>
  <si>
    <t>Utilities</t>
  </si>
  <si>
    <t>management fee</t>
  </si>
  <si>
    <t>insurance</t>
  </si>
  <si>
    <t>replacement reserves</t>
  </si>
  <si>
    <t>As a % of EGI</t>
  </si>
  <si>
    <t>Property taxes (as a % of purchase price)</t>
  </si>
  <si>
    <t>$ Per unit per year</t>
  </si>
  <si>
    <t>Acquisition assumptions</t>
  </si>
  <si>
    <t>Debt Terms</t>
  </si>
  <si>
    <t>Minimum DSCR</t>
  </si>
  <si>
    <t>Maximum LTV</t>
  </si>
  <si>
    <t>Minimum Debt Yield</t>
  </si>
  <si>
    <t>Property DSCR</t>
  </si>
  <si>
    <t>Property LTV</t>
  </si>
  <si>
    <t>Property Debt Yield</t>
  </si>
  <si>
    <t>month</t>
  </si>
  <si>
    <t>PMT</t>
  </si>
  <si>
    <t>After pmt mortgage amount</t>
  </si>
  <si>
    <t>Interest amount</t>
  </si>
  <si>
    <t>Interest Rate (annual)</t>
  </si>
  <si>
    <t>Principal paid</t>
  </si>
  <si>
    <t>Fixed or Adjustable rate</t>
  </si>
  <si>
    <t>ARM Mode Enabled?</t>
  </si>
  <si>
    <t>Green = Yes             Red = No</t>
  </si>
  <si>
    <t>Month of adjustment</t>
  </si>
  <si>
    <t>New annual rate</t>
  </si>
  <si>
    <t>ARM Adjustment check</t>
  </si>
  <si>
    <t>Interest rate</t>
  </si>
  <si>
    <t>Amortization Length</t>
  </si>
  <si>
    <t>Loan Length</t>
  </si>
  <si>
    <t>Beginning Balance</t>
  </si>
  <si>
    <t>End of Month Balance</t>
  </si>
  <si>
    <t>Year 1 Financials</t>
  </si>
  <si>
    <t>Year 2 Financials</t>
  </si>
  <si>
    <t>Year 3 Financials</t>
  </si>
  <si>
    <t>Year 4 Financials</t>
  </si>
  <si>
    <t>Custom Amort and Loan Length Inputs</t>
  </si>
  <si>
    <t>Vacancy Loss</t>
  </si>
  <si>
    <t>Effective Rental Income</t>
  </si>
  <si>
    <t>Other Income</t>
  </si>
  <si>
    <t>Gross Potential Rent</t>
  </si>
  <si>
    <t>Effective Gross Income</t>
  </si>
  <si>
    <t>Income</t>
  </si>
  <si>
    <t>Expenses</t>
  </si>
  <si>
    <t>Repairs &amp; Maintenance</t>
  </si>
  <si>
    <t>Payroll &amp; Admin</t>
  </si>
  <si>
    <t>Management Fees</t>
  </si>
  <si>
    <t>Variable Expenses</t>
  </si>
  <si>
    <t>Insurance</t>
  </si>
  <si>
    <t>Replacement Reserves</t>
  </si>
  <si>
    <t>Fixed Per Unit Expenses</t>
  </si>
  <si>
    <t>Taxes</t>
  </si>
  <si>
    <t>Loan Maturity Month</t>
  </si>
  <si>
    <t>balloon payment</t>
  </si>
  <si>
    <t>Select Custom Inputs in B25 and E25 to enable</t>
  </si>
  <si>
    <t>Loan Details</t>
  </si>
  <si>
    <t>Balloon Payment</t>
  </si>
  <si>
    <t>Monthly Payment (ignoring interest rate changes)</t>
  </si>
  <si>
    <t>Limits On Loan</t>
  </si>
  <si>
    <t>Maximum Loan for property</t>
  </si>
  <si>
    <t>Property Income</t>
  </si>
  <si>
    <t>Gross Potential Rent (historic)</t>
  </si>
  <si>
    <t>Annual Payments (monthly payment * 12)</t>
  </si>
  <si>
    <t>Net Operating Income</t>
  </si>
  <si>
    <t>Loan Amount</t>
  </si>
  <si>
    <t>Down Payment</t>
  </si>
  <si>
    <t>ARM Rate Adjustments</t>
  </si>
  <si>
    <t>Tax Rate</t>
  </si>
  <si>
    <t>Total Debt Service for year 1</t>
  </si>
  <si>
    <t>Appraised Value</t>
  </si>
  <si>
    <t>Purchase Price (including fees)</t>
  </si>
  <si>
    <t>Debt Service</t>
  </si>
  <si>
    <t>ARM</t>
  </si>
  <si>
    <t>Trailing 12 Months</t>
  </si>
  <si>
    <t>DSCR</t>
  </si>
  <si>
    <t>Per Unit expense growth</t>
  </si>
  <si>
    <t>Prepayment of Loan In $ (manual input to adjust for  prepayment of loan)</t>
  </si>
  <si>
    <t>Tax Expense Growth Rate</t>
  </si>
  <si>
    <t>Stress Test Debt</t>
  </si>
  <si>
    <t>Stress Test Inputs</t>
  </si>
  <si>
    <t>Values In debt terms and Limits on loan are not referenced directly from "Input Data" to allow for easier stress testing</t>
  </si>
  <si>
    <t>The values from Property Overview through Acquisition Assumptions are referenced directly from the sheet "Input Data" but can be altered without impacting all sheets colored green without harm to the original model</t>
  </si>
  <si>
    <t>Interest Rate Stress Test</t>
  </si>
  <si>
    <t>Rate Shock</t>
  </si>
  <si>
    <t>Activate interest rate shock?</t>
  </si>
  <si>
    <t>No</t>
  </si>
  <si>
    <t>Stressed rate increase</t>
  </si>
  <si>
    <t>Activate interest rate shock? (Will only activate if ARM is also selected in Stress Test Inputs)</t>
  </si>
  <si>
    <t>DSCR by year Unstressed</t>
  </si>
  <si>
    <t>Year 1</t>
  </si>
  <si>
    <t>Year 2</t>
  </si>
  <si>
    <t>Year 3</t>
  </si>
  <si>
    <t>Year 4</t>
  </si>
  <si>
    <t>DSCR by year Stressed</t>
  </si>
  <si>
    <t>Rent Growth Stress Test</t>
  </si>
  <si>
    <t>Revenue by year Unstressed</t>
  </si>
  <si>
    <t>Revenue by year stressed</t>
  </si>
  <si>
    <t>Rent Growth Shock (value should be negative)</t>
  </si>
  <si>
    <t>Binary on/off</t>
  </si>
  <si>
    <t>Table of changes in annual debt service at different rate shocks for year 1</t>
  </si>
  <si>
    <t>Rate Shock (should be positive)</t>
  </si>
  <si>
    <t>Debt service at 2% rate shock</t>
  </si>
  <si>
    <t>Debt service</t>
  </si>
  <si>
    <t>Table of changes in annual debt service at different rate shocks for year 2</t>
  </si>
  <si>
    <t>Model On if Green, Off if Red</t>
  </si>
  <si>
    <t>If Amortization is 0 years (a non-amortizing loan), set the pmt to the interest amount, if it is not 0, check if both the remaining balance is less than or equal to 0 and the month count has not exceeded that of the loan duration, if either of those is true, set payment to 0, if false, check for both if the month of the payment is the same as the last month of loan duration and that the amortization length is longer than the loan duration. if both are true, the full balance plus interest is due. If false, check if the loan is a FRM or ARM loan, if it is FRM, calculate the PMT,  if it is not, will be  an ARM, using the A column, read when to adjust interest rates)</t>
  </si>
  <si>
    <t>1. Check if the loan is non-amortizing, and set PMT value to monthly Interest due if it is</t>
  </si>
  <si>
    <t>2. Check if the loan has been paid off or the final payment period has ended, if either is true, set the pmt to 0</t>
  </si>
  <si>
    <t>3. if the loan is in its last month of the term, check if a balloon payment is needed, and add that to the payment for the month</t>
  </si>
  <si>
    <t>4. check if loan is FRM or ARM</t>
  </si>
  <si>
    <t>5. If FRM, calculate the pmt using the given interest rate, Amortization rate, and months beginning balance for each month</t>
  </si>
  <si>
    <t>6. If ARM, each month check if the interest rate has been set to change in column A</t>
  </si>
  <si>
    <t>7. If it has changed, recalculate the pmt adjusting for the remaining months in the loan, and new interest rate</t>
  </si>
  <si>
    <t>8. if the rate has not changed, repeat the same payment as the previous month</t>
  </si>
  <si>
    <t>PMT calculator explained in english</t>
  </si>
  <si>
    <t>PMT Calculator explained in logical steps</t>
  </si>
  <si>
    <t>NOI</t>
  </si>
  <si>
    <t>Table of changes in NOI at different revenue Growth rates for year 1</t>
  </si>
  <si>
    <t>Table of changes in NOI at different revenue Growth rates for year 2</t>
  </si>
  <si>
    <t>Stress Tests can interact with each other, make sure only the ones you need are activated at any given time</t>
  </si>
  <si>
    <t>Vacancy Stress Test</t>
  </si>
  <si>
    <t>Table of changes in Vacancy Loss at different revenue Growth rates for year 1</t>
  </si>
  <si>
    <t>Exit Cap Rate</t>
  </si>
  <si>
    <t>Year 5 (For Forward Cap Rate Only)</t>
  </si>
  <si>
    <t>Selling Cost (as a % of sale)</t>
  </si>
  <si>
    <t>Cap Rate</t>
  </si>
  <si>
    <t>Year 5 Exit Cap Rate</t>
  </si>
  <si>
    <t>Exit Price</t>
  </si>
  <si>
    <t>Exit Price at exit cap rate and year 5 NOI</t>
  </si>
  <si>
    <t>Exit Cap Rate Stress Test</t>
  </si>
  <si>
    <t>Yes</t>
  </si>
  <si>
    <t>Exit Cap Rate Shock (value should be positive)</t>
  </si>
  <si>
    <t>Custom Loan Length (Years)</t>
  </si>
  <si>
    <t>Custom Amortization Period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</si>
</sst>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0.00&quot;x&quot;"/>
    <numFmt numFmtId="165" formatCode="0&quot; Years&quot;"/>
    <numFmt numFmtId="166" formatCode="0&quot; Year&quot;"/>
    <numFmt numFmtId="167" formatCode="_(&quot;$&quot;* #,##0_);_(&quot;$&quot;* \(#,##0\);_(&quot;$&quot;* &quot;-&quot;??_);_(@_)"/>
    <numFmt numFmtId="168" formatCode="0.0%"/>
  </numFmts>
  <fonts count="9" x14ac:knownFonts="1">
    <font>
      <sz val="11"/>
      <color theme="1"/>
      <name val="Calibri"/>
      <family val="2"/>
      <scheme val="minor"/>
    </font>
    <font>
      <sz val="11"/>
      <color theme="1"/>
      <name val="Calibri"/>
      <family val="2"/>
      <scheme val="minor"/>
    </font>
    <font>
      <b/>
      <sz val="14"/>
      <color theme="1"/>
      <name val="Calibri"/>
      <family val="2"/>
      <scheme val="minor"/>
    </font>
    <font>
      <b/>
      <sz val="18"/>
      <color theme="1"/>
      <name val="Calibri"/>
      <family val="2"/>
      <scheme val="minor"/>
    </font>
    <font>
      <b/>
      <sz val="11"/>
      <color theme="1"/>
      <name val="Calibri"/>
      <family val="2"/>
      <scheme val="minor"/>
    </font>
    <font>
      <b/>
      <sz val="12"/>
      <color theme="1"/>
      <name val="Calibri"/>
      <family val="2"/>
      <scheme val="minor"/>
    </font>
    <font>
      <sz val="10"/>
      <color theme="1"/>
      <name val="Calibri"/>
      <family val="2"/>
      <scheme val="minor"/>
    </font>
    <font>
      <sz val="8"/>
      <name val="Calibri"/>
      <family val="2"/>
      <scheme val="minor"/>
    </font>
    <font>
      <b/>
      <sz val="28"/>
      <color theme="1"/>
      <name val="Calibri"/>
      <family val="2"/>
      <scheme val="minor"/>
    </font>
  </fonts>
  <fills count="11">
    <fill>
      <patternFill patternType="none"/>
    </fill>
    <fill>
      <patternFill patternType="gray125"/>
    </fill>
    <fill>
      <patternFill patternType="solid">
        <fgColor theme="4"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5" tint="0.39997558519241921"/>
        <bgColor indexed="64"/>
      </patternFill>
    </fill>
    <fill>
      <patternFill patternType="solid">
        <fgColor theme="7"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91">
    <xf numFmtId="0" fontId="0" fillId="0" borderId="0" xfId="0"/>
    <xf numFmtId="9" fontId="0" fillId="0" borderId="0" xfId="0" applyNumberFormat="1"/>
    <xf numFmtId="10" fontId="0" fillId="0" borderId="0" xfId="0" applyNumberFormat="1"/>
    <xf numFmtId="0" fontId="0" fillId="2" borderId="2" xfId="0" applyFill="1" applyBorder="1" applyAlignment="1">
      <alignment horizontal="center"/>
    </xf>
    <xf numFmtId="0" fontId="0" fillId="2" borderId="3" xfId="0" applyFill="1" applyBorder="1" applyAlignment="1">
      <alignment horizontal="center"/>
    </xf>
    <xf numFmtId="9" fontId="0" fillId="2" borderId="3" xfId="0" applyNumberFormat="1" applyFill="1" applyBorder="1" applyAlignment="1">
      <alignment horizontal="center"/>
    </xf>
    <xf numFmtId="0" fontId="0" fillId="2" borderId="8" xfId="0" applyFill="1" applyBorder="1" applyAlignment="1">
      <alignment horizontal="center"/>
    </xf>
    <xf numFmtId="44" fontId="0" fillId="0" borderId="0" xfId="1" applyFont="1"/>
    <xf numFmtId="10" fontId="0" fillId="0" borderId="0" xfId="2" applyNumberFormat="1" applyFont="1"/>
    <xf numFmtId="44" fontId="0" fillId="0" borderId="0" xfId="0" applyNumberFormat="1"/>
    <xf numFmtId="1" fontId="0" fillId="0" borderId="0" xfId="0" applyNumberFormat="1"/>
    <xf numFmtId="0" fontId="0" fillId="2" borderId="5" xfId="0" applyFill="1" applyBorder="1" applyAlignment="1">
      <alignment horizontal="center"/>
    </xf>
    <xf numFmtId="0" fontId="0" fillId="2" borderId="7" xfId="0" applyFill="1" applyBorder="1" applyAlignment="1">
      <alignment horizontal="center"/>
    </xf>
    <xf numFmtId="0" fontId="0" fillId="2" borderId="9" xfId="0" applyFill="1" applyBorder="1" applyAlignment="1">
      <alignment horizontal="center"/>
    </xf>
    <xf numFmtId="0" fontId="5" fillId="0" borderId="0" xfId="0" applyFont="1"/>
    <xf numFmtId="0" fontId="0" fillId="0" borderId="6" xfId="0" applyBorder="1"/>
    <xf numFmtId="44" fontId="0" fillId="0" borderId="6" xfId="0" applyNumberFormat="1" applyBorder="1"/>
    <xf numFmtId="0" fontId="2" fillId="0" borderId="0" xfId="0" applyFont="1"/>
    <xf numFmtId="167" fontId="0" fillId="0" borderId="0" xfId="0" applyNumberFormat="1"/>
    <xf numFmtId="167" fontId="0" fillId="0" borderId="0" xfId="1" applyNumberFormat="1" applyFont="1" applyFill="1"/>
    <xf numFmtId="167" fontId="0" fillId="0" borderId="0" xfId="1" applyNumberFormat="1" applyFont="1"/>
    <xf numFmtId="0" fontId="0" fillId="0" borderId="5" xfId="0" applyBorder="1"/>
    <xf numFmtId="0" fontId="0" fillId="0" borderId="7" xfId="0" applyBorder="1"/>
    <xf numFmtId="0" fontId="0" fillId="0" borderId="8" xfId="0" applyBorder="1"/>
    <xf numFmtId="167" fontId="0" fillId="0" borderId="9" xfId="1" applyNumberFormat="1" applyFont="1" applyBorder="1"/>
    <xf numFmtId="2" fontId="0" fillId="0" borderId="0" xfId="0" applyNumberFormat="1"/>
    <xf numFmtId="44" fontId="0" fillId="2" borderId="8" xfId="1" applyFont="1" applyFill="1" applyBorder="1" applyAlignment="1">
      <alignment horizontal="center"/>
    </xf>
    <xf numFmtId="44" fontId="0" fillId="2" borderId="9" xfId="1" applyFont="1" applyFill="1" applyBorder="1" applyAlignment="1">
      <alignment horizontal="center"/>
    </xf>
    <xf numFmtId="0" fontId="0" fillId="3" borderId="0" xfId="0" applyFill="1"/>
    <xf numFmtId="0" fontId="5" fillId="3" borderId="0" xfId="0" applyFont="1" applyFill="1"/>
    <xf numFmtId="0" fontId="4" fillId="3" borderId="0" xfId="0" applyFont="1" applyFill="1"/>
    <xf numFmtId="0" fontId="0" fillId="4" borderId="10" xfId="0" applyFill="1" applyBorder="1"/>
    <xf numFmtId="0" fontId="0" fillId="4" borderId="11" xfId="0" applyFill="1" applyBorder="1"/>
    <xf numFmtId="1" fontId="0" fillId="4" borderId="5" xfId="0" applyNumberFormat="1" applyFill="1" applyBorder="1"/>
    <xf numFmtId="10" fontId="0" fillId="4" borderId="7" xfId="2" applyNumberFormat="1" applyFont="1" applyFill="1" applyBorder="1"/>
    <xf numFmtId="1" fontId="0" fillId="4" borderId="10" xfId="0" applyNumberFormat="1" applyFill="1" applyBorder="1"/>
    <xf numFmtId="10" fontId="0" fillId="4" borderId="11" xfId="2" applyNumberFormat="1" applyFont="1" applyFill="1" applyBorder="1"/>
    <xf numFmtId="1" fontId="0" fillId="4" borderId="8" xfId="0" applyNumberFormat="1" applyFill="1" applyBorder="1"/>
    <xf numFmtId="10" fontId="0" fillId="4" borderId="9" xfId="2" applyNumberFormat="1" applyFont="1" applyFill="1" applyBorder="1"/>
    <xf numFmtId="0" fontId="0" fillId="2" borderId="5" xfId="0" applyFill="1" applyBorder="1"/>
    <xf numFmtId="0" fontId="0" fillId="2" borderId="6" xfId="0" applyFill="1" applyBorder="1"/>
    <xf numFmtId="0" fontId="0" fillId="2" borderId="7" xfId="0" applyFill="1" applyBorder="1"/>
    <xf numFmtId="0" fontId="0" fillId="2" borderId="6" xfId="0" applyFill="1" applyBorder="1" applyAlignment="1">
      <alignment horizontal="center"/>
    </xf>
    <xf numFmtId="10" fontId="0" fillId="2" borderId="8" xfId="2" applyNumberFormat="1" applyFont="1" applyFill="1" applyBorder="1" applyAlignment="1">
      <alignment horizontal="center"/>
    </xf>
    <xf numFmtId="10" fontId="0" fillId="2" borderId="3" xfId="2" applyNumberFormat="1" applyFont="1" applyFill="1" applyBorder="1" applyAlignment="1">
      <alignment horizontal="center"/>
    </xf>
    <xf numFmtId="10" fontId="0" fillId="2" borderId="9" xfId="2" applyNumberFormat="1" applyFont="1" applyFill="1" applyBorder="1" applyAlignment="1">
      <alignment horizontal="center"/>
    </xf>
    <xf numFmtId="44" fontId="0" fillId="2" borderId="4" xfId="1" applyFont="1" applyFill="1" applyBorder="1" applyAlignment="1">
      <alignment horizontal="center"/>
    </xf>
    <xf numFmtId="9" fontId="0" fillId="2" borderId="3" xfId="1" applyNumberFormat="1" applyFont="1" applyFill="1" applyBorder="1" applyAlignment="1">
      <alignment horizontal="center"/>
    </xf>
    <xf numFmtId="0" fontId="0" fillId="2" borderId="1" xfId="0" applyFill="1" applyBorder="1"/>
    <xf numFmtId="9" fontId="0" fillId="2" borderId="4" xfId="0" applyNumberFormat="1" applyFill="1" applyBorder="1" applyAlignment="1">
      <alignment horizontal="center"/>
    </xf>
    <xf numFmtId="9" fontId="0" fillId="2" borderId="9" xfId="0" applyNumberFormat="1" applyFill="1" applyBorder="1" applyAlignment="1">
      <alignment horizontal="center"/>
    </xf>
    <xf numFmtId="10" fontId="0" fillId="2" borderId="9" xfId="0" applyNumberFormat="1" applyFill="1" applyBorder="1" applyAlignment="1">
      <alignment horizontal="center"/>
    </xf>
    <xf numFmtId="0" fontId="0" fillId="2" borderId="4" xfId="0" applyFill="1" applyBorder="1" applyAlignment="1">
      <alignment horizontal="center"/>
    </xf>
    <xf numFmtId="166" fontId="0" fillId="2" borderId="8" xfId="0" applyNumberFormat="1" applyFill="1" applyBorder="1" applyAlignment="1">
      <alignment horizontal="center"/>
    </xf>
    <xf numFmtId="10" fontId="0" fillId="2" borderId="4" xfId="2" applyNumberFormat="1" applyFont="1" applyFill="1" applyBorder="1" applyAlignment="1">
      <alignment horizontal="center"/>
    </xf>
    <xf numFmtId="165" fontId="0" fillId="2" borderId="9" xfId="0" applyNumberFormat="1" applyFill="1" applyBorder="1" applyAlignment="1">
      <alignment horizontal="center"/>
    </xf>
    <xf numFmtId="164" fontId="0" fillId="2" borderId="8" xfId="2" applyNumberFormat="1" applyFont="1" applyFill="1" applyBorder="1" applyAlignment="1">
      <alignment horizontal="center"/>
    </xf>
    <xf numFmtId="9" fontId="0" fillId="2" borderId="8" xfId="2" applyFont="1" applyFill="1" applyBorder="1" applyAlignment="1">
      <alignment horizontal="center"/>
    </xf>
    <xf numFmtId="168" fontId="0" fillId="2" borderId="8" xfId="2" applyNumberFormat="1" applyFont="1" applyFill="1" applyBorder="1" applyAlignment="1">
      <alignment horizontal="center"/>
    </xf>
    <xf numFmtId="167" fontId="0" fillId="2" borderId="8" xfId="1" applyNumberFormat="1" applyFont="1" applyFill="1" applyBorder="1" applyAlignment="1">
      <alignment horizontal="center"/>
    </xf>
    <xf numFmtId="9" fontId="0" fillId="2" borderId="4" xfId="2" applyFont="1" applyFill="1" applyBorder="1" applyAlignment="1">
      <alignment horizontal="center"/>
    </xf>
    <xf numFmtId="9" fontId="0" fillId="2" borderId="9" xfId="2" applyFont="1" applyFill="1" applyBorder="1" applyAlignment="1">
      <alignment horizontal="center"/>
    </xf>
    <xf numFmtId="9" fontId="0" fillId="4" borderId="5" xfId="2" applyFont="1" applyFill="1" applyBorder="1"/>
    <xf numFmtId="2" fontId="0" fillId="0" borderId="0" xfId="2" applyNumberFormat="1" applyFont="1"/>
    <xf numFmtId="0" fontId="0" fillId="0" borderId="11" xfId="0" applyBorder="1"/>
    <xf numFmtId="0" fontId="2" fillId="6" borderId="5" xfId="0" applyFont="1" applyFill="1" applyBorder="1"/>
    <xf numFmtId="0" fontId="0" fillId="6" borderId="6" xfId="0" applyFill="1" applyBorder="1"/>
    <xf numFmtId="0" fontId="0" fillId="6" borderId="7" xfId="0" applyFill="1" applyBorder="1"/>
    <xf numFmtId="0" fontId="0" fillId="6" borderId="10" xfId="0" applyFill="1" applyBorder="1"/>
    <xf numFmtId="9" fontId="0" fillId="6" borderId="0" xfId="0" applyNumberFormat="1" applyFill="1"/>
    <xf numFmtId="0" fontId="0" fillId="6" borderId="0" xfId="0" applyFill="1"/>
    <xf numFmtId="0" fontId="0" fillId="6" borderId="11" xfId="0" applyFill="1" applyBorder="1"/>
    <xf numFmtId="0" fontId="0" fillId="6" borderId="10" xfId="0" applyFill="1" applyBorder="1" applyAlignment="1">
      <alignment wrapText="1"/>
    </xf>
    <xf numFmtId="44" fontId="5" fillId="6" borderId="0" xfId="1" applyFont="1" applyFill="1" applyBorder="1"/>
    <xf numFmtId="0" fontId="0" fillId="6" borderId="8" xfId="0" applyFill="1" applyBorder="1"/>
    <xf numFmtId="10" fontId="0" fillId="6" borderId="4" xfId="0" applyNumberFormat="1" applyFill="1" applyBorder="1"/>
    <xf numFmtId="0" fontId="0" fillId="6" borderId="4" xfId="0" applyFill="1" applyBorder="1"/>
    <xf numFmtId="0" fontId="0" fillId="6" borderId="9" xfId="0" applyFill="1" applyBorder="1"/>
    <xf numFmtId="0" fontId="2" fillId="5" borderId="5" xfId="0" applyFont="1" applyFill="1" applyBorder="1"/>
    <xf numFmtId="0" fontId="0" fillId="5" borderId="6" xfId="0" applyFill="1" applyBorder="1"/>
    <xf numFmtId="0" fontId="0" fillId="5" borderId="7" xfId="0" applyFill="1" applyBorder="1"/>
    <xf numFmtId="0" fontId="0" fillId="5" borderId="10" xfId="0" applyFill="1" applyBorder="1"/>
    <xf numFmtId="9" fontId="0" fillId="5" borderId="0" xfId="0" applyNumberFormat="1" applyFill="1"/>
    <xf numFmtId="0" fontId="0" fillId="5" borderId="0" xfId="0" applyFill="1"/>
    <xf numFmtId="0" fontId="0" fillId="5" borderId="11" xfId="0" applyFill="1" applyBorder="1"/>
    <xf numFmtId="0" fontId="0" fillId="5" borderId="8" xfId="0" applyFill="1" applyBorder="1" applyAlignment="1">
      <alignment wrapText="1"/>
    </xf>
    <xf numFmtId="44" fontId="5" fillId="5" borderId="4" xfId="1" applyFont="1" applyFill="1" applyBorder="1"/>
    <xf numFmtId="0" fontId="0" fillId="5" borderId="4" xfId="0" applyFill="1" applyBorder="1"/>
    <xf numFmtId="0" fontId="0" fillId="5" borderId="9" xfId="0" applyFill="1" applyBorder="1"/>
    <xf numFmtId="0" fontId="0" fillId="0" borderId="0" xfId="0" applyAlignment="1">
      <alignment horizontal="center"/>
    </xf>
    <xf numFmtId="0" fontId="0" fillId="0" borderId="12" xfId="0" applyBorder="1"/>
    <xf numFmtId="44" fontId="0" fillId="0" borderId="13" xfId="0" applyNumberFormat="1" applyBorder="1"/>
    <xf numFmtId="9" fontId="0" fillId="0" borderId="5" xfId="0" applyNumberFormat="1" applyBorder="1"/>
    <xf numFmtId="9" fontId="0" fillId="0" borderId="10" xfId="0" applyNumberFormat="1" applyBorder="1"/>
    <xf numFmtId="44" fontId="0" fillId="0" borderId="11" xfId="1" applyFont="1" applyBorder="1"/>
    <xf numFmtId="9" fontId="0" fillId="0" borderId="8" xfId="0" applyNumberFormat="1" applyBorder="1"/>
    <xf numFmtId="44" fontId="0" fillId="0" borderId="2" xfId="1" applyFont="1" applyBorder="1"/>
    <xf numFmtId="44" fontId="0" fillId="0" borderId="14" xfId="1" applyFont="1" applyBorder="1"/>
    <xf numFmtId="44" fontId="0" fillId="0" borderId="3" xfId="1" applyFont="1" applyBorder="1"/>
    <xf numFmtId="0" fontId="0" fillId="7" borderId="0" xfId="0" applyFill="1"/>
    <xf numFmtId="10" fontId="0" fillId="0" borderId="8" xfId="0" applyNumberFormat="1" applyBorder="1"/>
    <xf numFmtId="10" fontId="0" fillId="0" borderId="10" xfId="0" applyNumberFormat="1" applyBorder="1"/>
    <xf numFmtId="10" fontId="0" fillId="0" borderId="5" xfId="0" applyNumberFormat="1" applyBorder="1"/>
    <xf numFmtId="44" fontId="0" fillId="0" borderId="11" xfId="0" applyNumberFormat="1" applyBorder="1"/>
    <xf numFmtId="44" fontId="0" fillId="0" borderId="7" xfId="0" applyNumberFormat="1" applyBorder="1"/>
    <xf numFmtId="2" fontId="0" fillId="0" borderId="11" xfId="0" applyNumberFormat="1" applyBorder="1"/>
    <xf numFmtId="0" fontId="0" fillId="8" borderId="0" xfId="0" applyFill="1"/>
    <xf numFmtId="0" fontId="0" fillId="9" borderId="0" xfId="0" applyFill="1"/>
    <xf numFmtId="0" fontId="8" fillId="9" borderId="0" xfId="0" applyFont="1" applyFill="1"/>
    <xf numFmtId="167" fontId="0" fillId="9" borderId="0" xfId="0" applyNumberFormat="1" applyFill="1"/>
    <xf numFmtId="44" fontId="0" fillId="9" borderId="0" xfId="1" applyFont="1" applyFill="1"/>
    <xf numFmtId="0" fontId="0" fillId="0" borderId="1" xfId="0" applyBorder="1"/>
    <xf numFmtId="167" fontId="0" fillId="0" borderId="1" xfId="0" applyNumberFormat="1" applyBorder="1"/>
    <xf numFmtId="10" fontId="0" fillId="0" borderId="1" xfId="0" applyNumberFormat="1" applyBorder="1"/>
    <xf numFmtId="1" fontId="0" fillId="0" borderId="1" xfId="0" applyNumberFormat="1" applyBorder="1"/>
    <xf numFmtId="167" fontId="0" fillId="0" borderId="1" xfId="1" applyNumberFormat="1" applyFont="1" applyFill="1" applyBorder="1"/>
    <xf numFmtId="10" fontId="0" fillId="0" borderId="1" xfId="2" applyNumberFormat="1" applyFont="1" applyFill="1" applyBorder="1"/>
    <xf numFmtId="167" fontId="0" fillId="0" borderId="9" xfId="1" applyNumberFormat="1" applyFont="1" applyFill="1" applyBorder="1"/>
    <xf numFmtId="0" fontId="3" fillId="9" borderId="4" xfId="0" applyFont="1" applyFill="1" applyBorder="1" applyAlignment="1">
      <alignment horizontal="center"/>
    </xf>
    <xf numFmtId="44" fontId="0" fillId="9" borderId="0" xfId="0" applyNumberFormat="1" applyFill="1" applyAlignment="1">
      <alignment horizontal="center"/>
    </xf>
    <xf numFmtId="0" fontId="0" fillId="9" borderId="0" xfId="0" applyFill="1" applyAlignment="1">
      <alignment horizontal="center"/>
    </xf>
    <xf numFmtId="0" fontId="4" fillId="9" borderId="0" xfId="0" applyFont="1" applyFill="1"/>
    <xf numFmtId="0" fontId="5" fillId="9" borderId="0" xfId="0" applyFont="1" applyFill="1"/>
    <xf numFmtId="0" fontId="3" fillId="9" borderId="0" xfId="0" applyFont="1" applyFill="1" applyAlignment="1">
      <alignment horizontal="center"/>
    </xf>
    <xf numFmtId="0" fontId="0" fillId="9" borderId="0" xfId="0" applyFill="1" applyAlignment="1">
      <alignment horizontal="center" wrapText="1"/>
    </xf>
    <xf numFmtId="0" fontId="4" fillId="0" borderId="5" xfId="0" applyFont="1" applyBorder="1"/>
    <xf numFmtId="0" fontId="2" fillId="10" borderId="5" xfId="0" applyFont="1" applyFill="1" applyBorder="1"/>
    <xf numFmtId="0" fontId="0" fillId="10" borderId="6" xfId="0" applyFill="1" applyBorder="1"/>
    <xf numFmtId="0" fontId="0" fillId="10" borderId="7" xfId="0" applyFill="1" applyBorder="1"/>
    <xf numFmtId="0" fontId="0" fillId="10" borderId="10" xfId="0" applyFill="1" applyBorder="1"/>
    <xf numFmtId="9" fontId="0" fillId="10" borderId="0" xfId="0" applyNumberFormat="1" applyFill="1"/>
    <xf numFmtId="0" fontId="0" fillId="10" borderId="0" xfId="0" applyFill="1"/>
    <xf numFmtId="0" fontId="0" fillId="10" borderId="11" xfId="0" applyFill="1" applyBorder="1"/>
    <xf numFmtId="0" fontId="0" fillId="10" borderId="8" xfId="0" applyFill="1" applyBorder="1" applyAlignment="1">
      <alignment wrapText="1"/>
    </xf>
    <xf numFmtId="44" fontId="5" fillId="10" borderId="4" xfId="1" applyFont="1" applyFill="1" applyBorder="1"/>
    <xf numFmtId="0" fontId="0" fillId="10" borderId="4" xfId="0" applyFill="1" applyBorder="1"/>
    <xf numFmtId="0" fontId="0" fillId="10" borderId="9" xfId="0" applyFill="1" applyBorder="1"/>
    <xf numFmtId="0" fontId="2" fillId="4" borderId="5" xfId="0" applyFont="1" applyFill="1" applyBorder="1"/>
    <xf numFmtId="0" fontId="0" fillId="4" borderId="6" xfId="0" applyFill="1" applyBorder="1"/>
    <xf numFmtId="0" fontId="0" fillId="4" borderId="7" xfId="0" applyFill="1" applyBorder="1"/>
    <xf numFmtId="10" fontId="0" fillId="4" borderId="0" xfId="0" applyNumberFormat="1" applyFill="1"/>
    <xf numFmtId="0" fontId="0" fillId="4" borderId="0" xfId="0" applyFill="1"/>
    <xf numFmtId="0" fontId="0" fillId="4" borderId="8" xfId="0" applyFill="1" applyBorder="1" applyAlignment="1">
      <alignment wrapText="1"/>
    </xf>
    <xf numFmtId="44" fontId="5" fillId="4" borderId="4" xfId="1" applyFont="1" applyFill="1" applyBorder="1"/>
    <xf numFmtId="0" fontId="0" fillId="4" borderId="4" xfId="0" applyFill="1" applyBorder="1"/>
    <xf numFmtId="0" fontId="0" fillId="4" borderId="9" xfId="0" applyFill="1" applyBorder="1"/>
    <xf numFmtId="0" fontId="6" fillId="2" borderId="12" xfId="0" applyFont="1" applyFill="1" applyBorder="1" applyAlignment="1">
      <alignment horizontal="right"/>
    </xf>
    <xf numFmtId="0" fontId="6" fillId="2" borderId="13" xfId="0" applyFont="1" applyFill="1" applyBorder="1" applyAlignment="1">
      <alignment horizontal="right"/>
    </xf>
    <xf numFmtId="0" fontId="2" fillId="4" borderId="5" xfId="0" applyFont="1" applyFill="1" applyBorder="1" applyAlignment="1">
      <alignment horizontal="center"/>
    </xf>
    <xf numFmtId="0" fontId="2" fillId="4" borderId="7" xfId="0" applyFont="1" applyFill="1" applyBorder="1" applyAlignment="1">
      <alignment horizontal="center"/>
    </xf>
    <xf numFmtId="0" fontId="0" fillId="2" borderId="5" xfId="0" applyFill="1" applyBorder="1" applyAlignment="1">
      <alignment horizontal="center"/>
    </xf>
    <xf numFmtId="0" fontId="0" fillId="2" borderId="6" xfId="0" applyFill="1" applyBorder="1" applyAlignment="1">
      <alignment horizontal="center"/>
    </xf>
    <xf numFmtId="44" fontId="0" fillId="2" borderId="8" xfId="1" applyFont="1" applyFill="1" applyBorder="1" applyAlignment="1">
      <alignment horizontal="center"/>
    </xf>
    <xf numFmtId="44" fontId="0" fillId="2" borderId="4" xfId="1" applyFont="1" applyFill="1" applyBorder="1" applyAlignment="1">
      <alignment horizontal="center"/>
    </xf>
    <xf numFmtId="0" fontId="0" fillId="2" borderId="7" xfId="0" applyFill="1" applyBorder="1" applyAlignment="1">
      <alignment horizontal="center"/>
    </xf>
    <xf numFmtId="44" fontId="0" fillId="2" borderId="9" xfId="1" applyFont="1" applyFill="1" applyBorder="1" applyAlignment="1">
      <alignment horizontal="center"/>
    </xf>
    <xf numFmtId="0" fontId="3" fillId="3" borderId="4" xfId="0" applyFont="1" applyFill="1" applyBorder="1" applyAlignment="1">
      <alignment horizontal="center"/>
    </xf>
    <xf numFmtId="0" fontId="3" fillId="3" borderId="0" xfId="0" applyFont="1" applyFill="1" applyAlignment="1">
      <alignment horizontal="center"/>
    </xf>
    <xf numFmtId="9" fontId="0" fillId="2" borderId="8" xfId="0" applyNumberFormat="1" applyFill="1" applyBorder="1" applyAlignment="1">
      <alignment horizontal="center"/>
    </xf>
    <xf numFmtId="9" fontId="0" fillId="2" borderId="4" xfId="0" applyNumberFormat="1" applyFill="1" applyBorder="1" applyAlignment="1">
      <alignment horizontal="center"/>
    </xf>
    <xf numFmtId="9" fontId="0" fillId="2" borderId="9" xfId="0" applyNumberFormat="1" applyFill="1" applyBorder="1" applyAlignment="1">
      <alignment horizontal="center"/>
    </xf>
    <xf numFmtId="0" fontId="0" fillId="2" borderId="8" xfId="0" applyFill="1" applyBorder="1" applyAlignment="1">
      <alignment horizontal="center"/>
    </xf>
    <xf numFmtId="0" fontId="0" fillId="2" borderId="9" xfId="0" applyFill="1" applyBorder="1" applyAlignment="1">
      <alignment horizontal="center"/>
    </xf>
    <xf numFmtId="10" fontId="0" fillId="2" borderId="8" xfId="2" applyNumberFormat="1" applyFont="1" applyFill="1" applyBorder="1" applyAlignment="1">
      <alignment horizontal="center"/>
    </xf>
    <xf numFmtId="10" fontId="0" fillId="2" borderId="9" xfId="2" applyNumberFormat="1" applyFont="1" applyFill="1" applyBorder="1" applyAlignment="1">
      <alignment horizontal="center"/>
    </xf>
    <xf numFmtId="44" fontId="0" fillId="3" borderId="0" xfId="0" applyNumberFormat="1" applyFill="1" applyAlignment="1">
      <alignment horizontal="center"/>
    </xf>
    <xf numFmtId="0" fontId="4" fillId="3" borderId="0" xfId="0" applyFont="1" applyFill="1" applyAlignment="1">
      <alignment horizontal="center"/>
    </xf>
    <xf numFmtId="0" fontId="0" fillId="3" borderId="0" xfId="0" applyFill="1" applyAlignment="1">
      <alignment horizontal="center" wrapText="1"/>
    </xf>
    <xf numFmtId="0" fontId="0" fillId="3" borderId="0" xfId="0" applyFill="1" applyAlignment="1">
      <alignment horizontal="center"/>
    </xf>
    <xf numFmtId="0" fontId="0" fillId="0" borderId="10" xfId="0" applyBorder="1" applyAlignment="1">
      <alignment horizontal="center" wrapText="1"/>
    </xf>
    <xf numFmtId="0" fontId="0" fillId="0" borderId="0" xfId="0" applyAlignment="1">
      <alignment horizontal="center" wrapText="1"/>
    </xf>
    <xf numFmtId="0" fontId="0" fillId="0" borderId="11" xfId="0" applyBorder="1" applyAlignment="1">
      <alignment horizontal="center" wrapText="1"/>
    </xf>
    <xf numFmtId="0" fontId="0" fillId="0" borderId="8" xfId="0" applyBorder="1" applyAlignment="1">
      <alignment horizontal="center" wrapText="1"/>
    </xf>
    <xf numFmtId="0" fontId="0" fillId="0" borderId="4" xfId="0" applyBorder="1" applyAlignment="1">
      <alignment horizontal="center" wrapText="1"/>
    </xf>
    <xf numFmtId="0" fontId="0" fillId="0" borderId="9" xfId="0" applyBorder="1" applyAlignment="1">
      <alignment horizontal="center" wrapText="1"/>
    </xf>
    <xf numFmtId="0" fontId="4" fillId="0" borderId="5" xfId="0" applyFont="1" applyBorder="1" applyAlignment="1">
      <alignment horizontal="center"/>
    </xf>
    <xf numFmtId="0" fontId="4" fillId="0" borderId="6" xfId="0" applyFont="1" applyBorder="1" applyAlignment="1">
      <alignment horizontal="center"/>
    </xf>
    <xf numFmtId="0" fontId="4" fillId="0" borderId="7" xfId="0" applyFont="1" applyBorder="1" applyAlignment="1">
      <alignment horizontal="center"/>
    </xf>
    <xf numFmtId="0" fontId="6" fillId="0" borderId="10" xfId="0" applyFont="1" applyBorder="1" applyAlignment="1">
      <alignment horizontal="center"/>
    </xf>
    <xf numFmtId="0" fontId="6" fillId="0" borderId="0" xfId="0" applyFont="1" applyAlignment="1">
      <alignment horizontal="center"/>
    </xf>
    <xf numFmtId="0" fontId="6" fillId="0" borderId="11" xfId="0" applyFont="1" applyBorder="1" applyAlignment="1">
      <alignment horizontal="center"/>
    </xf>
    <xf numFmtId="0" fontId="6" fillId="0" borderId="8" xfId="0" applyFont="1" applyBorder="1" applyAlignment="1">
      <alignment horizontal="center"/>
    </xf>
    <xf numFmtId="0" fontId="6" fillId="0" borderId="4" xfId="0" applyFont="1" applyBorder="1" applyAlignment="1">
      <alignment horizontal="center"/>
    </xf>
    <xf numFmtId="0" fontId="6" fillId="0" borderId="9" xfId="0" applyFont="1" applyBorder="1" applyAlignment="1">
      <alignment horizontal="center"/>
    </xf>
    <xf numFmtId="0" fontId="4" fillId="9" borderId="0" xfId="0" applyFont="1" applyFill="1" applyAlignment="1">
      <alignment horizontal="center"/>
    </xf>
    <xf numFmtId="0" fontId="0" fillId="9" borderId="0" xfId="0" applyFill="1" applyAlignment="1">
      <alignment horizontal="center" wrapText="1"/>
    </xf>
    <xf numFmtId="0" fontId="0" fillId="5" borderId="0" xfId="0" applyFill="1" applyAlignment="1">
      <alignment horizontal="center" wrapText="1"/>
    </xf>
    <xf numFmtId="0" fontId="6" fillId="2" borderId="12" xfId="0" applyFont="1" applyFill="1" applyBorder="1" applyAlignment="1">
      <alignment horizontal="center"/>
    </xf>
    <xf numFmtId="0" fontId="6" fillId="2" borderId="13" xfId="0" applyFont="1" applyFill="1" applyBorder="1" applyAlignment="1">
      <alignment horizontal="center"/>
    </xf>
    <xf numFmtId="0" fontId="5" fillId="3" borderId="4" xfId="0" applyFont="1" applyFill="1" applyBorder="1" applyAlignment="1">
      <alignment horizontal="center"/>
    </xf>
    <xf numFmtId="0" fontId="0" fillId="0" borderId="0" xfId="0" applyAlignment="1">
      <alignment horizontal="center"/>
    </xf>
  </cellXfs>
  <cellStyles count="3">
    <cellStyle name="Currency" xfId="1" builtinId="4"/>
    <cellStyle name="Normal" xfId="0" builtinId="0"/>
    <cellStyle name="Percent" xfId="2" builtinId="5"/>
  </cellStyles>
  <dxfs count="28">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ill>
        <patternFill>
          <bgColor rgb="FFFF000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sheetPr>
  <dimension ref="A1:AG68"/>
  <sheetViews>
    <sheetView showGridLines="0" zoomScale="85" zoomScaleNormal="85" workbookViewId="0">
      <selection activeCell="F28" sqref="F28:G28"/>
    </sheetView>
  </sheetViews>
  <sheetFormatPr defaultColWidth="9.28515625" defaultRowHeight="15" x14ac:dyDescent="0.25"/>
  <cols>
    <col min="2" max="2" width="28.7109375" bestFit="1" customWidth="1"/>
    <col min="3" max="3" width="23.42578125" bestFit="1" customWidth="1"/>
    <col min="4" max="4" width="27.140625" bestFit="1" customWidth="1"/>
    <col min="5" max="5" width="19.42578125" bestFit="1" customWidth="1"/>
    <col min="6" max="6" width="18.7109375" customWidth="1"/>
    <col min="7" max="7" width="18.28515625" customWidth="1"/>
    <col min="8" max="8" width="18.42578125" bestFit="1" customWidth="1"/>
    <col min="9" max="9" width="16.85546875" bestFit="1" customWidth="1"/>
    <col min="10" max="10" width="6" customWidth="1"/>
    <col min="11" max="11" width="16.85546875" customWidth="1"/>
    <col min="13" max="13" width="34.5703125" customWidth="1"/>
    <col min="14" max="14" width="20" bestFit="1" customWidth="1"/>
    <col min="15" max="15" width="9.5703125" customWidth="1"/>
    <col min="17" max="17" width="39.7109375" bestFit="1" customWidth="1"/>
    <col min="18" max="18" width="15.7109375" bestFit="1" customWidth="1"/>
    <col min="19" max="19" width="2.42578125" hidden="1" customWidth="1"/>
    <col min="20" max="20" width="0.85546875" hidden="1" customWidth="1"/>
    <col min="21" max="21" width="39.7109375" bestFit="1" customWidth="1"/>
    <col min="22" max="22" width="13.85546875" bestFit="1" customWidth="1"/>
  </cols>
  <sheetData>
    <row r="1" spans="1:33" ht="23.25" x14ac:dyDescent="0.35">
      <c r="A1" s="28"/>
      <c r="B1" s="156" t="s">
        <v>12</v>
      </c>
      <c r="C1" s="156"/>
      <c r="D1" s="28"/>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8"/>
    </row>
    <row r="2" spans="1:33" ht="15.75" x14ac:dyDescent="0.25">
      <c r="A2" s="28"/>
      <c r="B2" s="3" t="s">
        <v>0</v>
      </c>
      <c r="C2" s="3" t="s">
        <v>1</v>
      </c>
      <c r="D2" s="3" t="s">
        <v>2</v>
      </c>
      <c r="E2" s="3" t="s">
        <v>3</v>
      </c>
      <c r="F2" s="3" t="s">
        <v>4</v>
      </c>
      <c r="G2" s="150" t="s">
        <v>5</v>
      </c>
      <c r="H2" s="154"/>
      <c r="I2" s="3" t="s">
        <v>6</v>
      </c>
      <c r="J2" s="150" t="s">
        <v>90</v>
      </c>
      <c r="K2" s="154"/>
      <c r="L2" s="28"/>
      <c r="M2" s="29" t="s">
        <v>57</v>
      </c>
      <c r="N2" s="28"/>
      <c r="O2" s="28"/>
      <c r="P2" s="28"/>
      <c r="Q2" s="28"/>
      <c r="R2" s="28"/>
      <c r="S2" s="28"/>
      <c r="T2" s="28"/>
      <c r="U2" s="28"/>
      <c r="V2" s="28"/>
      <c r="W2" s="28"/>
      <c r="X2" s="28"/>
      <c r="Y2" s="28"/>
      <c r="Z2" s="28"/>
      <c r="AA2" s="28"/>
      <c r="AB2" s="28"/>
      <c r="AC2" s="28"/>
      <c r="AD2" s="28"/>
      <c r="AE2" s="28"/>
      <c r="AF2" s="28"/>
      <c r="AG2" s="28"/>
    </row>
    <row r="3" spans="1:33" x14ac:dyDescent="0.25">
      <c r="A3" s="28"/>
      <c r="B3" s="4" t="s">
        <v>7</v>
      </c>
      <c r="C3" s="4" t="s">
        <v>8</v>
      </c>
      <c r="D3" s="4">
        <v>96</v>
      </c>
      <c r="E3" s="4">
        <v>1998</v>
      </c>
      <c r="F3" s="5">
        <v>0.93</v>
      </c>
      <c r="G3" s="161" t="s">
        <v>9</v>
      </c>
      <c r="H3" s="162"/>
      <c r="I3" s="6" t="s">
        <v>10</v>
      </c>
      <c r="J3" s="152">
        <v>16800000</v>
      </c>
      <c r="K3" s="155"/>
      <c r="L3" s="28"/>
      <c r="M3" s="146" t="s">
        <v>75</v>
      </c>
      <c r="N3" s="147"/>
      <c r="O3" s="28"/>
      <c r="P3" s="28"/>
      <c r="Q3" s="28"/>
      <c r="R3" s="28"/>
      <c r="S3" s="28"/>
      <c r="T3" s="28"/>
      <c r="U3" s="28"/>
      <c r="V3" s="28"/>
      <c r="W3" s="28"/>
      <c r="X3" s="28"/>
      <c r="Y3" s="28"/>
      <c r="Z3" s="28"/>
      <c r="AA3" s="28"/>
      <c r="AB3" s="28"/>
      <c r="AC3" s="28"/>
      <c r="AD3" s="28"/>
      <c r="AE3" s="28"/>
      <c r="AF3" s="28"/>
      <c r="AG3" s="28"/>
    </row>
    <row r="4" spans="1:33" x14ac:dyDescent="0.25">
      <c r="A4" s="28"/>
      <c r="B4" s="28"/>
      <c r="C4" s="28"/>
      <c r="D4" s="28"/>
      <c r="E4" s="28"/>
      <c r="F4" s="28"/>
      <c r="G4" s="28"/>
      <c r="H4" s="28"/>
      <c r="I4" s="28"/>
      <c r="J4" s="28"/>
      <c r="K4" s="28"/>
      <c r="L4" s="28"/>
      <c r="M4" s="48" t="s">
        <v>153</v>
      </c>
      <c r="N4" s="48">
        <v>22</v>
      </c>
      <c r="O4" s="28"/>
      <c r="P4" s="28"/>
      <c r="Q4" s="28"/>
      <c r="R4" s="28"/>
      <c r="S4" s="28"/>
      <c r="T4" s="28"/>
      <c r="U4" s="28"/>
      <c r="V4" s="28"/>
      <c r="W4" s="28"/>
      <c r="X4" s="28"/>
      <c r="Y4" s="28"/>
      <c r="Z4" s="28"/>
      <c r="AA4" s="28"/>
      <c r="AB4" s="28"/>
      <c r="AC4" s="28"/>
      <c r="AD4" s="28"/>
      <c r="AE4" s="28"/>
      <c r="AF4" s="28"/>
      <c r="AG4" s="28"/>
    </row>
    <row r="5" spans="1:33" x14ac:dyDescent="0.25">
      <c r="A5" s="28"/>
      <c r="B5" s="28"/>
      <c r="C5" s="28"/>
      <c r="D5" s="28"/>
      <c r="E5" s="28"/>
      <c r="F5" s="28"/>
      <c r="G5" s="28"/>
      <c r="H5" s="28"/>
      <c r="I5" s="28"/>
      <c r="J5" s="28"/>
      <c r="K5" s="28"/>
      <c r="L5" s="28"/>
      <c r="M5" s="48" t="s">
        <v>154</v>
      </c>
      <c r="N5" s="48">
        <v>25</v>
      </c>
      <c r="O5" s="28"/>
      <c r="P5" s="28"/>
      <c r="Q5" s="28"/>
      <c r="R5" s="28"/>
      <c r="S5" s="28"/>
      <c r="T5" s="28"/>
      <c r="U5" s="28"/>
      <c r="V5" s="28"/>
      <c r="W5" s="28"/>
      <c r="X5" s="28"/>
      <c r="Y5" s="28"/>
      <c r="Z5" s="28"/>
      <c r="AA5" s="28"/>
      <c r="AB5" s="28"/>
      <c r="AC5" s="28"/>
      <c r="AD5" s="28"/>
      <c r="AE5" s="28"/>
      <c r="AF5" s="28"/>
      <c r="AG5" s="28"/>
    </row>
    <row r="6" spans="1:33" ht="23.25" x14ac:dyDescent="0.35">
      <c r="A6" s="28"/>
      <c r="B6" s="157" t="s">
        <v>11</v>
      </c>
      <c r="C6" s="157"/>
      <c r="D6" s="28"/>
      <c r="E6" s="28"/>
      <c r="F6" s="28"/>
      <c r="G6" s="28"/>
      <c r="H6" s="28"/>
      <c r="I6" s="28"/>
      <c r="J6" s="28"/>
      <c r="K6" s="28"/>
      <c r="L6" s="28"/>
      <c r="M6" s="28"/>
      <c r="N6" s="28"/>
      <c r="O6" s="28"/>
      <c r="P6" s="28"/>
      <c r="Q6" s="28"/>
      <c r="R6" s="28"/>
      <c r="S6" s="28"/>
      <c r="T6" s="28"/>
      <c r="U6" s="28"/>
      <c r="V6" s="28"/>
      <c r="W6" s="28"/>
      <c r="X6" s="28"/>
      <c r="Y6" s="28"/>
      <c r="Z6" s="28"/>
      <c r="AA6" s="28"/>
      <c r="AB6" s="28"/>
      <c r="AC6" s="28"/>
      <c r="AD6" s="28"/>
      <c r="AE6" s="28"/>
      <c r="AF6" s="28"/>
      <c r="AG6" s="28"/>
    </row>
    <row r="7" spans="1:33" x14ac:dyDescent="0.25">
      <c r="A7" s="28"/>
      <c r="B7" s="11" t="s">
        <v>13</v>
      </c>
      <c r="C7" s="11" t="s">
        <v>14</v>
      </c>
      <c r="D7" s="3" t="s">
        <v>15</v>
      </c>
      <c r="E7" s="150" t="s">
        <v>17</v>
      </c>
      <c r="F7" s="151"/>
      <c r="G7" s="154"/>
      <c r="H7" s="12" t="s">
        <v>16</v>
      </c>
      <c r="I7" s="28"/>
      <c r="J7" s="28"/>
      <c r="K7" s="28"/>
      <c r="L7" s="28"/>
      <c r="M7" s="28"/>
      <c r="N7" s="28"/>
      <c r="O7" s="28"/>
      <c r="P7" s="28"/>
      <c r="Q7" s="28"/>
      <c r="R7" s="28"/>
      <c r="S7" s="28"/>
      <c r="T7" s="28"/>
      <c r="U7" s="28"/>
      <c r="V7" s="28"/>
      <c r="W7" s="28"/>
      <c r="X7" s="28"/>
      <c r="Y7" s="28"/>
      <c r="Z7" s="28"/>
      <c r="AA7" s="28"/>
      <c r="AB7" s="28"/>
      <c r="AC7" s="28"/>
      <c r="AD7" s="28"/>
      <c r="AE7" s="28"/>
      <c r="AF7" s="28"/>
      <c r="AG7" s="28"/>
    </row>
    <row r="8" spans="1:33" x14ac:dyDescent="0.25">
      <c r="A8" s="28"/>
      <c r="B8" s="26">
        <v>1425</v>
      </c>
      <c r="C8" s="26">
        <v>1500</v>
      </c>
      <c r="D8" s="5">
        <v>7.0000000000000007E-2</v>
      </c>
      <c r="E8" s="158">
        <v>0.03</v>
      </c>
      <c r="F8" s="159"/>
      <c r="G8" s="160"/>
      <c r="H8" s="51">
        <v>2.75E-2</v>
      </c>
      <c r="I8" s="28"/>
      <c r="J8" s="28"/>
      <c r="K8" s="28"/>
      <c r="L8" s="28"/>
      <c r="M8" s="28"/>
      <c r="N8" s="28"/>
      <c r="O8" s="28"/>
      <c r="P8" s="28"/>
      <c r="Q8" s="28"/>
      <c r="R8" s="28"/>
      <c r="S8" s="28"/>
      <c r="T8" s="28"/>
      <c r="U8" s="28"/>
      <c r="V8" s="28"/>
      <c r="W8" s="28"/>
      <c r="X8" s="28"/>
      <c r="Y8" s="28"/>
      <c r="Z8" s="28"/>
      <c r="AA8" s="28"/>
      <c r="AB8" s="28"/>
      <c r="AC8" s="28"/>
      <c r="AD8" s="28"/>
      <c r="AE8" s="28"/>
      <c r="AF8" s="28"/>
      <c r="AG8" s="28"/>
    </row>
    <row r="9" spans="1:33" x14ac:dyDescent="0.25">
      <c r="A9" s="28"/>
      <c r="B9" s="28"/>
      <c r="C9" s="28"/>
      <c r="D9" s="28"/>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row>
    <row r="10" spans="1:33" ht="23.25" x14ac:dyDescent="0.35">
      <c r="A10" s="28"/>
      <c r="B10" s="157" t="s">
        <v>18</v>
      </c>
      <c r="C10" s="157"/>
      <c r="D10" s="28" t="s">
        <v>25</v>
      </c>
      <c r="E10" s="28"/>
      <c r="F10" s="28"/>
      <c r="G10" s="28"/>
      <c r="H10" s="28" t="s">
        <v>27</v>
      </c>
      <c r="I10" s="28"/>
      <c r="J10" s="28"/>
      <c r="K10" s="28"/>
      <c r="L10" s="28"/>
      <c r="M10" s="166" t="s">
        <v>43</v>
      </c>
      <c r="N10" s="166"/>
      <c r="O10" s="28"/>
      <c r="P10" s="28"/>
      <c r="Q10" s="28"/>
      <c r="R10" s="28"/>
      <c r="S10" s="28"/>
      <c r="T10" s="28"/>
      <c r="U10" s="28"/>
      <c r="V10" s="28"/>
      <c r="W10" s="28"/>
      <c r="X10" s="28"/>
      <c r="Y10" s="28"/>
      <c r="Z10" s="28"/>
      <c r="AA10" s="28"/>
      <c r="AB10" s="28"/>
      <c r="AC10" s="28"/>
      <c r="AD10" s="28"/>
      <c r="AE10" s="28"/>
      <c r="AF10" s="28"/>
      <c r="AG10" s="28"/>
    </row>
    <row r="11" spans="1:33" x14ac:dyDescent="0.25">
      <c r="A11" s="28"/>
      <c r="B11" s="11" t="s">
        <v>19</v>
      </c>
      <c r="C11" s="3" t="s">
        <v>20</v>
      </c>
      <c r="D11" s="3" t="s">
        <v>21</v>
      </c>
      <c r="E11" s="3" t="s">
        <v>22</v>
      </c>
      <c r="F11" s="150" t="s">
        <v>26</v>
      </c>
      <c r="G11" s="154"/>
      <c r="H11" s="12" t="s">
        <v>23</v>
      </c>
      <c r="I11" s="150" t="s">
        <v>24</v>
      </c>
      <c r="J11" s="151"/>
      <c r="K11" s="3" t="s">
        <v>88</v>
      </c>
      <c r="L11" s="28"/>
      <c r="M11" s="167" t="s">
        <v>44</v>
      </c>
      <c r="N11" s="167"/>
      <c r="O11" s="28"/>
      <c r="P11" s="28"/>
      <c r="Q11" s="28"/>
      <c r="R11" s="28"/>
      <c r="S11" s="28"/>
      <c r="T11" s="28"/>
      <c r="U11" s="28"/>
      <c r="V11" s="28"/>
      <c r="W11" s="28"/>
      <c r="X11" s="28"/>
      <c r="Y11" s="28"/>
      <c r="Z11" s="28"/>
      <c r="AA11" s="28"/>
      <c r="AB11" s="28"/>
      <c r="AC11" s="28"/>
      <c r="AD11" s="28"/>
      <c r="AE11" s="28"/>
      <c r="AF11" s="28"/>
      <c r="AG11" s="28"/>
    </row>
    <row r="12" spans="1:33" x14ac:dyDescent="0.25">
      <c r="A12" s="28"/>
      <c r="B12" s="43">
        <v>0.06</v>
      </c>
      <c r="C12" s="44">
        <v>0.05</v>
      </c>
      <c r="D12" s="44">
        <v>7.4999999999999997E-2</v>
      </c>
      <c r="E12" s="44">
        <v>0.05</v>
      </c>
      <c r="F12" s="163">
        <v>1.2500000000000001E-2</v>
      </c>
      <c r="G12" s="164"/>
      <c r="H12" s="27">
        <v>425</v>
      </c>
      <c r="I12" s="152">
        <v>300</v>
      </c>
      <c r="J12" s="153"/>
      <c r="K12" s="47">
        <v>0.22</v>
      </c>
      <c r="L12" s="28"/>
      <c r="M12" s="167"/>
      <c r="N12" s="167"/>
      <c r="O12" s="28"/>
      <c r="P12" s="28"/>
      <c r="Q12" s="28"/>
      <c r="R12" s="28"/>
      <c r="S12" s="28"/>
      <c r="T12" s="28"/>
      <c r="U12" s="28"/>
      <c r="V12" s="28"/>
      <c r="W12" s="28"/>
      <c r="X12" s="28"/>
      <c r="Y12" s="28"/>
      <c r="Z12" s="28"/>
      <c r="AA12" s="28"/>
      <c r="AB12" s="28"/>
      <c r="AC12" s="28"/>
      <c r="AD12" s="28"/>
      <c r="AE12" s="28"/>
      <c r="AF12" s="28"/>
      <c r="AG12" s="28"/>
    </row>
    <row r="13" spans="1:33" x14ac:dyDescent="0.25">
      <c r="A13" s="28"/>
      <c r="B13" s="28"/>
      <c r="C13" s="28"/>
      <c r="D13" s="28"/>
      <c r="E13" s="28"/>
      <c r="F13" s="28"/>
      <c r="G13" s="28"/>
      <c r="H13" s="28"/>
      <c r="I13" s="28"/>
      <c r="J13" s="28"/>
      <c r="K13" s="28"/>
      <c r="L13" s="28"/>
      <c r="O13" s="28"/>
      <c r="P13" s="28"/>
      <c r="Q13" s="28"/>
      <c r="R13" s="28"/>
      <c r="S13" s="28"/>
      <c r="T13" s="28"/>
      <c r="U13" s="28"/>
      <c r="V13" s="28"/>
      <c r="W13" s="28"/>
      <c r="X13" s="28"/>
      <c r="Y13" s="28"/>
      <c r="Z13" s="28"/>
      <c r="AA13" s="28"/>
      <c r="AB13" s="28"/>
      <c r="AC13" s="28"/>
      <c r="AD13" s="28"/>
      <c r="AE13" s="28"/>
      <c r="AF13" s="28"/>
      <c r="AG13" s="28"/>
    </row>
    <row r="14" spans="1:33" x14ac:dyDescent="0.25">
      <c r="A14" s="28"/>
      <c r="B14" s="28"/>
      <c r="C14" s="28"/>
      <c r="D14" s="28"/>
      <c r="E14" s="28"/>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row>
    <row r="15" spans="1:33" ht="23.25" x14ac:dyDescent="0.35">
      <c r="A15" s="28"/>
      <c r="B15" s="157" t="s">
        <v>28</v>
      </c>
      <c r="C15" s="157"/>
      <c r="D15" s="28"/>
      <c r="E15" s="28"/>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row>
    <row r="16" spans="1:33" ht="18.75" x14ac:dyDescent="0.3">
      <c r="A16" s="28"/>
      <c r="B16" s="39" t="s">
        <v>91</v>
      </c>
      <c r="C16" s="41" t="s">
        <v>86</v>
      </c>
      <c r="D16" s="41" t="s">
        <v>145</v>
      </c>
      <c r="E16" s="41" t="s">
        <v>143</v>
      </c>
      <c r="F16" s="28"/>
      <c r="G16" s="28"/>
      <c r="H16" s="28"/>
      <c r="I16" s="28"/>
      <c r="J16" s="28"/>
      <c r="K16" s="28"/>
      <c r="L16" s="28"/>
      <c r="M16" s="148" t="s">
        <v>87</v>
      </c>
      <c r="N16" s="149"/>
      <c r="O16" s="28"/>
      <c r="P16" s="28"/>
      <c r="Q16" s="28"/>
      <c r="R16" s="28"/>
      <c r="S16" s="28"/>
      <c r="T16" s="28"/>
      <c r="U16" s="28"/>
      <c r="V16" s="28"/>
      <c r="W16" s="28"/>
      <c r="X16" s="28"/>
      <c r="Y16" s="28"/>
      <c r="Z16" s="28"/>
      <c r="AA16" s="28"/>
      <c r="AB16" s="28"/>
      <c r="AC16" s="28"/>
      <c r="AD16" s="28"/>
      <c r="AE16" s="28"/>
      <c r="AF16" s="28"/>
      <c r="AG16" s="28"/>
    </row>
    <row r="17" spans="1:33" x14ac:dyDescent="0.25">
      <c r="A17" s="28"/>
      <c r="B17" s="59">
        <v>16800000</v>
      </c>
      <c r="C17" s="50">
        <v>0.4</v>
      </c>
      <c r="D17" s="50">
        <v>0.02</v>
      </c>
      <c r="E17" s="51">
        <v>6.5000000000000002E-2</v>
      </c>
      <c r="F17" s="28"/>
      <c r="G17" s="28"/>
      <c r="H17" s="28"/>
      <c r="I17" s="28"/>
      <c r="J17" s="28"/>
      <c r="K17" s="28"/>
      <c r="L17" s="28"/>
      <c r="M17" s="31" t="s">
        <v>45</v>
      </c>
      <c r="N17" s="32" t="s">
        <v>46</v>
      </c>
      <c r="O17" s="28"/>
      <c r="P17" s="28"/>
      <c r="Q17" s="28"/>
      <c r="R17" s="28"/>
      <c r="S17" s="28"/>
      <c r="T17" s="28"/>
      <c r="U17" s="28"/>
      <c r="V17" s="28"/>
      <c r="W17" s="28"/>
      <c r="X17" s="28"/>
      <c r="Y17" s="28"/>
      <c r="Z17" s="28"/>
      <c r="AA17" s="28"/>
      <c r="AB17" s="28"/>
      <c r="AC17" s="28"/>
      <c r="AD17" s="28"/>
      <c r="AE17" s="28"/>
      <c r="AF17" s="28"/>
      <c r="AG17" s="28"/>
    </row>
    <row r="18" spans="1:33" ht="15" customHeight="1" x14ac:dyDescent="0.25">
      <c r="A18" s="28"/>
      <c r="B18" s="28"/>
      <c r="C18" s="28"/>
      <c r="D18" s="28"/>
      <c r="E18" s="28"/>
      <c r="F18" s="28"/>
      <c r="G18" s="28"/>
      <c r="H18" s="28"/>
      <c r="I18" s="28"/>
      <c r="J18" s="28"/>
      <c r="K18" s="28"/>
      <c r="L18" s="28"/>
      <c r="M18" s="33">
        <v>30</v>
      </c>
      <c r="N18" s="34">
        <v>0.06</v>
      </c>
      <c r="O18" s="28"/>
      <c r="P18" s="28"/>
      <c r="Q18" s="28"/>
      <c r="R18" s="28"/>
      <c r="S18" s="28"/>
      <c r="T18" s="28"/>
      <c r="U18" s="28"/>
      <c r="V18" s="28"/>
      <c r="W18" s="28"/>
      <c r="X18" s="28"/>
      <c r="Y18" s="28"/>
      <c r="Z18" s="28"/>
      <c r="AA18" s="28"/>
      <c r="AB18" s="28"/>
      <c r="AC18" s="28"/>
      <c r="AD18" s="28"/>
      <c r="AE18" s="28"/>
      <c r="AF18" s="28"/>
      <c r="AG18" s="28"/>
    </row>
    <row r="19" spans="1:33" x14ac:dyDescent="0.25">
      <c r="A19" s="28"/>
      <c r="B19" s="28"/>
      <c r="C19" s="28"/>
      <c r="D19" s="28"/>
      <c r="E19" s="28"/>
      <c r="F19" s="28"/>
      <c r="G19" s="28"/>
      <c r="H19" s="28"/>
      <c r="I19" s="28"/>
      <c r="J19" s="28"/>
      <c r="K19" s="28"/>
      <c r="L19" s="28"/>
      <c r="M19" s="35"/>
      <c r="N19" s="36"/>
      <c r="O19" s="28"/>
      <c r="P19" s="28"/>
      <c r="Q19" s="28"/>
      <c r="R19" s="28"/>
      <c r="S19" s="28"/>
      <c r="T19" s="28"/>
      <c r="U19" s="28"/>
      <c r="V19" s="28"/>
      <c r="W19" s="28"/>
      <c r="X19" s="28"/>
      <c r="Y19" s="28"/>
      <c r="Z19" s="28"/>
      <c r="AA19" s="28"/>
      <c r="AB19" s="28"/>
      <c r="AC19" s="28"/>
      <c r="AD19" s="28"/>
      <c r="AE19" s="28"/>
      <c r="AF19" s="28"/>
      <c r="AG19" s="28"/>
    </row>
    <row r="20" spans="1:33" x14ac:dyDescent="0.25">
      <c r="A20" s="28"/>
      <c r="B20" s="28"/>
      <c r="C20" s="28"/>
      <c r="D20" s="28"/>
      <c r="E20" s="28"/>
      <c r="F20" s="28"/>
      <c r="G20" s="28"/>
      <c r="H20" s="28"/>
      <c r="I20" s="28"/>
      <c r="J20" s="28"/>
      <c r="K20" s="28"/>
      <c r="L20" s="28"/>
      <c r="M20" s="35"/>
      <c r="N20" s="36"/>
      <c r="O20" s="28"/>
      <c r="P20" s="28"/>
      <c r="Q20" s="28"/>
      <c r="R20" s="28"/>
      <c r="S20" s="28"/>
      <c r="T20" s="28"/>
      <c r="U20" s="28"/>
      <c r="V20" s="28"/>
      <c r="W20" s="28"/>
      <c r="X20" s="28"/>
      <c r="Y20" s="28"/>
      <c r="Z20" s="28"/>
      <c r="AA20" s="28"/>
      <c r="AB20" s="28"/>
      <c r="AC20" s="28"/>
      <c r="AD20" s="28"/>
      <c r="AE20" s="28"/>
      <c r="AF20" s="28"/>
      <c r="AG20" s="28"/>
    </row>
    <row r="21" spans="1:33" ht="15.75" x14ac:dyDescent="0.25">
      <c r="A21" s="28"/>
      <c r="B21" s="29" t="s">
        <v>29</v>
      </c>
      <c r="C21" s="28"/>
      <c r="D21" s="28"/>
      <c r="E21" s="28"/>
      <c r="F21" s="28"/>
      <c r="G21" s="28"/>
      <c r="H21" s="28"/>
      <c r="I21" s="28"/>
      <c r="J21" s="28"/>
      <c r="K21" s="28"/>
      <c r="L21" s="28"/>
      <c r="M21" s="35"/>
      <c r="N21" s="36"/>
      <c r="O21" s="28"/>
      <c r="P21" s="28"/>
      <c r="Q21" s="28"/>
      <c r="R21" s="28"/>
      <c r="S21" s="28"/>
      <c r="T21" s="28"/>
      <c r="U21" s="28"/>
      <c r="V21" s="28"/>
      <c r="W21" s="28"/>
      <c r="X21" s="28"/>
      <c r="Y21" s="28"/>
      <c r="Z21" s="28"/>
      <c r="AA21" s="28"/>
      <c r="AB21" s="28"/>
      <c r="AC21" s="28"/>
      <c r="AD21" s="28"/>
      <c r="AE21" s="28"/>
      <c r="AF21" s="28"/>
      <c r="AG21" s="28"/>
    </row>
    <row r="22" spans="1:33" x14ac:dyDescent="0.25">
      <c r="A22" s="28"/>
      <c r="B22" s="39" t="s">
        <v>50</v>
      </c>
      <c r="C22" s="40" t="s">
        <v>42</v>
      </c>
      <c r="D22" s="40" t="s">
        <v>40</v>
      </c>
      <c r="E22" s="41" t="s">
        <v>49</v>
      </c>
      <c r="F22" s="28"/>
      <c r="G22" s="28"/>
      <c r="H22" s="28"/>
      <c r="I22" s="28"/>
      <c r="J22" s="28"/>
      <c r="K22" s="28"/>
      <c r="L22" s="28"/>
      <c r="M22" s="35"/>
      <c r="N22" s="36"/>
      <c r="O22" s="28"/>
      <c r="P22" s="28"/>
      <c r="Q22" s="28"/>
      <c r="R22" s="28"/>
      <c r="S22" s="28"/>
      <c r="T22" s="28"/>
      <c r="U22" s="28"/>
      <c r="V22" s="28"/>
      <c r="W22" s="28"/>
      <c r="X22" s="28"/>
      <c r="Y22" s="28"/>
      <c r="Z22" s="28"/>
      <c r="AA22" s="28"/>
      <c r="AB22" s="28"/>
      <c r="AC22" s="28"/>
      <c r="AD22" s="28"/>
      <c r="AE22" s="28"/>
      <c r="AF22" s="28"/>
      <c r="AG22" s="28"/>
    </row>
    <row r="23" spans="1:33" x14ac:dyDescent="0.25">
      <c r="A23" s="28"/>
      <c r="B23" s="53">
        <f>$N$4</f>
        <v>22</v>
      </c>
      <c r="C23" s="52" t="s">
        <v>93</v>
      </c>
      <c r="D23" s="54">
        <v>6.3500000000000001E-2</v>
      </c>
      <c r="E23" s="55">
        <f>$N$5</f>
        <v>25</v>
      </c>
      <c r="F23" s="28"/>
      <c r="G23" s="28"/>
      <c r="H23" s="28"/>
      <c r="I23" s="28"/>
      <c r="J23" s="28"/>
      <c r="K23" s="28"/>
      <c r="L23" s="28"/>
      <c r="M23" s="35"/>
      <c r="N23" s="36"/>
      <c r="O23" s="28"/>
      <c r="P23" s="28"/>
      <c r="Q23" s="28"/>
      <c r="R23" s="28"/>
      <c r="S23" s="28"/>
      <c r="T23" s="28"/>
      <c r="U23" s="28"/>
      <c r="V23" s="28"/>
      <c r="W23" s="28"/>
      <c r="X23" s="28"/>
      <c r="Y23" s="28"/>
      <c r="Z23" s="28"/>
      <c r="AA23" s="28"/>
      <c r="AB23" s="28"/>
      <c r="AC23" s="28"/>
      <c r="AD23" s="28"/>
      <c r="AE23" s="28"/>
      <c r="AF23" s="28"/>
      <c r="AG23" s="28"/>
    </row>
    <row r="24" spans="1:33" x14ac:dyDescent="0.25">
      <c r="A24" s="28"/>
      <c r="B24" s="28"/>
      <c r="C24" s="28"/>
      <c r="D24" s="28"/>
      <c r="E24" s="28"/>
      <c r="F24" s="28"/>
      <c r="G24" s="28"/>
      <c r="H24" s="28"/>
      <c r="I24" s="28"/>
      <c r="J24" s="28"/>
      <c r="K24" s="28"/>
      <c r="L24" s="28"/>
      <c r="M24" s="35"/>
      <c r="N24" s="36"/>
      <c r="O24" s="28"/>
      <c r="P24" s="28"/>
      <c r="Q24" s="28"/>
      <c r="R24" s="28"/>
      <c r="S24" s="28"/>
      <c r="T24" s="28"/>
      <c r="U24" s="28"/>
      <c r="V24" s="28"/>
      <c r="W24" s="28"/>
      <c r="X24" s="28"/>
      <c r="Y24" s="28"/>
      <c r="Z24" s="28"/>
      <c r="AA24" s="28"/>
      <c r="AB24" s="28"/>
      <c r="AC24" s="28"/>
      <c r="AD24" s="28"/>
      <c r="AE24" s="28"/>
      <c r="AF24" s="28"/>
      <c r="AG24" s="28"/>
    </row>
    <row r="25" spans="1:33" x14ac:dyDescent="0.25">
      <c r="A25" s="28"/>
      <c r="B25" s="30" t="s">
        <v>79</v>
      </c>
      <c r="C25" s="28"/>
      <c r="D25" s="28"/>
      <c r="E25" s="28"/>
      <c r="F25" s="28"/>
      <c r="G25" s="28"/>
      <c r="H25" s="28"/>
      <c r="I25" s="28"/>
      <c r="J25" s="28"/>
      <c r="K25" s="28"/>
      <c r="L25" s="28"/>
      <c r="M25" s="35"/>
      <c r="N25" s="36"/>
      <c r="O25" s="28"/>
      <c r="P25" s="28"/>
      <c r="Q25" s="28"/>
      <c r="R25" s="28"/>
      <c r="S25" s="28"/>
      <c r="T25" s="28"/>
      <c r="U25" s="28"/>
      <c r="V25" s="28"/>
      <c r="W25" s="28"/>
      <c r="X25" s="28"/>
      <c r="Y25" s="28"/>
      <c r="Z25" s="28"/>
      <c r="AA25" s="28"/>
      <c r="AB25" s="28"/>
      <c r="AC25" s="28"/>
      <c r="AD25" s="28"/>
      <c r="AE25" s="28"/>
      <c r="AF25" s="28"/>
      <c r="AG25" s="28"/>
    </row>
    <row r="26" spans="1:33" x14ac:dyDescent="0.25">
      <c r="A26" s="28"/>
      <c r="B26" s="39" t="s">
        <v>30</v>
      </c>
      <c r="C26" s="40" t="s">
        <v>31</v>
      </c>
      <c r="D26" s="41" t="s">
        <v>32</v>
      </c>
      <c r="E26" s="28"/>
      <c r="F26" s="28"/>
      <c r="G26" s="28"/>
      <c r="H26" s="28"/>
      <c r="I26" s="28"/>
      <c r="J26" s="28"/>
      <c r="K26" s="28"/>
      <c r="L26" s="28"/>
      <c r="M26" s="35"/>
      <c r="N26" s="36"/>
      <c r="O26" s="28"/>
      <c r="P26" s="28"/>
      <c r="Q26" s="28"/>
      <c r="R26" s="28"/>
      <c r="S26" s="28"/>
      <c r="T26" s="28"/>
      <c r="U26" s="28"/>
      <c r="V26" s="28"/>
      <c r="W26" s="28"/>
      <c r="X26" s="28"/>
      <c r="Y26" s="28"/>
      <c r="Z26" s="28"/>
      <c r="AA26" s="28"/>
      <c r="AB26" s="28"/>
      <c r="AC26" s="28"/>
      <c r="AD26" s="28"/>
      <c r="AE26" s="28"/>
      <c r="AF26" s="28"/>
      <c r="AG26" s="28"/>
    </row>
    <row r="27" spans="1:33" x14ac:dyDescent="0.25">
      <c r="A27" s="28"/>
      <c r="B27" s="56">
        <v>1.25</v>
      </c>
      <c r="C27" s="49">
        <v>0.65</v>
      </c>
      <c r="D27" s="51">
        <v>8.7499999999999994E-2</v>
      </c>
      <c r="E27" s="28"/>
      <c r="F27" s="168"/>
      <c r="G27" s="168"/>
      <c r="H27" s="28"/>
      <c r="I27" s="28"/>
      <c r="J27" s="28"/>
      <c r="K27" s="28"/>
      <c r="L27" s="28"/>
      <c r="M27" s="35"/>
      <c r="N27" s="36"/>
      <c r="O27" s="28"/>
      <c r="P27" s="28"/>
      <c r="Q27" s="28"/>
      <c r="R27" s="28"/>
      <c r="S27" s="28"/>
      <c r="T27" s="28"/>
      <c r="U27" s="28"/>
      <c r="V27" s="28"/>
      <c r="W27" s="28"/>
      <c r="X27" s="28"/>
      <c r="Y27" s="28"/>
      <c r="Z27" s="28"/>
      <c r="AA27" s="28"/>
      <c r="AB27" s="28"/>
      <c r="AC27" s="28"/>
      <c r="AD27" s="28"/>
      <c r="AE27" s="28"/>
      <c r="AF27" s="28"/>
      <c r="AG27" s="28"/>
    </row>
    <row r="28" spans="1:33" x14ac:dyDescent="0.25">
      <c r="A28" s="28"/>
      <c r="B28" s="28"/>
      <c r="C28" s="28"/>
      <c r="D28" s="28"/>
      <c r="E28" s="28"/>
      <c r="F28" s="165"/>
      <c r="G28" s="165"/>
      <c r="H28" s="28"/>
      <c r="I28" s="28"/>
      <c r="J28" s="28"/>
      <c r="K28" s="28"/>
      <c r="L28" s="28"/>
      <c r="M28" s="35"/>
      <c r="N28" s="36"/>
      <c r="O28" s="28"/>
      <c r="P28" s="28"/>
      <c r="Q28" s="28"/>
      <c r="R28" s="28"/>
      <c r="S28" s="28"/>
      <c r="T28" s="28"/>
      <c r="U28" s="28"/>
      <c r="V28" s="28"/>
      <c r="W28" s="28"/>
      <c r="X28" s="28"/>
      <c r="Y28" s="28"/>
      <c r="Z28" s="28"/>
      <c r="AA28" s="28"/>
      <c r="AB28" s="28"/>
      <c r="AC28" s="28"/>
      <c r="AD28" s="28"/>
      <c r="AE28" s="28"/>
      <c r="AF28" s="28"/>
      <c r="AG28" s="28"/>
    </row>
    <row r="29" spans="1:33" x14ac:dyDescent="0.25">
      <c r="A29" s="28"/>
      <c r="B29" s="28"/>
      <c r="C29" s="28"/>
      <c r="D29" s="28"/>
      <c r="E29" s="28"/>
      <c r="F29" s="28"/>
      <c r="G29" s="28"/>
      <c r="H29" s="28"/>
      <c r="I29" s="28"/>
      <c r="J29" s="28"/>
      <c r="K29" s="28"/>
      <c r="L29" s="28"/>
      <c r="M29" s="35"/>
      <c r="N29" s="36"/>
      <c r="O29" s="28"/>
      <c r="P29" s="28"/>
      <c r="Q29" s="28"/>
      <c r="R29" s="28"/>
      <c r="S29" s="28"/>
      <c r="T29" s="28"/>
      <c r="U29" s="28"/>
      <c r="V29" s="28"/>
      <c r="W29" s="28"/>
      <c r="X29" s="28"/>
      <c r="Y29" s="28"/>
      <c r="Z29" s="28"/>
      <c r="AA29" s="28"/>
      <c r="AB29" s="28"/>
      <c r="AC29" s="28"/>
      <c r="AD29" s="28"/>
      <c r="AE29" s="28"/>
      <c r="AF29" s="28"/>
      <c r="AG29" s="28"/>
    </row>
    <row r="30" spans="1:33" x14ac:dyDescent="0.25">
      <c r="A30" s="28"/>
      <c r="B30" s="28"/>
      <c r="C30" s="28"/>
      <c r="D30" s="28"/>
      <c r="E30" s="28"/>
      <c r="F30" s="28"/>
      <c r="G30" s="28"/>
      <c r="H30" s="28"/>
      <c r="I30" s="28"/>
      <c r="J30" s="28"/>
      <c r="K30" s="28"/>
      <c r="L30" s="28"/>
      <c r="M30" s="37"/>
      <c r="N30" s="38"/>
      <c r="O30" s="28"/>
      <c r="P30" s="28"/>
      <c r="Q30" s="28"/>
      <c r="R30" s="28"/>
      <c r="S30" s="28"/>
      <c r="T30" s="28"/>
      <c r="U30" s="28"/>
      <c r="V30" s="28"/>
      <c r="W30" s="28"/>
      <c r="X30" s="28"/>
      <c r="Y30" s="28"/>
      <c r="Z30" s="28"/>
      <c r="AA30" s="28"/>
      <c r="AB30" s="28"/>
      <c r="AC30" s="28"/>
      <c r="AD30" s="28"/>
      <c r="AE30" s="28"/>
      <c r="AF30" s="28"/>
      <c r="AG30" s="28"/>
    </row>
    <row r="31" spans="1:33" x14ac:dyDescent="0.25">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28"/>
      <c r="AC31" s="28"/>
      <c r="AD31" s="28"/>
      <c r="AE31" s="28"/>
      <c r="AF31" s="28"/>
      <c r="AG31" s="28"/>
    </row>
    <row r="32" spans="1:33" x14ac:dyDescent="0.25">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row>
    <row r="33" spans="1:33" x14ac:dyDescent="0.25">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row>
    <row r="34" spans="1:33" x14ac:dyDescent="0.25">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28"/>
      <c r="AC34" s="28"/>
      <c r="AD34" s="28"/>
      <c r="AE34" s="28"/>
      <c r="AF34" s="28"/>
      <c r="AG34" s="28"/>
    </row>
    <row r="35" spans="1:33" x14ac:dyDescent="0.25">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row>
    <row r="36" spans="1:33" x14ac:dyDescent="0.25">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c r="AE36" s="28"/>
      <c r="AF36" s="28"/>
      <c r="AG36" s="28"/>
    </row>
    <row r="37" spans="1:33" x14ac:dyDescent="0.25">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28"/>
    </row>
    <row r="38" spans="1:33" x14ac:dyDescent="0.25">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row>
    <row r="39" spans="1:33" x14ac:dyDescent="0.25">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28"/>
    </row>
    <row r="40" spans="1:33" x14ac:dyDescent="0.25">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c r="AG40" s="28"/>
    </row>
    <row r="41" spans="1:33" x14ac:dyDescent="0.25">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c r="AE41" s="28"/>
      <c r="AF41" s="28"/>
      <c r="AG41" s="28"/>
    </row>
    <row r="42" spans="1:33" x14ac:dyDescent="0.25">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c r="AE42" s="28"/>
      <c r="AF42" s="28"/>
      <c r="AG42" s="28"/>
    </row>
    <row r="43" spans="1:33" x14ac:dyDescent="0.25">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c r="AE43" s="28"/>
      <c r="AF43" s="28"/>
      <c r="AG43" s="28"/>
    </row>
    <row r="44" spans="1:33" x14ac:dyDescent="0.25">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c r="AE44" s="28"/>
      <c r="AF44" s="28"/>
      <c r="AG44" s="28"/>
    </row>
    <row r="45" spans="1:33" x14ac:dyDescent="0.25">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c r="AA45" s="28"/>
      <c r="AB45" s="28"/>
      <c r="AC45" s="28"/>
      <c r="AD45" s="28"/>
      <c r="AE45" s="28"/>
      <c r="AF45" s="28"/>
      <c r="AG45" s="28"/>
    </row>
    <row r="46" spans="1:33" x14ac:dyDescent="0.25">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c r="AA46" s="28"/>
      <c r="AB46" s="28"/>
      <c r="AC46" s="28"/>
      <c r="AD46" s="28"/>
      <c r="AE46" s="28"/>
      <c r="AF46" s="28"/>
      <c r="AG46" s="28"/>
    </row>
    <row r="47" spans="1:33" x14ac:dyDescent="0.25">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c r="AA47" s="28"/>
      <c r="AB47" s="28"/>
      <c r="AC47" s="28"/>
      <c r="AD47" s="28"/>
      <c r="AE47" s="28"/>
      <c r="AF47" s="28"/>
      <c r="AG47" s="28"/>
    </row>
    <row r="48" spans="1:33" x14ac:dyDescent="0.25">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c r="AG48" s="28"/>
    </row>
    <row r="49" spans="1:33" x14ac:dyDescent="0.25">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c r="AA49" s="28"/>
      <c r="AB49" s="28"/>
      <c r="AC49" s="28"/>
      <c r="AD49" s="28"/>
      <c r="AE49" s="28"/>
      <c r="AF49" s="28"/>
      <c r="AG49" s="28"/>
    </row>
    <row r="50" spans="1:33" x14ac:dyDescent="0.25">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c r="AA50" s="28"/>
      <c r="AB50" s="28"/>
      <c r="AC50" s="28"/>
      <c r="AD50" s="28"/>
      <c r="AE50" s="28"/>
      <c r="AF50" s="28"/>
      <c r="AG50" s="28"/>
    </row>
    <row r="51" spans="1:33" x14ac:dyDescent="0.25">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c r="AA51" s="28"/>
      <c r="AB51" s="28"/>
      <c r="AC51" s="28"/>
      <c r="AD51" s="28"/>
      <c r="AE51" s="28"/>
      <c r="AF51" s="28"/>
      <c r="AG51" s="28"/>
    </row>
    <row r="52" spans="1:33" x14ac:dyDescent="0.25">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c r="AA52" s="28"/>
      <c r="AB52" s="28"/>
      <c r="AC52" s="28"/>
      <c r="AD52" s="28"/>
      <c r="AE52" s="28"/>
      <c r="AF52" s="28"/>
      <c r="AG52" s="28"/>
    </row>
    <row r="53" spans="1:33" x14ac:dyDescent="0.25">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c r="AA53" s="28"/>
      <c r="AB53" s="28"/>
      <c r="AC53" s="28"/>
      <c r="AD53" s="28"/>
      <c r="AE53" s="28"/>
      <c r="AF53" s="28"/>
      <c r="AG53" s="28"/>
    </row>
    <row r="54" spans="1:33" x14ac:dyDescent="0.25">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c r="AA54" s="28"/>
      <c r="AB54" s="28"/>
      <c r="AC54" s="28"/>
      <c r="AD54" s="28"/>
      <c r="AE54" s="28"/>
      <c r="AF54" s="28"/>
      <c r="AG54" s="28"/>
    </row>
    <row r="55" spans="1:33" x14ac:dyDescent="0.25">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c r="AA55" s="28"/>
      <c r="AB55" s="28"/>
      <c r="AC55" s="28"/>
      <c r="AD55" s="28"/>
      <c r="AE55" s="28"/>
      <c r="AF55" s="28"/>
      <c r="AG55" s="28"/>
    </row>
    <row r="56" spans="1:33" x14ac:dyDescent="0.25">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c r="AA56" s="28"/>
      <c r="AB56" s="28"/>
      <c r="AC56" s="28"/>
      <c r="AD56" s="28"/>
      <c r="AE56" s="28"/>
      <c r="AF56" s="28"/>
      <c r="AG56" s="28"/>
    </row>
    <row r="57" spans="1:33" x14ac:dyDescent="0.25">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c r="AA57" s="28"/>
      <c r="AB57" s="28"/>
      <c r="AC57" s="28"/>
      <c r="AD57" s="28"/>
      <c r="AE57" s="28"/>
      <c r="AF57" s="28"/>
      <c r="AG57" s="28"/>
    </row>
    <row r="58" spans="1:33" x14ac:dyDescent="0.25">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c r="AG58" s="28"/>
    </row>
    <row r="59" spans="1:33" x14ac:dyDescent="0.25">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row>
    <row r="60" spans="1:33" x14ac:dyDescent="0.25">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8"/>
    </row>
    <row r="61" spans="1:33" x14ac:dyDescent="0.25">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row>
    <row r="62" spans="1:33" x14ac:dyDescent="0.25">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c r="AA62" s="28"/>
      <c r="AB62" s="28"/>
      <c r="AC62" s="28"/>
      <c r="AD62" s="28"/>
      <c r="AE62" s="28"/>
      <c r="AF62" s="28"/>
      <c r="AG62" s="28"/>
    </row>
    <row r="63" spans="1:33" x14ac:dyDescent="0.25">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c r="AA63" s="28"/>
      <c r="AB63" s="28"/>
      <c r="AC63" s="28"/>
      <c r="AD63" s="28"/>
      <c r="AE63" s="28"/>
      <c r="AF63" s="28"/>
      <c r="AG63" s="28"/>
    </row>
    <row r="64" spans="1:33" x14ac:dyDescent="0.25">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c r="AE64" s="28"/>
      <c r="AF64" s="28"/>
      <c r="AG64" s="28"/>
    </row>
    <row r="65" spans="1:33" x14ac:dyDescent="0.25">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c r="AA65" s="28"/>
      <c r="AB65" s="28"/>
      <c r="AC65" s="28"/>
      <c r="AD65" s="28"/>
      <c r="AE65" s="28"/>
      <c r="AF65" s="28"/>
      <c r="AG65" s="28"/>
    </row>
    <row r="66" spans="1:33" x14ac:dyDescent="0.25">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c r="AE66" s="28"/>
      <c r="AF66" s="28"/>
      <c r="AG66" s="28"/>
    </row>
    <row r="67" spans="1:33" x14ac:dyDescent="0.25">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c r="AE67" s="28"/>
      <c r="AF67" s="28"/>
      <c r="AG67" s="28"/>
    </row>
    <row r="68" spans="1:33" x14ac:dyDescent="0.25">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c r="AA68" s="28"/>
      <c r="AB68" s="28"/>
      <c r="AC68" s="28"/>
      <c r="AD68" s="28"/>
      <c r="AE68" s="28"/>
      <c r="AF68" s="28"/>
      <c r="AG68" s="28"/>
    </row>
  </sheetData>
  <mergeCells count="20">
    <mergeCell ref="F11:G11"/>
    <mergeCell ref="F12:G12"/>
    <mergeCell ref="F28:G28"/>
    <mergeCell ref="B15:C15"/>
    <mergeCell ref="M10:N10"/>
    <mergeCell ref="M11:N12"/>
    <mergeCell ref="F27:G27"/>
    <mergeCell ref="B10:C10"/>
    <mergeCell ref="B1:C1"/>
    <mergeCell ref="B6:C6"/>
    <mergeCell ref="E7:G7"/>
    <mergeCell ref="E8:G8"/>
    <mergeCell ref="G2:H2"/>
    <mergeCell ref="G3:H3"/>
    <mergeCell ref="M3:N3"/>
    <mergeCell ref="M16:N16"/>
    <mergeCell ref="I11:J11"/>
    <mergeCell ref="I12:J12"/>
    <mergeCell ref="J2:K2"/>
    <mergeCell ref="J3:K3"/>
  </mergeCells>
  <phoneticPr fontId="7" type="noConversion"/>
  <conditionalFormatting sqref="M13:N13">
    <cfRule type="expression" dxfId="27" priority="9">
      <formula>$C$23="FRM"</formula>
    </cfRule>
    <cfRule type="expression" dxfId="26" priority="10">
      <formula>$C$23="ARM"</formula>
    </cfRule>
  </conditionalFormatting>
  <dataValidations count="3">
    <dataValidation type="list" allowBlank="1" showInputMessage="1" showErrorMessage="1" sqref="B23" xr:uid="{FC357456-91AA-4689-964F-E414C0D83E6B}">
      <formula1>"10, 15 , 30,=$N$4"</formula1>
    </dataValidation>
    <dataValidation type="list" allowBlank="1" showInputMessage="1" showErrorMessage="1" sqref="E23" xr:uid="{C450F64E-19C8-4B41-BC06-ED748FE2B506}">
      <formula1>"0, 10, 15, 30,=$N$5"</formula1>
    </dataValidation>
    <dataValidation type="list" allowBlank="1" showInputMessage="1" showErrorMessage="1" sqref="C23" xr:uid="{232904E2-56E0-44B0-93A5-1257433B68E3}">
      <formula1>"FRM,ARM"</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65845-2EF4-4A19-A1C1-3026C1087859}">
  <sheetPr>
    <tabColor theme="9"/>
  </sheetPr>
  <dimension ref="A2:T362"/>
  <sheetViews>
    <sheetView topLeftCell="B1" workbookViewId="0">
      <selection activeCell="M10" sqref="M10"/>
    </sheetView>
  </sheetViews>
  <sheetFormatPr defaultRowHeight="15" x14ac:dyDescent="0.25"/>
  <cols>
    <col min="1" max="1" width="7.85546875" hidden="1" customWidth="1"/>
    <col min="2" max="2" width="12" bestFit="1" customWidth="1"/>
    <col min="3" max="3" width="7.28515625" customWidth="1"/>
    <col min="4" max="4" width="17.5703125" style="18" bestFit="1" customWidth="1"/>
    <col min="5" max="5" width="15.85546875" style="18" customWidth="1"/>
    <col min="6" max="6" width="26.28515625" style="18" bestFit="1" customWidth="1"/>
    <col min="7" max="7" width="16.85546875" style="18" bestFit="1" customWidth="1"/>
    <col min="8" max="8" width="29.7109375" style="18" customWidth="1"/>
    <col min="9" max="9" width="29.7109375" style="18" bestFit="1" customWidth="1"/>
    <col min="10" max="10" width="70.5703125" bestFit="1" customWidth="1"/>
    <col min="12" max="12" width="21.7109375" bestFit="1" customWidth="1"/>
    <col min="13" max="13" width="20.7109375" bestFit="1" customWidth="1"/>
  </cols>
  <sheetData>
    <row r="2" spans="1:13" x14ac:dyDescent="0.25">
      <c r="A2" t="s">
        <v>47</v>
      </c>
      <c r="B2" t="s">
        <v>48</v>
      </c>
      <c r="C2" t="s">
        <v>36</v>
      </c>
      <c r="D2" s="18" t="s">
        <v>51</v>
      </c>
      <c r="E2" s="18" t="s">
        <v>37</v>
      </c>
      <c r="F2" s="18" t="s">
        <v>38</v>
      </c>
      <c r="G2" s="18" t="s">
        <v>39</v>
      </c>
      <c r="H2" s="18" t="s">
        <v>41</v>
      </c>
      <c r="I2" s="18" t="s">
        <v>52</v>
      </c>
      <c r="J2" t="s">
        <v>97</v>
      </c>
    </row>
    <row r="3" spans="1:13" x14ac:dyDescent="0.25">
      <c r="A3" t="b">
        <f>IF(('Input Data'!$C$23)="FRM", FALSE, ISNUMBER(MATCH(C3,'Input Data'!$M$18:$M$30,0)))</f>
        <v>0</v>
      </c>
      <c r="B3" s="2">
        <f>'Input Data'!$D$23</f>
        <v>6.3500000000000001E-2</v>
      </c>
      <c r="C3" s="10">
        <v>1</v>
      </c>
      <c r="D3" s="19">
        <f>'Input Data'!B17*(1-'Input Data'!C17)</f>
        <v>10080000</v>
      </c>
      <c r="E3" s="18">
        <f>IF('Input Data'!E23=0,G3,IF(OR(D3&lt;=0,C3&gt;'Input Data'!$B$23*12),0,IF(AND(C3='Input Data'!$B$23*12,'Input Data'!$E$23&gt;'Input Data'!$B$23),D3+D3*B3/12,IF('Input Data'!$C$23="FRM",-PMT($B$3/12,'Input Data'!$E$23*12,$D$3),IF($A3,-PMT(B3/12,('Input Data'!$E$23*12)-C3+1,D3),-PMT(B3/12,'Input Data'!E23*12,'Debt calculations'!D3))))))</f>
        <v>67119.120862402575</v>
      </c>
      <c r="F3" s="18">
        <f>IF(D3-E3&lt;0,0,D3-E3)</f>
        <v>10012880.879137598</v>
      </c>
      <c r="G3" s="18">
        <f>IF(C3&gt;'Input Data'!$B$23*12,0,D3*B3/12)</f>
        <v>53340</v>
      </c>
      <c r="H3" s="18">
        <f>MIN(E3-G3,D3)</f>
        <v>13779.120862402575</v>
      </c>
      <c r="I3" s="18">
        <f>IF(ROUND(D3-H3,2)=0,0,D3-H3)</f>
        <v>10066220.879137598</v>
      </c>
    </row>
    <row r="4" spans="1:13" x14ac:dyDescent="0.25">
      <c r="A4" t="b">
        <f>IF(('Input Data'!$C$23)="FRM", FALSE, ISNUMBER(MATCH(C4,'Input Data'!$M$18:$M$30,0)))</f>
        <v>0</v>
      </c>
      <c r="B4" s="8">
        <f>IF($A4, _xlfn.XLOOKUP(C4,'Input Data'!$M$17:$M$29,'Input Data'!$N$17:$N$29),$B3)</f>
        <v>6.3500000000000001E-2</v>
      </c>
      <c r="C4" s="10">
        <f>C3+1</f>
        <v>2</v>
      </c>
      <c r="D4" s="18">
        <f>IF(I3&gt;0,I3-J3,0)</f>
        <v>10066220.879137598</v>
      </c>
      <c r="E4" s="18">
        <f>IF('Input Data'!$E$23=0,G4,IF(OR(D4&lt;=0,C4&gt;'Input Data'!$B$23*12),0,IF(AND(C4='Input Data'!$B$23*12,'Input Data'!$E$23&gt;'Input Data'!$B$23),D4+D4*B4/12,IF('Input Data'!$C$23="FRM",-PMT($B$3/12,'Input Data'!$E$23*12,$D$3),IF($A4,-PMT(B4/12,('Input Data'!$E$23*12)-C4+1,D4),E3)))))</f>
        <v>67119.120862402575</v>
      </c>
      <c r="F4" s="18">
        <f t="shared" ref="F4:F67" si="0">IF(D4-E4&lt;0,0,D4-E4)</f>
        <v>9999101.758275196</v>
      </c>
      <c r="G4" s="18">
        <f>IF(C4&gt;'Input Data'!$B$23*12,0,D4*B4/12)</f>
        <v>53267.085485436459</v>
      </c>
      <c r="H4" s="18">
        <f t="shared" ref="H4:H66" si="1">MIN(E4-G4,D4)</f>
        <v>13852.035376966116</v>
      </c>
      <c r="I4" s="18">
        <f>IF(ROUND(D4-H4,2)=0,0,D4-H4)</f>
        <v>10052368.843760632</v>
      </c>
    </row>
    <row r="5" spans="1:13" x14ac:dyDescent="0.25">
      <c r="A5" t="b">
        <f>IF(('Input Data'!$C$23)="FRM", FALSE, ISNUMBER(MATCH(C5,'Input Data'!$M$18:$M$30,0)))</f>
        <v>0</v>
      </c>
      <c r="B5" s="8">
        <f>IF($A5, _xlfn.XLOOKUP(C5,'Input Data'!$M$17:$M$29,'Input Data'!$N$17:$N$29),$B4)</f>
        <v>6.3500000000000001E-2</v>
      </c>
      <c r="C5" s="10">
        <f t="shared" ref="C5:C68" si="2">C4+1</f>
        <v>3</v>
      </c>
      <c r="D5" s="18">
        <f>IF(I4&gt;0,I4-J4,0)</f>
        <v>10052368.843760632</v>
      </c>
      <c r="E5" s="18">
        <f>IF('Input Data'!$E$23=0,G5,IF(OR(D5&lt;=0,C5&gt;'Input Data'!$B$23*12),0,IF(AND(C5='Input Data'!$B$23*12,'Input Data'!$E$23&gt;'Input Data'!$B$23),D5+D5*B5/12,IF('Input Data'!$C$23="FRM",-PMT($B$3/12,'Input Data'!$E$23*12,$D$3),IF($A5,-PMT(B5/12,('Input Data'!$E$23*12)-C5+1,D5),E4)))))</f>
        <v>67119.120862402575</v>
      </c>
      <c r="F5" s="18">
        <f t="shared" si="0"/>
        <v>9985249.72289823</v>
      </c>
      <c r="G5" s="18">
        <f>IF(C5&gt;'Input Data'!$B$23*12,0,D5*B5/12)</f>
        <v>53193.785131566685</v>
      </c>
      <c r="H5" s="18">
        <f>MIN(E5-G5,D5)</f>
        <v>13925.33573083589</v>
      </c>
      <c r="I5" s="18">
        <f t="shared" ref="I5:I67" si="3">IF(ROUND(D5-H5,2)=0,0,D5-H5)</f>
        <v>10038443.508029796</v>
      </c>
    </row>
    <row r="6" spans="1:13" x14ac:dyDescent="0.25">
      <c r="A6" t="b">
        <f>IF(('Input Data'!$C$23)="FRM", FALSE, ISNUMBER(MATCH(C6,'Input Data'!$M$18:$M$30,0)))</f>
        <v>0</v>
      </c>
      <c r="B6" s="8">
        <f>IF($A6, _xlfn.XLOOKUP(C6,'Input Data'!$M$17:$M$29,'Input Data'!$N$17:$N$29),$B5)</f>
        <v>6.3500000000000001E-2</v>
      </c>
      <c r="C6" s="10">
        <f t="shared" si="2"/>
        <v>4</v>
      </c>
      <c r="D6" s="18">
        <f>IF(I5&gt;0,I5-J5,0)</f>
        <v>10038443.508029796</v>
      </c>
      <c r="E6" s="18">
        <f>IF('Input Data'!$E$23=0,G6,IF(OR(D6&lt;=0,C6&gt;'Input Data'!$B$23*12),0,IF(AND(C6='Input Data'!$B$23*12,'Input Data'!$E$23&gt;'Input Data'!$B$23),D6+D6*B6/12,IF('Input Data'!$C$23="FRM",-PMT($B$3/12,'Input Data'!$E$23*12,$D$3),IF($A6,-PMT(B6/12,('Input Data'!$E$23*12)-C6+1,D6),E5)))))</f>
        <v>67119.120862402575</v>
      </c>
      <c r="F6" s="18">
        <f t="shared" si="0"/>
        <v>9971324.3871673942</v>
      </c>
      <c r="G6" s="18">
        <f>IF(C6&gt;'Input Data'!$B$23*12,0,D6*B6/12)</f>
        <v>53120.096896657669</v>
      </c>
      <c r="H6" s="18">
        <f t="shared" si="1"/>
        <v>13999.023965744906</v>
      </c>
      <c r="I6" s="18">
        <f t="shared" si="3"/>
        <v>10024444.484064052</v>
      </c>
    </row>
    <row r="7" spans="1:13" x14ac:dyDescent="0.25">
      <c r="A7" t="b">
        <f>IF(('Input Data'!$C$23)="FRM", FALSE, ISNUMBER(MATCH(C7,'Input Data'!$M$18:$M$30,0)))</f>
        <v>0</v>
      </c>
      <c r="B7" s="8">
        <f>IF($A7, _xlfn.XLOOKUP(C7,'Input Data'!$M$17:$M$29,'Input Data'!$N$17:$N$29),$B6)</f>
        <v>6.3500000000000001E-2</v>
      </c>
      <c r="C7" s="10">
        <f>C6+1</f>
        <v>5</v>
      </c>
      <c r="D7" s="18">
        <f>IF(I6&gt;0,I6-J6,0)</f>
        <v>10024444.484064052</v>
      </c>
      <c r="E7" s="18">
        <f>IF('Input Data'!$E$23=0,G7,IF(OR(D7&lt;=0,C7&gt;'Input Data'!$B$23*12),0,IF(AND(C7='Input Data'!$B$23*12,'Input Data'!$E$23&gt;'Input Data'!$B$23),D7+D7*B7/12,IF('Input Data'!$C$23="FRM",-PMT($B$3/12,'Input Data'!$E$23*12,$D$3),IF($A7,-PMT(B7/12,('Input Data'!$E$23*12)-C7+1,D7),E6)))))</f>
        <v>67119.120862402575</v>
      </c>
      <c r="F7" s="18">
        <f t="shared" si="0"/>
        <v>9957325.3632016499</v>
      </c>
      <c r="G7" s="18">
        <f>IF(C7&gt;'Input Data'!$B$23*12,0,D7*B7/12)</f>
        <v>53046.018728172268</v>
      </c>
      <c r="H7" s="18">
        <f t="shared" si="1"/>
        <v>14073.102134230307</v>
      </c>
      <c r="I7" s="18">
        <f t="shared" si="3"/>
        <v>10010371.381929822</v>
      </c>
    </row>
    <row r="8" spans="1:13" x14ac:dyDescent="0.25">
      <c r="A8" t="b">
        <f>IF(('Input Data'!$C$23)="FRM", FALSE, ISNUMBER(MATCH(C8,'Input Data'!$M$18:$M$30,0)))</f>
        <v>0</v>
      </c>
      <c r="B8" s="8">
        <f>IF($A8, _xlfn.XLOOKUP(C8,'Input Data'!$M$17:$M$29,'Input Data'!$N$17:$N$29),$B7)</f>
        <v>6.3500000000000001E-2</v>
      </c>
      <c r="C8" s="10">
        <f t="shared" si="2"/>
        <v>6</v>
      </c>
      <c r="D8" s="18">
        <f t="shared" ref="D8:D68" si="4">IF(I7&gt;0,I7-J7,0)</f>
        <v>10010371.381929822</v>
      </c>
      <c r="E8" s="18">
        <f>IF('Input Data'!$E$23=0,G8,IF(OR(D8&lt;=0,C8&gt;'Input Data'!$B$23*12),0,IF(AND(C8='Input Data'!$B$23*12,'Input Data'!$E$23&gt;'Input Data'!$B$23),D8+D8*B8/12,IF('Input Data'!$C$23="FRM",-PMT($B$3/12,'Input Data'!$E$23*12,$D$3),IF($A8,-PMT(B8/12,('Input Data'!$E$23*12)-C8+1,D8),E7)))))</f>
        <v>67119.120862402575</v>
      </c>
      <c r="F8" s="18">
        <f t="shared" si="0"/>
        <v>9943252.2610674202</v>
      </c>
      <c r="G8" s="18">
        <f>IF(C8&gt;'Input Data'!$B$23*12,0,D8*B8/12)</f>
        <v>52971.548562711978</v>
      </c>
      <c r="H8" s="18">
        <f t="shared" si="1"/>
        <v>14147.572299690597</v>
      </c>
      <c r="I8" s="18">
        <f t="shared" si="3"/>
        <v>9996223.8096301313</v>
      </c>
      <c r="M8" s="7"/>
    </row>
    <row r="9" spans="1:13" x14ac:dyDescent="0.25">
      <c r="A9" t="b">
        <f>IF(('Input Data'!$C$23)="FRM", FALSE, ISNUMBER(MATCH(C9,'Input Data'!$M$18:$M$30,0)))</f>
        <v>0</v>
      </c>
      <c r="B9" s="8">
        <f>IF($A9, _xlfn.XLOOKUP(C9,'Input Data'!$M$17:$M$29,'Input Data'!$N$17:$N$29),$B8)</f>
        <v>6.3500000000000001E-2</v>
      </c>
      <c r="C9" s="10">
        <f t="shared" si="2"/>
        <v>7</v>
      </c>
      <c r="D9" s="18">
        <f t="shared" si="4"/>
        <v>9996223.8096301313</v>
      </c>
      <c r="E9" s="18">
        <f>IF('Input Data'!$E$23=0,G9,IF(OR(D9&lt;=0,C9&gt;'Input Data'!$B$23*12),0,IF(AND(C9='Input Data'!$B$23*12,'Input Data'!$E$23&gt;'Input Data'!$B$23),D9+D9*B9/12,IF('Input Data'!$C$23="FRM",-PMT($B$3/12,'Input Data'!$E$23*12,$D$3),IF($A9,-PMT(B9/12,('Input Data'!$E$23*12)-C9+1,D9),E8)))))</f>
        <v>67119.120862402575</v>
      </c>
      <c r="F9" s="18">
        <f t="shared" si="0"/>
        <v>9929104.6887677293</v>
      </c>
      <c r="G9" s="18">
        <f>IF(C9&gt;'Input Data'!$B$23*12,0,D9*B9/12)</f>
        <v>52896.684325959446</v>
      </c>
      <c r="H9" s="18">
        <f t="shared" si="1"/>
        <v>14222.436536443129</v>
      </c>
      <c r="I9" s="18">
        <f t="shared" si="3"/>
        <v>9982001.3730936889</v>
      </c>
      <c r="L9" s="21" t="s">
        <v>73</v>
      </c>
      <c r="M9" s="22">
        <f>12*'Input Data'!B23</f>
        <v>264</v>
      </c>
    </row>
    <row r="10" spans="1:13" x14ac:dyDescent="0.25">
      <c r="A10" t="b">
        <f>IF(('Input Data'!$C$23)="FRM", FALSE, ISNUMBER(MATCH(C10,'Input Data'!$M$18:$M$30,0)))</f>
        <v>0</v>
      </c>
      <c r="B10" s="8">
        <f>IF($A10, _xlfn.XLOOKUP(C10,'Input Data'!$M$17:$M$29,'Input Data'!$N$17:$N$29),$B9)</f>
        <v>6.3500000000000001E-2</v>
      </c>
      <c r="C10" s="10">
        <f t="shared" si="2"/>
        <v>8</v>
      </c>
      <c r="D10" s="18">
        <f t="shared" si="4"/>
        <v>9982001.3730936889</v>
      </c>
      <c r="E10" s="18">
        <f>IF('Input Data'!$E$23=0,G10,IF(OR(D10&lt;=0,C10&gt;'Input Data'!$B$23*12),0,IF(AND(C10='Input Data'!$B$23*12,'Input Data'!$E$23&gt;'Input Data'!$B$23),D10+D10*B10/12,IF('Input Data'!$C$23="FRM",-PMT($B$3/12,'Input Data'!$E$23*12,$D$3),IF($A10,-PMT(B10/12,('Input Data'!$E$23*12)-C10+1,D10),E9)))))</f>
        <v>67119.120862402575</v>
      </c>
      <c r="F10" s="18">
        <f t="shared" si="0"/>
        <v>9914882.2522312868</v>
      </c>
      <c r="G10" s="18">
        <f>IF(C10&gt;'Input Data'!$B$23*12,0,D10*B10/12)</f>
        <v>52821.423932620768</v>
      </c>
      <c r="H10" s="18">
        <f t="shared" si="1"/>
        <v>14297.696929781807</v>
      </c>
      <c r="I10" s="18">
        <f t="shared" si="3"/>
        <v>9967703.6761639062</v>
      </c>
      <c r="L10" s="23" t="s">
        <v>74</v>
      </c>
      <c r="M10" s="24">
        <f>IF('Input Data'!$E$23&lt;='Input Data'!$B$23,"No Balloon Payment",_xlfn.XLOOKUP(M9,C3:C362,E3:E362,"Value Not  Found"))</f>
        <v>2204814.5417961222</v>
      </c>
    </row>
    <row r="11" spans="1:13" x14ac:dyDescent="0.25">
      <c r="A11" t="b">
        <f>IF(('Input Data'!$C$23)="FRM", FALSE, ISNUMBER(MATCH(C11,'Input Data'!$M$18:$M$30,0)))</f>
        <v>0</v>
      </c>
      <c r="B11" s="8">
        <f>IF($A11, _xlfn.XLOOKUP(C11,'Input Data'!$M$17:$M$29,'Input Data'!$N$17:$N$29),$B10)</f>
        <v>6.3500000000000001E-2</v>
      </c>
      <c r="C11" s="10">
        <f t="shared" si="2"/>
        <v>9</v>
      </c>
      <c r="D11" s="18">
        <f t="shared" si="4"/>
        <v>9967703.6761639062</v>
      </c>
      <c r="E11" s="18">
        <f>IF('Input Data'!$E$23=0,G11,IF(OR(D11&lt;=0,C11&gt;'Input Data'!$B$23*12),0,IF(AND(C11='Input Data'!$B$23*12,'Input Data'!$E$23&gt;'Input Data'!$B$23),D11+D11*B11/12,IF('Input Data'!$C$23="FRM",-PMT($B$3/12,'Input Data'!$E$23*12,$D$3),IF($A11,-PMT(B11/12,('Input Data'!$E$23*12)-C11+1,D11),E10)))))</f>
        <v>67119.120862402575</v>
      </c>
      <c r="F11" s="18">
        <f t="shared" si="0"/>
        <v>9900584.5553015042</v>
      </c>
      <c r="G11" s="18">
        <f>IF(C11&gt;'Input Data'!$B$23*12,0,D11*B11/12)</f>
        <v>52745.765286367336</v>
      </c>
      <c r="H11" s="18">
        <f t="shared" si="1"/>
        <v>14373.355576035239</v>
      </c>
      <c r="I11" s="18">
        <f t="shared" si="3"/>
        <v>9953330.3205878716</v>
      </c>
    </row>
    <row r="12" spans="1:13" x14ac:dyDescent="0.25">
      <c r="A12" t="b">
        <f>IF(('Input Data'!$C$23)="FRM", FALSE, ISNUMBER(MATCH(C12,'Input Data'!$M$18:$M$30,0)))</f>
        <v>0</v>
      </c>
      <c r="B12" s="8">
        <f>IF($A12, _xlfn.XLOOKUP(C12,'Input Data'!$M$17:$M$29,'Input Data'!$N$17:$N$29),$B11)</f>
        <v>6.3500000000000001E-2</v>
      </c>
      <c r="C12" s="10">
        <f t="shared" si="2"/>
        <v>10</v>
      </c>
      <c r="D12" s="18">
        <f t="shared" si="4"/>
        <v>9953330.3205878716</v>
      </c>
      <c r="E12" s="18">
        <f>IF('Input Data'!$E$23=0,G12,IF(OR(D12&lt;=0,C12&gt;'Input Data'!$B$23*12),0,IF(AND(C12='Input Data'!$B$23*12,'Input Data'!$E$23&gt;'Input Data'!$B$23),D12+D12*B12/12,IF('Input Data'!$C$23="FRM",-PMT($B$3/12,'Input Data'!$E$23*12,$D$3),IF($A12,-PMT(B12/12,('Input Data'!$E$23*12)-C12+1,D12),E11)))))</f>
        <v>67119.120862402575</v>
      </c>
      <c r="F12" s="18">
        <f t="shared" si="0"/>
        <v>9886211.1997254696</v>
      </c>
      <c r="G12" s="18">
        <f>IF(C12&gt;'Input Data'!$B$23*12,0,D12*B12/12)</f>
        <v>52669.706279777485</v>
      </c>
      <c r="H12" s="18">
        <f t="shared" si="1"/>
        <v>14449.41458262509</v>
      </c>
      <c r="I12" s="18">
        <f t="shared" si="3"/>
        <v>9938880.9060052466</v>
      </c>
    </row>
    <row r="13" spans="1:13" x14ac:dyDescent="0.25">
      <c r="A13" t="b">
        <f>IF(('Input Data'!$C$23)="FRM", FALSE, ISNUMBER(MATCH(C13,'Input Data'!$M$18:$M$30,0)))</f>
        <v>0</v>
      </c>
      <c r="B13" s="8">
        <f>IF($A13, _xlfn.XLOOKUP(C13,'Input Data'!$M$17:$M$29,'Input Data'!$N$17:$N$29),$B12)</f>
        <v>6.3500000000000001E-2</v>
      </c>
      <c r="C13" s="10">
        <f t="shared" si="2"/>
        <v>11</v>
      </c>
      <c r="D13" s="18">
        <f t="shared" si="4"/>
        <v>9938880.9060052466</v>
      </c>
      <c r="E13" s="18">
        <f>IF('Input Data'!$E$23=0,G13,IF(OR(D13&lt;=0,C13&gt;'Input Data'!$B$23*12),0,IF(AND(C13='Input Data'!$B$23*12,'Input Data'!$E$23&gt;'Input Data'!$B$23),D13+D13*B13/12,IF('Input Data'!$C$23="FRM",-PMT($B$3/12,'Input Data'!$E$23*12,$D$3),IF($A13,-PMT(B13/12,('Input Data'!$E$23*12)-C13+1,D13),E12)))))</f>
        <v>67119.120862402575</v>
      </c>
      <c r="F13" s="18">
        <f t="shared" si="0"/>
        <v>9871761.7851428445</v>
      </c>
      <c r="G13" s="18">
        <f>IF(C13&gt;'Input Data'!$B$23*12,0,D13*B13/12)</f>
        <v>52593.244794277765</v>
      </c>
      <c r="H13" s="18">
        <f t="shared" si="1"/>
        <v>14525.87606812481</v>
      </c>
      <c r="I13" s="18">
        <f t="shared" si="3"/>
        <v>9924355.029937122</v>
      </c>
    </row>
    <row r="14" spans="1:13" x14ac:dyDescent="0.25">
      <c r="A14" t="b">
        <f>IF(('Input Data'!$C$23)="FRM", FALSE, ISNUMBER(MATCH(C14,'Input Data'!$M$18:$M$30,0)))</f>
        <v>0</v>
      </c>
      <c r="B14" s="8">
        <f>IF($A14, _xlfn.XLOOKUP(C14,'Input Data'!$M$17:$M$29,'Input Data'!$N$17:$N$29),$B13)</f>
        <v>6.3500000000000001E-2</v>
      </c>
      <c r="C14" s="10">
        <f t="shared" si="2"/>
        <v>12</v>
      </c>
      <c r="D14" s="18">
        <f t="shared" si="4"/>
        <v>9924355.029937122</v>
      </c>
      <c r="E14" s="18">
        <f>IF('Input Data'!$E$23=0,G14,IF(OR(D14&lt;=0,C14&gt;'Input Data'!$B$23*12),0,IF(AND(C14='Input Data'!$B$23*12,'Input Data'!$E$23&gt;'Input Data'!$B$23),D14+D14*B14/12,IF('Input Data'!$C$23="FRM",-PMT($B$3/12,'Input Data'!$E$23*12,$D$3),IF($A14,-PMT(B14/12,('Input Data'!$E$23*12)-C14+1,D14),E13)))))</f>
        <v>67119.120862402575</v>
      </c>
      <c r="F14" s="18">
        <f t="shared" si="0"/>
        <v>9857235.90907472</v>
      </c>
      <c r="G14" s="18">
        <f>IF(C14&gt;'Input Data'!$B$23*12,0,D14*B14/12)</f>
        <v>52516.378700083937</v>
      </c>
      <c r="H14" s="18">
        <f t="shared" si="1"/>
        <v>14602.742162318638</v>
      </c>
      <c r="I14" s="18">
        <f t="shared" si="3"/>
        <v>9909752.2877748031</v>
      </c>
    </row>
    <row r="15" spans="1:13" x14ac:dyDescent="0.25">
      <c r="A15" t="b">
        <f>IF(('Input Data'!$C$23)="FRM", FALSE, ISNUMBER(MATCH(C15,'Input Data'!$M$18:$M$30,0)))</f>
        <v>0</v>
      </c>
      <c r="B15" s="8">
        <f>IF($A15, _xlfn.XLOOKUP(C15,'Input Data'!$M$17:$M$29,'Input Data'!$N$17:$N$29),$B14)</f>
        <v>6.3500000000000001E-2</v>
      </c>
      <c r="C15" s="10">
        <f t="shared" si="2"/>
        <v>13</v>
      </c>
      <c r="D15" s="18">
        <f t="shared" si="4"/>
        <v>9909752.2877748031</v>
      </c>
      <c r="E15" s="18">
        <f>IF('Input Data'!$E$23=0,G15,IF(OR(D15&lt;=0,C15&gt;'Input Data'!$B$23*12),0,IF(AND(C15='Input Data'!$B$23*12,'Input Data'!$E$23&gt;'Input Data'!$B$23),D15+D15*B15/12,IF('Input Data'!$C$23="FRM",-PMT($B$3/12,'Input Data'!$E$23*12,$D$3),IF($A15,-PMT(B15/12,('Input Data'!$E$23*12)-C15+1,D15),E14)))))</f>
        <v>67119.120862402575</v>
      </c>
      <c r="F15" s="18">
        <f t="shared" si="0"/>
        <v>9842633.1669124011</v>
      </c>
      <c r="G15" s="18">
        <f>IF(C15&gt;'Input Data'!$B$23*12,0,D15*B15/12)</f>
        <v>52439.105856141665</v>
      </c>
      <c r="H15" s="18">
        <f t="shared" si="1"/>
        <v>14680.01500626091</v>
      </c>
      <c r="I15" s="18">
        <f t="shared" si="3"/>
        <v>9895072.2727685422</v>
      </c>
    </row>
    <row r="16" spans="1:13" x14ac:dyDescent="0.25">
      <c r="A16" t="b">
        <f>IF(('Input Data'!$C$23)="FRM", FALSE, ISNUMBER(MATCH(C16,'Input Data'!$M$18:$M$30,0)))</f>
        <v>0</v>
      </c>
      <c r="B16" s="8">
        <f>IF($A16, _xlfn.XLOOKUP(C16,'Input Data'!$M$17:$M$29,'Input Data'!$N$17:$N$29),$B15)</f>
        <v>6.3500000000000001E-2</v>
      </c>
      <c r="C16" s="10">
        <f t="shared" si="2"/>
        <v>14</v>
      </c>
      <c r="D16" s="18">
        <f t="shared" si="4"/>
        <v>9895072.2727685422</v>
      </c>
      <c r="E16" s="18">
        <f>IF('Input Data'!$E$23=0,G16,IF(OR(D16&lt;=0,C16&gt;'Input Data'!$B$23*12),0,IF(AND(C16='Input Data'!$B$23*12,'Input Data'!$E$23&gt;'Input Data'!$B$23),D16+D16*B16/12,IF('Input Data'!$C$23="FRM",-PMT($B$3/12,'Input Data'!$E$23*12,$D$3),IF($A16,-PMT(B16/12,('Input Data'!$E$23*12)-C16+1,D16),E15)))))</f>
        <v>67119.120862402575</v>
      </c>
      <c r="F16" s="18">
        <f t="shared" si="0"/>
        <v>9827953.1519061401</v>
      </c>
      <c r="G16" s="18">
        <f>IF(C16&gt;'Input Data'!$B$23*12,0,D16*B16/12)</f>
        <v>52361.424110066873</v>
      </c>
      <c r="H16" s="18">
        <f t="shared" si="1"/>
        <v>14757.696752335702</v>
      </c>
      <c r="I16" s="18">
        <f t="shared" si="3"/>
        <v>9880314.5760162063</v>
      </c>
    </row>
    <row r="17" spans="1:17" x14ac:dyDescent="0.25">
      <c r="A17" t="b">
        <f>IF(('Input Data'!$C$23)="FRM", FALSE, ISNUMBER(MATCH(C17,'Input Data'!$M$18:$M$30,0)))</f>
        <v>0</v>
      </c>
      <c r="B17" s="8">
        <f>IF($A17, _xlfn.XLOOKUP(C17,'Input Data'!$M$17:$M$29,'Input Data'!$N$17:$N$29),$B16)</f>
        <v>6.3500000000000001E-2</v>
      </c>
      <c r="C17" s="10">
        <f t="shared" si="2"/>
        <v>15</v>
      </c>
      <c r="D17" s="18">
        <f t="shared" si="4"/>
        <v>9880314.5760162063</v>
      </c>
      <c r="E17" s="18">
        <f>IF('Input Data'!$E$23=0,G17,IF(OR(D17&lt;=0,C17&gt;'Input Data'!$B$23*12),0,IF(AND(C17='Input Data'!$B$23*12,'Input Data'!$E$23&gt;'Input Data'!$B$23),D17+D17*B17/12,IF('Input Data'!$C$23="FRM",-PMT($B$3/12,'Input Data'!$E$23*12,$D$3),IF($A17,-PMT(B17/12,('Input Data'!$E$23*12)-C17+1,D17),E16)))))</f>
        <v>67119.120862402575</v>
      </c>
      <c r="F17" s="18">
        <f t="shared" si="0"/>
        <v>9813195.4551538043</v>
      </c>
      <c r="G17" s="18">
        <f>IF(C17&gt;'Input Data'!$B$23*12,0,D17*B17/12)</f>
        <v>52283.331298085752</v>
      </c>
      <c r="H17" s="18">
        <f t="shared" si="1"/>
        <v>14835.789564316823</v>
      </c>
      <c r="I17" s="18">
        <f t="shared" si="3"/>
        <v>9865478.7864518892</v>
      </c>
    </row>
    <row r="18" spans="1:17" x14ac:dyDescent="0.25">
      <c r="A18" t="b">
        <f>IF(('Input Data'!$C$23)="FRM", FALSE, ISNUMBER(MATCH(C18,'Input Data'!$M$18:$M$30,0)))</f>
        <v>0</v>
      </c>
      <c r="B18" s="8">
        <f>IF($A18, _xlfn.XLOOKUP(C18,'Input Data'!$M$17:$M$29,'Input Data'!$N$17:$N$29),$B17)</f>
        <v>6.3500000000000001E-2</v>
      </c>
      <c r="C18" s="10">
        <f t="shared" si="2"/>
        <v>16</v>
      </c>
      <c r="D18" s="18">
        <f t="shared" si="4"/>
        <v>9865478.7864518892</v>
      </c>
      <c r="E18" s="18">
        <f>IF('Input Data'!$E$23=0,G18,IF(OR(D18&lt;=0,C18&gt;'Input Data'!$B$23*12),0,IF(AND(C18='Input Data'!$B$23*12,'Input Data'!$E$23&gt;'Input Data'!$B$23),D18+D18*B18/12,IF('Input Data'!$C$23="FRM",-PMT($B$3/12,'Input Data'!$E$23*12,$D$3),IF($A18,-PMT(B18/12,('Input Data'!$E$23*12)-C18+1,D18),E17)))))</f>
        <v>67119.120862402575</v>
      </c>
      <c r="F18" s="18">
        <f t="shared" si="0"/>
        <v>9798359.6655894872</v>
      </c>
      <c r="G18" s="18">
        <f>IF(C18&gt;'Input Data'!$B$23*12,0,D18*B18/12)</f>
        <v>52204.825244974578</v>
      </c>
      <c r="H18" s="18">
        <f t="shared" si="1"/>
        <v>14914.295617427997</v>
      </c>
      <c r="I18" s="18">
        <f t="shared" si="3"/>
        <v>9850564.4908344615</v>
      </c>
    </row>
    <row r="19" spans="1:17" x14ac:dyDescent="0.25">
      <c r="A19" t="b">
        <f>IF(('Input Data'!$C$23)="FRM", FALSE, ISNUMBER(MATCH(C19,'Input Data'!$M$18:$M$30,0)))</f>
        <v>0</v>
      </c>
      <c r="B19" s="8">
        <f>IF($A19, _xlfn.XLOOKUP(C19,'Input Data'!$M$17:$M$29,'Input Data'!$N$17:$N$29),$B18)</f>
        <v>6.3500000000000001E-2</v>
      </c>
      <c r="C19" s="10">
        <f t="shared" si="2"/>
        <v>17</v>
      </c>
      <c r="D19" s="18">
        <f t="shared" si="4"/>
        <v>9850564.4908344615</v>
      </c>
      <c r="E19" s="18">
        <f>IF('Input Data'!$E$23=0,G19,IF(OR(D19&lt;=0,C19&gt;'Input Data'!$B$23*12),0,IF(AND(C19='Input Data'!$B$23*12,'Input Data'!$E$23&gt;'Input Data'!$B$23),D19+D19*B19/12,IF('Input Data'!$C$23="FRM",-PMT($B$3/12,'Input Data'!$E$23*12,$D$3),IF($A19,-PMT(B19/12,('Input Data'!$E$23*12)-C19+1,D19),E18)))))</f>
        <v>67119.120862402575</v>
      </c>
      <c r="F19" s="18">
        <f t="shared" si="0"/>
        <v>9783445.3699720595</v>
      </c>
      <c r="G19" s="18">
        <f>IF(C19&gt;'Input Data'!$B$23*12,0,D19*B19/12)</f>
        <v>52125.903763999027</v>
      </c>
      <c r="H19" s="18">
        <f t="shared" si="1"/>
        <v>14993.217098403547</v>
      </c>
      <c r="I19" s="18">
        <f t="shared" si="3"/>
        <v>9835571.2737360578</v>
      </c>
    </row>
    <row r="20" spans="1:17" x14ac:dyDescent="0.25">
      <c r="A20" t="b">
        <f>IF(('Input Data'!$C$23)="FRM", FALSE, ISNUMBER(MATCH(C20,'Input Data'!$M$18:$M$30,0)))</f>
        <v>0</v>
      </c>
      <c r="B20" s="8">
        <f>IF($A20, _xlfn.XLOOKUP(C20,'Input Data'!$M$17:$M$29,'Input Data'!$N$17:$N$29),$B19)</f>
        <v>6.3500000000000001E-2</v>
      </c>
      <c r="C20" s="10">
        <f t="shared" si="2"/>
        <v>18</v>
      </c>
      <c r="D20" s="18">
        <f t="shared" si="4"/>
        <v>9835571.2737360578</v>
      </c>
      <c r="E20" s="18">
        <f>IF('Input Data'!$E$23=0,G20,IF(OR(D20&lt;=0,C20&gt;'Input Data'!$B$23*12),0,IF(AND(C20='Input Data'!$B$23*12,'Input Data'!$E$23&gt;'Input Data'!$B$23),D20+D20*B20/12,IF('Input Data'!$C$23="FRM",-PMT($B$3/12,'Input Data'!$E$23*12,$D$3),IF($A20,-PMT(B20/12,('Input Data'!$E$23*12)-C20+1,D20),E19)))))</f>
        <v>67119.120862402575</v>
      </c>
      <c r="F20" s="18">
        <f t="shared" si="0"/>
        <v>9768452.1528736558</v>
      </c>
      <c r="G20" s="18">
        <f>IF(C20&gt;'Input Data'!$B$23*12,0,D20*B20/12)</f>
        <v>52046.564656853305</v>
      </c>
      <c r="H20" s="18">
        <f t="shared" si="1"/>
        <v>15072.55620554927</v>
      </c>
      <c r="I20" s="18">
        <f t="shared" si="3"/>
        <v>9820498.7175305095</v>
      </c>
    </row>
    <row r="21" spans="1:17" x14ac:dyDescent="0.25">
      <c r="A21" t="b">
        <f>IF(('Input Data'!$C$23)="FRM", FALSE, ISNUMBER(MATCH(C21,'Input Data'!$M$18:$M$30,0)))</f>
        <v>0</v>
      </c>
      <c r="B21" s="8">
        <f>IF($A21, _xlfn.XLOOKUP(C21,'Input Data'!$M$17:$M$29,'Input Data'!$N$17:$N$29),$B20)</f>
        <v>6.3500000000000001E-2</v>
      </c>
      <c r="C21" s="10">
        <f t="shared" si="2"/>
        <v>19</v>
      </c>
      <c r="D21" s="18">
        <f t="shared" si="4"/>
        <v>9820498.7175305095</v>
      </c>
      <c r="E21" s="18">
        <f>IF('Input Data'!$E$23=0,G21,IF(OR(D21&lt;=0,C21&gt;'Input Data'!$B$23*12),0,IF(AND(C21='Input Data'!$B$23*12,'Input Data'!$E$23&gt;'Input Data'!$B$23),D21+D21*B21/12,IF('Input Data'!$C$23="FRM",-PMT($B$3/12,'Input Data'!$E$23*12,$D$3),IF($A21,-PMT(B21/12,('Input Data'!$E$23*12)-C21+1,D21),E20)))))</f>
        <v>67119.120862402575</v>
      </c>
      <c r="F21" s="18">
        <f t="shared" si="0"/>
        <v>9753379.5966681074</v>
      </c>
      <c r="G21" s="18">
        <f>IF(C21&gt;'Input Data'!$B$23*12,0,D21*B21/12)</f>
        <v>51966.805713598944</v>
      </c>
      <c r="H21" s="18">
        <f t="shared" si="1"/>
        <v>15152.315148803631</v>
      </c>
      <c r="I21" s="18">
        <f t="shared" si="3"/>
        <v>9805346.4023817051</v>
      </c>
      <c r="L21" s="125" t="s">
        <v>135</v>
      </c>
      <c r="M21" s="15"/>
      <c r="N21" s="15"/>
      <c r="O21" s="15"/>
      <c r="P21" s="15"/>
      <c r="Q21" s="22"/>
    </row>
    <row r="22" spans="1:17" x14ac:dyDescent="0.25">
      <c r="A22" t="b">
        <f>IF(('Input Data'!$C$23)="FRM", FALSE, ISNUMBER(MATCH(C22,'Input Data'!$M$18:$M$30,0)))</f>
        <v>0</v>
      </c>
      <c r="B22" s="8">
        <f>IF($A22, _xlfn.XLOOKUP(C22,'Input Data'!$M$17:$M$29,'Input Data'!$N$17:$N$29),$B21)</f>
        <v>6.3500000000000001E-2</v>
      </c>
      <c r="C22" s="10">
        <f t="shared" si="2"/>
        <v>20</v>
      </c>
      <c r="D22" s="18">
        <f t="shared" si="4"/>
        <v>9805346.4023817051</v>
      </c>
      <c r="E22" s="18">
        <f>IF('Input Data'!$E$23=0,G22,IF(OR(D22&lt;=0,C22&gt;'Input Data'!$B$23*12),0,IF(AND(C22='Input Data'!$B$23*12,'Input Data'!$E$23&gt;'Input Data'!$B$23),D22+D22*B22/12,IF('Input Data'!$C$23="FRM",-PMT($B$3/12,'Input Data'!$E$23*12,$D$3),IF($A22,-PMT(B22/12,('Input Data'!$E$23*12)-C22+1,D22),E21)))))</f>
        <v>67119.120862402575</v>
      </c>
      <c r="F22" s="18">
        <f t="shared" si="0"/>
        <v>9738227.2815193031</v>
      </c>
      <c r="G22" s="18">
        <f>IF(C22&gt;'Input Data'!$B$23*12,0,D22*B22/12)</f>
        <v>51886.624712603189</v>
      </c>
      <c r="H22" s="18">
        <f t="shared" si="1"/>
        <v>15232.496149799386</v>
      </c>
      <c r="I22" s="18">
        <f t="shared" si="3"/>
        <v>9790113.9062319063</v>
      </c>
      <c r="L22" s="169" t="s">
        <v>126</v>
      </c>
      <c r="M22" s="170"/>
      <c r="N22" s="170"/>
      <c r="O22" s="170"/>
      <c r="P22" s="170"/>
      <c r="Q22" s="171"/>
    </row>
    <row r="23" spans="1:17" x14ac:dyDescent="0.25">
      <c r="A23" t="b">
        <f>IF(('Input Data'!$C$23)="FRM", FALSE, ISNUMBER(MATCH(C23,'Input Data'!$M$18:$M$30,0)))</f>
        <v>0</v>
      </c>
      <c r="B23" s="8">
        <f>IF($A23, _xlfn.XLOOKUP(C23,'Input Data'!$M$17:$M$29,'Input Data'!$N$17:$N$29),$B22)</f>
        <v>6.3500000000000001E-2</v>
      </c>
      <c r="C23" s="10">
        <f t="shared" si="2"/>
        <v>21</v>
      </c>
      <c r="D23" s="18">
        <f t="shared" si="4"/>
        <v>9790113.9062319063</v>
      </c>
      <c r="E23" s="18">
        <f>IF('Input Data'!$E$23=0,G23,IF(OR(D23&lt;=0,C23&gt;'Input Data'!$B$23*12),0,IF(AND(C23='Input Data'!$B$23*12,'Input Data'!$E$23&gt;'Input Data'!$B$23),D23+D23*B23/12,IF('Input Data'!$C$23="FRM",-PMT($B$3/12,'Input Data'!$E$23*12,$D$3),IF($A23,-PMT(B23/12,('Input Data'!$E$23*12)-C23+1,D23),E22)))))</f>
        <v>67119.120862402575</v>
      </c>
      <c r="F23" s="18">
        <f t="shared" si="0"/>
        <v>9722994.7853695042</v>
      </c>
      <c r="G23" s="18">
        <f>IF(C23&gt;'Input Data'!$B$23*12,0,D23*B23/12)</f>
        <v>51806.019420477176</v>
      </c>
      <c r="H23" s="18">
        <f t="shared" si="1"/>
        <v>15313.101441925399</v>
      </c>
      <c r="I23" s="18">
        <f t="shared" si="3"/>
        <v>9774800.8047899809</v>
      </c>
      <c r="L23" s="169"/>
      <c r="M23" s="170"/>
      <c r="N23" s="170"/>
      <c r="O23" s="170"/>
      <c r="P23" s="170"/>
      <c r="Q23" s="171"/>
    </row>
    <row r="24" spans="1:17" x14ac:dyDescent="0.25">
      <c r="A24" t="b">
        <f>IF(('Input Data'!$C$23)="FRM", FALSE, ISNUMBER(MATCH(C24,'Input Data'!$M$18:$M$30,0)))</f>
        <v>0</v>
      </c>
      <c r="B24" s="8">
        <f>IF($A24, _xlfn.XLOOKUP(C24,'Input Data'!$M$17:$M$29,'Input Data'!$N$17:$N$29),$B23)</f>
        <v>6.3500000000000001E-2</v>
      </c>
      <c r="C24" s="10">
        <f t="shared" si="2"/>
        <v>22</v>
      </c>
      <c r="D24" s="18">
        <f t="shared" si="4"/>
        <v>9774800.8047899809</v>
      </c>
      <c r="E24" s="18">
        <f>IF('Input Data'!$E$23=0,G24,IF(OR(D24&lt;=0,C24&gt;'Input Data'!$B$23*12),0,IF(AND(C24='Input Data'!$B$23*12,'Input Data'!$E$23&gt;'Input Data'!$B$23),D24+D24*B24/12,IF('Input Data'!$C$23="FRM",-PMT($B$3/12,'Input Data'!$E$23*12,$D$3),IF($A24,-PMT(B24/12,('Input Data'!$E$23*12)-C24+1,D24),E23)))))</f>
        <v>67119.120862402575</v>
      </c>
      <c r="F24" s="18">
        <f t="shared" si="0"/>
        <v>9707681.6839275789</v>
      </c>
      <c r="G24" s="18">
        <f>IF(C24&gt;'Input Data'!$B$23*12,0,D24*B24/12)</f>
        <v>51724.987592013647</v>
      </c>
      <c r="H24" s="18">
        <f t="shared" si="1"/>
        <v>15394.133270388927</v>
      </c>
      <c r="I24" s="18">
        <f t="shared" si="3"/>
        <v>9759406.6715195924</v>
      </c>
      <c r="L24" s="169"/>
      <c r="M24" s="170"/>
      <c r="N24" s="170"/>
      <c r="O24" s="170"/>
      <c r="P24" s="170"/>
      <c r="Q24" s="171"/>
    </row>
    <row r="25" spans="1:17" x14ac:dyDescent="0.25">
      <c r="A25" t="b">
        <f>IF(('Input Data'!$C$23)="FRM", FALSE, ISNUMBER(MATCH(C25,'Input Data'!$M$18:$M$30,0)))</f>
        <v>0</v>
      </c>
      <c r="B25" s="8">
        <f>IF($A25, _xlfn.XLOOKUP(C25,'Input Data'!$M$17:$M$29,'Input Data'!$N$17:$N$29),$B24)</f>
        <v>6.3500000000000001E-2</v>
      </c>
      <c r="C25" s="10">
        <f t="shared" si="2"/>
        <v>23</v>
      </c>
      <c r="D25" s="18">
        <f t="shared" si="4"/>
        <v>9759406.6715195924</v>
      </c>
      <c r="E25" s="18">
        <f>IF('Input Data'!$E$23=0,G25,IF(OR(D25&lt;=0,C25&gt;'Input Data'!$B$23*12),0,IF(AND(C25='Input Data'!$B$23*12,'Input Data'!$E$23&gt;'Input Data'!$B$23),D25+D25*B25/12,IF('Input Data'!$C$23="FRM",-PMT($B$3/12,'Input Data'!$E$23*12,$D$3),IF($A25,-PMT(B25/12,('Input Data'!$E$23*12)-C25+1,D25),E24)))))</f>
        <v>67119.120862402575</v>
      </c>
      <c r="F25" s="18">
        <f t="shared" si="0"/>
        <v>9692287.5506571904</v>
      </c>
      <c r="G25" s="18">
        <f>IF(C25&gt;'Input Data'!$B$23*12,0,D25*B25/12)</f>
        <v>51643.526970124512</v>
      </c>
      <c r="H25" s="18">
        <f t="shared" si="1"/>
        <v>15475.593892278062</v>
      </c>
      <c r="I25" s="18">
        <f t="shared" si="3"/>
        <v>9743931.0776273143</v>
      </c>
      <c r="L25" s="169"/>
      <c r="M25" s="170"/>
      <c r="N25" s="170"/>
      <c r="O25" s="170"/>
      <c r="P25" s="170"/>
      <c r="Q25" s="171"/>
    </row>
    <row r="26" spans="1:17" x14ac:dyDescent="0.25">
      <c r="A26" t="b">
        <f>IF(('Input Data'!$C$23)="FRM", FALSE, ISNUMBER(MATCH(C26,'Input Data'!$M$18:$M$30,0)))</f>
        <v>0</v>
      </c>
      <c r="B26" s="8">
        <f>IF($A26, _xlfn.XLOOKUP(C26,'Input Data'!$M$17:$M$29,'Input Data'!$N$17:$N$29),$B25)</f>
        <v>6.3500000000000001E-2</v>
      </c>
      <c r="C26" s="10">
        <f t="shared" si="2"/>
        <v>24</v>
      </c>
      <c r="D26" s="18">
        <f t="shared" si="4"/>
        <v>9743931.0776273143</v>
      </c>
      <c r="E26" s="18">
        <f>IF('Input Data'!$E$23=0,G26,IF(OR(D26&lt;=0,C26&gt;'Input Data'!$B$23*12),0,IF(AND(C26='Input Data'!$B$23*12,'Input Data'!$E$23&gt;'Input Data'!$B$23),D26+D26*B26/12,IF('Input Data'!$C$23="FRM",-PMT($B$3/12,'Input Data'!$E$23*12,$D$3),IF($A26,-PMT(B26/12,('Input Data'!$E$23*12)-C26+1,D26),E25)))))</f>
        <v>67119.120862402575</v>
      </c>
      <c r="F26" s="18">
        <f t="shared" si="0"/>
        <v>9676811.9567649122</v>
      </c>
      <c r="G26" s="18">
        <f>IF(C26&gt;'Input Data'!$B$23*12,0,D26*B26/12)</f>
        <v>51561.635285777877</v>
      </c>
      <c r="H26" s="18">
        <f t="shared" si="1"/>
        <v>15557.485576624698</v>
      </c>
      <c r="I26" s="18">
        <f t="shared" si="3"/>
        <v>9728373.5920506902</v>
      </c>
      <c r="L26" s="169"/>
      <c r="M26" s="170"/>
      <c r="N26" s="170"/>
      <c r="O26" s="170"/>
      <c r="P26" s="170"/>
      <c r="Q26" s="171"/>
    </row>
    <row r="27" spans="1:17" x14ac:dyDescent="0.25">
      <c r="A27" t="b">
        <f>IF(('Input Data'!$C$23)="FRM", FALSE, ISNUMBER(MATCH(C27,'Input Data'!$M$18:$M$30,0)))</f>
        <v>0</v>
      </c>
      <c r="B27" s="8">
        <f>IF($A27, _xlfn.XLOOKUP(C27,'Input Data'!$M$17:$M$29,'Input Data'!$N$17:$N$29),$B26)</f>
        <v>6.3500000000000001E-2</v>
      </c>
      <c r="C27" s="10">
        <f t="shared" si="2"/>
        <v>25</v>
      </c>
      <c r="D27" s="18">
        <f t="shared" si="4"/>
        <v>9728373.5920506902</v>
      </c>
      <c r="E27" s="18">
        <f>IF('Input Data'!$E$23=0,G27,IF(OR(D27&lt;=0,C27&gt;'Input Data'!$B$23*12),0,IF(AND(C27='Input Data'!$B$23*12,'Input Data'!$E$23&gt;'Input Data'!$B$23),D27+D27*B27/12,IF('Input Data'!$C$23="FRM",-PMT($B$3/12,'Input Data'!$E$23*12,$D$3),IF($A27,-PMT(B27/12,('Input Data'!$E$23*12)-C27+1,D27),E26)))))</f>
        <v>67119.120862402575</v>
      </c>
      <c r="F27" s="18">
        <f t="shared" si="0"/>
        <v>9661254.4711882882</v>
      </c>
      <c r="G27" s="18">
        <f>IF(C27&gt;'Input Data'!$B$23*12,0,D27*B27/12)</f>
        <v>51479.310257934907</v>
      </c>
      <c r="H27" s="18">
        <f t="shared" si="1"/>
        <v>15639.810604467668</v>
      </c>
      <c r="I27" s="18">
        <f t="shared" si="3"/>
        <v>9712733.7814462222</v>
      </c>
      <c r="L27" s="169"/>
      <c r="M27" s="170"/>
      <c r="N27" s="170"/>
      <c r="O27" s="170"/>
      <c r="P27" s="170"/>
      <c r="Q27" s="171"/>
    </row>
    <row r="28" spans="1:17" x14ac:dyDescent="0.25">
      <c r="A28" t="b">
        <f>IF(('Input Data'!$C$23)="FRM", FALSE, ISNUMBER(MATCH(C28,'Input Data'!$M$18:$M$30,0)))</f>
        <v>0</v>
      </c>
      <c r="B28" s="8">
        <f>IF($A28, _xlfn.XLOOKUP(C28,'Input Data'!$M$17:$M$29,'Input Data'!$N$17:$N$29),$B27)</f>
        <v>6.3500000000000001E-2</v>
      </c>
      <c r="C28" s="10">
        <f t="shared" si="2"/>
        <v>26</v>
      </c>
      <c r="D28" s="18">
        <f t="shared" si="4"/>
        <v>9712733.7814462222</v>
      </c>
      <c r="E28" s="18">
        <f>IF('Input Data'!$E$23=0,G28,IF(OR(D28&lt;=0,C28&gt;'Input Data'!$B$23*12),0,IF(AND(C28='Input Data'!$B$23*12,'Input Data'!$E$23&gt;'Input Data'!$B$23),D28+D28*B28/12,IF('Input Data'!$C$23="FRM",-PMT($B$3/12,'Input Data'!$E$23*12,$D$3),IF($A28,-PMT(B28/12,('Input Data'!$E$23*12)-C28+1,D28),E27)))))</f>
        <v>67119.120862402575</v>
      </c>
      <c r="F28" s="18">
        <f t="shared" si="0"/>
        <v>9645614.6605838202</v>
      </c>
      <c r="G28" s="18">
        <f>IF(C28&gt;'Input Data'!$B$23*12,0,D28*B28/12)</f>
        <v>51396.549593486263</v>
      </c>
      <c r="H28" s="18">
        <f t="shared" si="1"/>
        <v>15722.571268916312</v>
      </c>
      <c r="I28" s="18">
        <f t="shared" si="3"/>
        <v>9697011.2101773061</v>
      </c>
      <c r="L28" s="169"/>
      <c r="M28" s="170"/>
      <c r="N28" s="170"/>
      <c r="O28" s="170"/>
      <c r="P28" s="170"/>
      <c r="Q28" s="171"/>
    </row>
    <row r="29" spans="1:17" x14ac:dyDescent="0.25">
      <c r="A29" t="b">
        <f>IF(('Input Data'!$C$23)="FRM", FALSE, ISNUMBER(MATCH(C29,'Input Data'!$M$18:$M$30,0)))</f>
        <v>0</v>
      </c>
      <c r="B29" s="8">
        <f>IF($A29, _xlfn.XLOOKUP(C29,'Input Data'!$M$17:$M$29,'Input Data'!$N$17:$N$29),$B28)</f>
        <v>6.3500000000000001E-2</v>
      </c>
      <c r="C29" s="10">
        <f t="shared" si="2"/>
        <v>27</v>
      </c>
      <c r="D29" s="18">
        <f t="shared" si="4"/>
        <v>9697011.2101773061</v>
      </c>
      <c r="E29" s="18">
        <f>IF('Input Data'!$E$23=0,G29,IF(OR(D29&lt;=0,C29&gt;'Input Data'!$B$23*12),0,IF(AND(C29='Input Data'!$B$23*12,'Input Data'!$E$23&gt;'Input Data'!$B$23),D29+D29*B29/12,IF('Input Data'!$C$23="FRM",-PMT($B$3/12,'Input Data'!$E$23*12,$D$3),IF($A29,-PMT(B29/12,('Input Data'!$E$23*12)-C29+1,D29),E28)))))</f>
        <v>67119.120862402575</v>
      </c>
      <c r="F29" s="18">
        <f t="shared" si="0"/>
        <v>9629892.0893149041</v>
      </c>
      <c r="G29" s="18">
        <f>IF(C29&gt;'Input Data'!$B$23*12,0,D29*B29/12)</f>
        <v>51313.350987188249</v>
      </c>
      <c r="H29" s="18">
        <f t="shared" si="1"/>
        <v>15805.769875214326</v>
      </c>
      <c r="I29" s="18">
        <f t="shared" si="3"/>
        <v>9681205.4403020926</v>
      </c>
      <c r="L29" s="172"/>
      <c r="M29" s="173"/>
      <c r="N29" s="173"/>
      <c r="O29" s="173"/>
      <c r="P29" s="173"/>
      <c r="Q29" s="174"/>
    </row>
    <row r="30" spans="1:17" x14ac:dyDescent="0.25">
      <c r="A30" t="b">
        <f>IF(('Input Data'!$C$23)="FRM", FALSE, ISNUMBER(MATCH(C30,'Input Data'!$M$18:$M$30,0)))</f>
        <v>0</v>
      </c>
      <c r="B30" s="8">
        <f>IF($A30, _xlfn.XLOOKUP(C30,'Input Data'!$M$17:$M$29,'Input Data'!$N$17:$N$29),$B29)</f>
        <v>6.3500000000000001E-2</v>
      </c>
      <c r="C30" s="10">
        <f t="shared" si="2"/>
        <v>28</v>
      </c>
      <c r="D30" s="18">
        <f t="shared" si="4"/>
        <v>9681205.4403020926</v>
      </c>
      <c r="E30" s="18">
        <f>IF('Input Data'!$E$23=0,G30,IF(OR(D30&lt;=0,C30&gt;'Input Data'!$B$23*12),0,IF(AND(C30='Input Data'!$B$23*12,'Input Data'!$E$23&gt;'Input Data'!$B$23),D30+D30*B30/12,IF('Input Data'!$C$23="FRM",-PMT($B$3/12,'Input Data'!$E$23*12,$D$3),IF($A30,-PMT(B30/12,('Input Data'!$E$23*12)-C30+1,D30),E29)))))</f>
        <v>67119.120862402575</v>
      </c>
      <c r="F30" s="18">
        <f t="shared" si="0"/>
        <v>9614086.3194396906</v>
      </c>
      <c r="G30" s="18">
        <f>IF(C30&gt;'Input Data'!$B$23*12,0,D30*B30/12)</f>
        <v>51229.712121598575</v>
      </c>
      <c r="H30" s="18">
        <f t="shared" si="1"/>
        <v>15889.408740804</v>
      </c>
      <c r="I30" s="18">
        <f t="shared" si="3"/>
        <v>9665316.031561289</v>
      </c>
    </row>
    <row r="31" spans="1:17" x14ac:dyDescent="0.25">
      <c r="A31" t="b">
        <f>IF(('Input Data'!$C$23)="FRM", FALSE, ISNUMBER(MATCH(C31,'Input Data'!$M$18:$M$30,0)))</f>
        <v>0</v>
      </c>
      <c r="B31" s="8">
        <f>IF($A31, _xlfn.XLOOKUP(C31,'Input Data'!$M$17:$M$29,'Input Data'!$N$17:$N$29),$B30)</f>
        <v>6.3500000000000001E-2</v>
      </c>
      <c r="C31" s="10">
        <f t="shared" si="2"/>
        <v>29</v>
      </c>
      <c r="D31" s="18">
        <f t="shared" si="4"/>
        <v>9665316.031561289</v>
      </c>
      <c r="E31" s="18">
        <f>IF('Input Data'!$E$23=0,G31,IF(OR(D31&lt;=0,C31&gt;'Input Data'!$B$23*12),0,IF(AND(C31='Input Data'!$B$23*12,'Input Data'!$E$23&gt;'Input Data'!$B$23),D31+D31*B31/12,IF('Input Data'!$C$23="FRM",-PMT($B$3/12,'Input Data'!$E$23*12,$D$3),IF($A31,-PMT(B31/12,('Input Data'!$E$23*12)-C31+1,D31),E30)))))</f>
        <v>67119.120862402575</v>
      </c>
      <c r="F31" s="18">
        <f t="shared" si="0"/>
        <v>9598196.910698887</v>
      </c>
      <c r="G31" s="18">
        <f>IF(C31&gt;'Input Data'!$B$23*12,0,D31*B31/12)</f>
        <v>51145.630667011828</v>
      </c>
      <c r="H31" s="18">
        <f t="shared" si="1"/>
        <v>15973.490195390747</v>
      </c>
      <c r="I31" s="18">
        <f t="shared" si="3"/>
        <v>9649342.5413658991</v>
      </c>
    </row>
    <row r="32" spans="1:17" x14ac:dyDescent="0.25">
      <c r="A32" t="b">
        <f>IF(('Input Data'!$C$23)="FRM", FALSE, ISNUMBER(MATCH(C32,'Input Data'!$M$18:$M$30,0)))</f>
        <v>1</v>
      </c>
      <c r="B32" s="8">
        <f>IF($A32, _xlfn.XLOOKUP(C32,'Input Data'!$M$17:$M$29,'Input Data'!$N$17:$N$29),$B31)</f>
        <v>0.06</v>
      </c>
      <c r="C32" s="10">
        <f t="shared" si="2"/>
        <v>30</v>
      </c>
      <c r="D32" s="18">
        <f t="shared" si="4"/>
        <v>9649342.5413658991</v>
      </c>
      <c r="E32" s="18">
        <f>IF('Input Data'!$E$23=0,G32,IF(OR(D32&lt;=0,C32&gt;'Input Data'!$B$23*12),0,IF(AND(C32='Input Data'!$B$23*12,'Input Data'!$E$23&gt;'Input Data'!$B$23),D32+D32*B32/12,IF('Input Data'!$C$23="FRM",-PMT($B$3/12,'Input Data'!$E$23*12,$D$3),IF($A32,-PMT(B32/12,('Input Data'!$E$23*12)-C32+1,D32),E31)))))</f>
        <v>65094.431363418102</v>
      </c>
      <c r="F32" s="18">
        <f t="shared" si="0"/>
        <v>9584248.1100024804</v>
      </c>
      <c r="G32" s="18">
        <f>IF(C32&gt;'Input Data'!$B$23*12,0,D32*B32/12)</f>
        <v>48246.712706829487</v>
      </c>
      <c r="H32" s="18">
        <f t="shared" si="1"/>
        <v>16847.718656588615</v>
      </c>
      <c r="I32" s="18">
        <f t="shared" si="3"/>
        <v>9632494.8227093108</v>
      </c>
    </row>
    <row r="33" spans="1:20" x14ac:dyDescent="0.25">
      <c r="A33" t="b">
        <f>IF(('Input Data'!$C$23)="FRM", FALSE, ISNUMBER(MATCH(C33,'Input Data'!$M$18:$M$30,0)))</f>
        <v>0</v>
      </c>
      <c r="B33" s="8">
        <f>IF($A33, _xlfn.XLOOKUP(C33,'Input Data'!$M$17:$M$29,'Input Data'!$N$17:$N$29),$B32)</f>
        <v>0.06</v>
      </c>
      <c r="C33" s="10">
        <f t="shared" si="2"/>
        <v>31</v>
      </c>
      <c r="D33" s="18">
        <f t="shared" si="4"/>
        <v>9632494.8227093108</v>
      </c>
      <c r="E33" s="18">
        <f>IF('Input Data'!$E$23=0,G33,IF(OR(D33&lt;=0,C33&gt;'Input Data'!$B$23*12),0,IF(AND(C33='Input Data'!$B$23*12,'Input Data'!$E$23&gt;'Input Data'!$B$23),D33+D33*B33/12,IF('Input Data'!$C$23="FRM",-PMT($B$3/12,'Input Data'!$E$23*12,$D$3),IF($A33,-PMT(B33/12,('Input Data'!$E$23*12)-C33+1,D33),E32)))))</f>
        <v>65094.431363418102</v>
      </c>
      <c r="F33" s="18">
        <f t="shared" si="0"/>
        <v>9567400.3913458921</v>
      </c>
      <c r="G33" s="18">
        <f>IF(C33&gt;'Input Data'!$B$23*12,0,D33*B33/12)</f>
        <v>48162.474113546552</v>
      </c>
      <c r="H33" s="18">
        <f t="shared" si="1"/>
        <v>16931.95724987155</v>
      </c>
      <c r="I33" s="18">
        <f t="shared" si="3"/>
        <v>9615562.8654594384</v>
      </c>
      <c r="L33" s="175" t="s">
        <v>136</v>
      </c>
      <c r="M33" s="176"/>
      <c r="N33" s="176"/>
      <c r="O33" s="176"/>
      <c r="P33" s="176"/>
      <c r="Q33" s="176"/>
      <c r="R33" s="176"/>
      <c r="S33" s="176"/>
      <c r="T33" s="177"/>
    </row>
    <row r="34" spans="1:20" x14ac:dyDescent="0.25">
      <c r="A34" t="b">
        <f>IF(('Input Data'!$C$23)="FRM", FALSE, ISNUMBER(MATCH(C34,'Input Data'!$M$18:$M$30,0)))</f>
        <v>0</v>
      </c>
      <c r="B34" s="8">
        <f>IF($A34, _xlfn.XLOOKUP(C34,'Input Data'!$M$17:$M$29,'Input Data'!$N$17:$N$29),$B33)</f>
        <v>0.06</v>
      </c>
      <c r="C34" s="10">
        <f t="shared" si="2"/>
        <v>32</v>
      </c>
      <c r="D34" s="18">
        <f t="shared" si="4"/>
        <v>9615562.8654594384</v>
      </c>
      <c r="E34" s="18">
        <f>IF('Input Data'!$E$23=0,G34,IF(OR(D34&lt;=0,C34&gt;'Input Data'!$B$23*12),0,IF(AND(C34='Input Data'!$B$23*12,'Input Data'!$E$23&gt;'Input Data'!$B$23),D34+D34*B34/12,IF('Input Data'!$C$23="FRM",-PMT($B$3/12,'Input Data'!$E$23*12,$D$3),IF($A34,-PMT(B34/12,('Input Data'!$E$23*12)-C34+1,D34),E33)))))</f>
        <v>65094.431363418102</v>
      </c>
      <c r="F34" s="18">
        <f t="shared" si="0"/>
        <v>9550468.4340960197</v>
      </c>
      <c r="G34" s="18">
        <f>IF(C34&gt;'Input Data'!$B$23*12,0,D34*B34/12)</f>
        <v>48077.814327297187</v>
      </c>
      <c r="H34" s="18">
        <f t="shared" si="1"/>
        <v>17016.617036120915</v>
      </c>
      <c r="I34" s="18">
        <f t="shared" si="3"/>
        <v>9598546.2484233174</v>
      </c>
      <c r="L34" s="178" t="s">
        <v>127</v>
      </c>
      <c r="M34" s="179"/>
      <c r="N34" s="179"/>
      <c r="O34" s="179"/>
      <c r="P34" s="179"/>
      <c r="Q34" s="179"/>
      <c r="R34" s="179"/>
      <c r="S34" s="179"/>
      <c r="T34" s="180"/>
    </row>
    <row r="35" spans="1:20" x14ac:dyDescent="0.25">
      <c r="A35" t="b">
        <f>IF(('Input Data'!$C$23)="FRM", FALSE, ISNUMBER(MATCH(C35,'Input Data'!$M$18:$M$30,0)))</f>
        <v>0</v>
      </c>
      <c r="B35" s="8">
        <f>IF($A35, _xlfn.XLOOKUP(C35,'Input Data'!$M$17:$M$29,'Input Data'!$N$17:$N$29),$B34)</f>
        <v>0.06</v>
      </c>
      <c r="C35" s="10">
        <f t="shared" si="2"/>
        <v>33</v>
      </c>
      <c r="D35" s="18">
        <f t="shared" si="4"/>
        <v>9598546.2484233174</v>
      </c>
      <c r="E35" s="18">
        <f>IF('Input Data'!$E$23=0,G35,IF(OR(D35&lt;=0,C35&gt;'Input Data'!$B$23*12),0,IF(AND(C35='Input Data'!$B$23*12,'Input Data'!$E$23&gt;'Input Data'!$B$23),D35+D35*B35/12,IF('Input Data'!$C$23="FRM",-PMT($B$3/12,'Input Data'!$E$23*12,$D$3),IF($A35,-PMT(B35/12,('Input Data'!$E$23*12)-C35+1,D35),E34)))))</f>
        <v>65094.431363418102</v>
      </c>
      <c r="F35" s="18">
        <f t="shared" si="0"/>
        <v>9533451.8170598987</v>
      </c>
      <c r="G35" s="18">
        <f>IF(C35&gt;'Input Data'!$B$23*12,0,D35*B35/12)</f>
        <v>47992.731242116592</v>
      </c>
      <c r="H35" s="18">
        <f t="shared" si="1"/>
        <v>17101.70012130151</v>
      </c>
      <c r="I35" s="18">
        <f t="shared" si="3"/>
        <v>9581444.5483020153</v>
      </c>
      <c r="L35" s="178" t="s">
        <v>128</v>
      </c>
      <c r="M35" s="179"/>
      <c r="N35" s="179"/>
      <c r="O35" s="179"/>
      <c r="P35" s="179"/>
      <c r="Q35" s="179"/>
      <c r="R35" s="179"/>
      <c r="S35" s="179"/>
      <c r="T35" s="180"/>
    </row>
    <row r="36" spans="1:20" x14ac:dyDescent="0.25">
      <c r="A36" t="b">
        <f>IF(('Input Data'!$C$23)="FRM", FALSE, ISNUMBER(MATCH(C36,'Input Data'!$M$18:$M$30,0)))</f>
        <v>0</v>
      </c>
      <c r="B36" s="8">
        <f>IF($A36, _xlfn.XLOOKUP(C36,'Input Data'!$M$17:$M$29,'Input Data'!$N$17:$N$29),$B35)</f>
        <v>0.06</v>
      </c>
      <c r="C36" s="10">
        <f t="shared" si="2"/>
        <v>34</v>
      </c>
      <c r="D36" s="18">
        <f t="shared" si="4"/>
        <v>9581444.5483020153</v>
      </c>
      <c r="E36" s="18">
        <f>IF('Input Data'!$E$23=0,G36,IF(OR(D36&lt;=0,C36&gt;'Input Data'!$B$23*12),0,IF(AND(C36='Input Data'!$B$23*12,'Input Data'!$E$23&gt;'Input Data'!$B$23),D36+D36*B36/12,IF('Input Data'!$C$23="FRM",-PMT($B$3/12,'Input Data'!$E$23*12,$D$3),IF($A36,-PMT(B36/12,('Input Data'!$E$23*12)-C36+1,D36),E35)))))</f>
        <v>65094.431363418102</v>
      </c>
      <c r="F36" s="18">
        <f t="shared" si="0"/>
        <v>9516350.1169385966</v>
      </c>
      <c r="G36" s="18">
        <f>IF(C36&gt;'Input Data'!$B$23*12,0,D36*B36/12)</f>
        <v>47907.222741510079</v>
      </c>
      <c r="H36" s="18">
        <f t="shared" si="1"/>
        <v>17187.208621908023</v>
      </c>
      <c r="I36" s="18">
        <f t="shared" si="3"/>
        <v>9564257.3396801073</v>
      </c>
      <c r="L36" s="178" t="s">
        <v>129</v>
      </c>
      <c r="M36" s="179"/>
      <c r="N36" s="179"/>
      <c r="O36" s="179"/>
      <c r="P36" s="179"/>
      <c r="Q36" s="179"/>
      <c r="R36" s="179"/>
      <c r="S36" s="179"/>
      <c r="T36" s="180"/>
    </row>
    <row r="37" spans="1:20" x14ac:dyDescent="0.25">
      <c r="A37" t="b">
        <f>IF(('Input Data'!$C$23)="FRM", FALSE, ISNUMBER(MATCH(C37,'Input Data'!$M$18:$M$30,0)))</f>
        <v>0</v>
      </c>
      <c r="B37" s="8">
        <f>IF($A37, _xlfn.XLOOKUP(C37,'Input Data'!$M$17:$M$29,'Input Data'!$N$17:$N$29),$B36)</f>
        <v>0.06</v>
      </c>
      <c r="C37" s="10">
        <f t="shared" si="2"/>
        <v>35</v>
      </c>
      <c r="D37" s="18">
        <f t="shared" si="4"/>
        <v>9564257.3396801073</v>
      </c>
      <c r="E37" s="18">
        <f>IF('Input Data'!$E$23=0,G37,IF(OR(D37&lt;=0,C37&gt;'Input Data'!$B$23*12),0,IF(AND(C37='Input Data'!$B$23*12,'Input Data'!$E$23&gt;'Input Data'!$B$23),D37+D37*B37/12,IF('Input Data'!$C$23="FRM",-PMT($B$3/12,'Input Data'!$E$23*12,$D$3),IF($A37,-PMT(B37/12,('Input Data'!$E$23*12)-C37+1,D37),E36)))))</f>
        <v>65094.431363418102</v>
      </c>
      <c r="F37" s="18">
        <f t="shared" si="0"/>
        <v>9499162.9083166886</v>
      </c>
      <c r="G37" s="18">
        <f>IF(C37&gt;'Input Data'!$B$23*12,0,D37*B37/12)</f>
        <v>47821.286698400538</v>
      </c>
      <c r="H37" s="18">
        <f t="shared" si="1"/>
        <v>17273.144665017564</v>
      </c>
      <c r="I37" s="18">
        <f t="shared" si="3"/>
        <v>9546984.1950150896</v>
      </c>
      <c r="L37" s="178" t="s">
        <v>130</v>
      </c>
      <c r="M37" s="179"/>
      <c r="N37" s="179"/>
      <c r="O37" s="179"/>
      <c r="P37" s="179"/>
      <c r="Q37" s="179"/>
      <c r="R37" s="179"/>
      <c r="S37" s="179"/>
      <c r="T37" s="180"/>
    </row>
    <row r="38" spans="1:20" x14ac:dyDescent="0.25">
      <c r="A38" t="b">
        <f>IF(('Input Data'!$C$23)="FRM", FALSE, ISNUMBER(MATCH(C38,'Input Data'!$M$18:$M$30,0)))</f>
        <v>0</v>
      </c>
      <c r="B38" s="8">
        <f>IF($A38, _xlfn.XLOOKUP(C38,'Input Data'!$M$17:$M$29,'Input Data'!$N$17:$N$29),$B37)</f>
        <v>0.06</v>
      </c>
      <c r="C38" s="10">
        <f t="shared" si="2"/>
        <v>36</v>
      </c>
      <c r="D38" s="18">
        <f t="shared" si="4"/>
        <v>9546984.1950150896</v>
      </c>
      <c r="E38" s="18">
        <f>IF('Input Data'!$E$23=0,G38,IF(OR(D38&lt;=0,C38&gt;'Input Data'!$B$23*12),0,IF(AND(C38='Input Data'!$B$23*12,'Input Data'!$E$23&gt;'Input Data'!$B$23),D38+D38*B38/12,IF('Input Data'!$C$23="FRM",-PMT($B$3/12,'Input Data'!$E$23*12,$D$3),IF($A38,-PMT(B38/12,('Input Data'!$E$23*12)-C38+1,D38),E37)))))</f>
        <v>65094.431363418102</v>
      </c>
      <c r="F38" s="18">
        <f t="shared" si="0"/>
        <v>9481889.7636516709</v>
      </c>
      <c r="G38" s="18">
        <f>IF(C38&gt;'Input Data'!$B$23*12,0,D38*B38/12)</f>
        <v>47734.920975075445</v>
      </c>
      <c r="H38" s="18">
        <f t="shared" si="1"/>
        <v>17359.510388342656</v>
      </c>
      <c r="I38" s="18">
        <f t="shared" si="3"/>
        <v>9529624.6846267469</v>
      </c>
      <c r="L38" s="178" t="s">
        <v>131</v>
      </c>
      <c r="M38" s="179"/>
      <c r="N38" s="179"/>
      <c r="O38" s="179"/>
      <c r="P38" s="179"/>
      <c r="Q38" s="179"/>
      <c r="R38" s="179"/>
      <c r="S38" s="179"/>
      <c r="T38" s="180"/>
    </row>
    <row r="39" spans="1:20" x14ac:dyDescent="0.25">
      <c r="A39" t="b">
        <f>IF(('Input Data'!$C$23)="FRM", FALSE, ISNUMBER(MATCH(C39,'Input Data'!$M$18:$M$30,0)))</f>
        <v>0</v>
      </c>
      <c r="B39" s="8">
        <f>IF($A39, _xlfn.XLOOKUP(C39,'Input Data'!$M$17:$M$29,'Input Data'!$N$17:$N$29),$B38)</f>
        <v>0.06</v>
      </c>
      <c r="C39" s="10">
        <f t="shared" si="2"/>
        <v>37</v>
      </c>
      <c r="D39" s="18">
        <f t="shared" si="4"/>
        <v>9529624.6846267469</v>
      </c>
      <c r="E39" s="18">
        <f>IF('Input Data'!$E$23=0,G39,IF(OR(D39&lt;=0,C39&gt;'Input Data'!$B$23*12),0,IF(AND(C39='Input Data'!$B$23*12,'Input Data'!$E$23&gt;'Input Data'!$B$23),D39+D39*B39/12,IF('Input Data'!$C$23="FRM",-PMT($B$3/12,'Input Data'!$E$23*12,$D$3),IF($A39,-PMT(B39/12,('Input Data'!$E$23*12)-C39+1,D39),E38)))))</f>
        <v>65094.431363418102</v>
      </c>
      <c r="F39" s="18">
        <f t="shared" si="0"/>
        <v>9464530.2532633282</v>
      </c>
      <c r="G39" s="18">
        <f>IF(C39&gt;'Input Data'!$B$23*12,0,D39*B39/12)</f>
        <v>47648.123423133737</v>
      </c>
      <c r="H39" s="18">
        <f t="shared" si="1"/>
        <v>17446.307940284365</v>
      </c>
      <c r="I39" s="18">
        <f t="shared" si="3"/>
        <v>9512178.3766864631</v>
      </c>
      <c r="L39" s="178" t="s">
        <v>132</v>
      </c>
      <c r="M39" s="179"/>
      <c r="N39" s="179"/>
      <c r="O39" s="179"/>
      <c r="P39" s="179"/>
      <c r="Q39" s="179"/>
      <c r="R39" s="179"/>
      <c r="S39" s="179"/>
      <c r="T39" s="180"/>
    </row>
    <row r="40" spans="1:20" x14ac:dyDescent="0.25">
      <c r="A40" t="b">
        <f>IF(('Input Data'!$C$23)="FRM", FALSE, ISNUMBER(MATCH(C40,'Input Data'!$M$18:$M$30,0)))</f>
        <v>0</v>
      </c>
      <c r="B40" s="8">
        <f>IF($A40, _xlfn.XLOOKUP(C40,'Input Data'!$M$17:$M$29,'Input Data'!$N$17:$N$29),$B39)</f>
        <v>0.06</v>
      </c>
      <c r="C40" s="10">
        <f t="shared" si="2"/>
        <v>38</v>
      </c>
      <c r="D40" s="18">
        <f t="shared" si="4"/>
        <v>9512178.3766864631</v>
      </c>
      <c r="E40" s="18">
        <f>IF('Input Data'!$E$23=0,G40,IF(OR(D40&lt;=0,C40&gt;'Input Data'!$B$23*12),0,IF(AND(C40='Input Data'!$B$23*12,'Input Data'!$E$23&gt;'Input Data'!$B$23),D40+D40*B40/12,IF('Input Data'!$C$23="FRM",-PMT($B$3/12,'Input Data'!$E$23*12,$D$3),IF($A40,-PMT(B40/12,('Input Data'!$E$23*12)-C40+1,D40),E39)))))</f>
        <v>65094.431363418102</v>
      </c>
      <c r="F40" s="18">
        <f t="shared" si="0"/>
        <v>9447083.9453230444</v>
      </c>
      <c r="G40" s="18">
        <f>IF(C40&gt;'Input Data'!$B$23*12,0,D40*B40/12)</f>
        <v>47560.891883432312</v>
      </c>
      <c r="H40" s="18">
        <f t="shared" si="1"/>
        <v>17533.53947998579</v>
      </c>
      <c r="I40" s="18">
        <f t="shared" si="3"/>
        <v>9494644.8372064773</v>
      </c>
      <c r="L40" s="178" t="s">
        <v>133</v>
      </c>
      <c r="M40" s="179"/>
      <c r="N40" s="179"/>
      <c r="O40" s="179"/>
      <c r="P40" s="179"/>
      <c r="Q40" s="179"/>
      <c r="R40" s="179"/>
      <c r="S40" s="179"/>
      <c r="T40" s="180"/>
    </row>
    <row r="41" spans="1:20" x14ac:dyDescent="0.25">
      <c r="A41" t="b">
        <f>IF(('Input Data'!$C$23)="FRM", FALSE, ISNUMBER(MATCH(C41,'Input Data'!$M$18:$M$30,0)))</f>
        <v>0</v>
      </c>
      <c r="B41" s="8">
        <f>IF($A41, _xlfn.XLOOKUP(C41,'Input Data'!$M$17:$M$29,'Input Data'!$N$17:$N$29),$B40)</f>
        <v>0.06</v>
      </c>
      <c r="C41" s="10">
        <f t="shared" si="2"/>
        <v>39</v>
      </c>
      <c r="D41" s="18">
        <f t="shared" si="4"/>
        <v>9494644.8372064773</v>
      </c>
      <c r="E41" s="18">
        <f>IF('Input Data'!$E$23=0,G41,IF(OR(D41&lt;=0,C41&gt;'Input Data'!$B$23*12),0,IF(AND(C41='Input Data'!$B$23*12,'Input Data'!$E$23&gt;'Input Data'!$B$23),D41+D41*B41/12,IF('Input Data'!$C$23="FRM",-PMT($B$3/12,'Input Data'!$E$23*12,$D$3),IF($A41,-PMT(B41/12,('Input Data'!$E$23*12)-C41+1,D41),E40)))))</f>
        <v>65094.431363418102</v>
      </c>
      <c r="F41" s="18">
        <f t="shared" si="0"/>
        <v>9429550.4058430586</v>
      </c>
      <c r="G41" s="18">
        <f>IF(C41&gt;'Input Data'!$B$23*12,0,D41*B41/12)</f>
        <v>47473.224186032377</v>
      </c>
      <c r="H41" s="18">
        <f t="shared" si="1"/>
        <v>17621.207177385724</v>
      </c>
      <c r="I41" s="18">
        <f t="shared" si="3"/>
        <v>9477023.6300290916</v>
      </c>
      <c r="L41" s="181" t="s">
        <v>134</v>
      </c>
      <c r="M41" s="182"/>
      <c r="N41" s="182"/>
      <c r="O41" s="182"/>
      <c r="P41" s="182"/>
      <c r="Q41" s="182"/>
      <c r="R41" s="182"/>
      <c r="S41" s="182"/>
      <c r="T41" s="183"/>
    </row>
    <row r="42" spans="1:20" x14ac:dyDescent="0.25">
      <c r="A42" t="b">
        <f>IF(('Input Data'!$C$23)="FRM", FALSE, ISNUMBER(MATCH(C42,'Input Data'!$M$18:$M$30,0)))</f>
        <v>0</v>
      </c>
      <c r="B42" s="8">
        <f>IF($A42, _xlfn.XLOOKUP(C42,'Input Data'!$M$17:$M$29,'Input Data'!$N$17:$N$29),$B41)</f>
        <v>0.06</v>
      </c>
      <c r="C42" s="10">
        <f t="shared" si="2"/>
        <v>40</v>
      </c>
      <c r="D42" s="18">
        <f t="shared" si="4"/>
        <v>9477023.6300290916</v>
      </c>
      <c r="E42" s="18">
        <f>IF('Input Data'!$E$23=0,G42,IF(OR(D42&lt;=0,C42&gt;'Input Data'!$B$23*12),0,IF(AND(C42='Input Data'!$B$23*12,'Input Data'!$E$23&gt;'Input Data'!$B$23),D42+D42*B42/12,IF('Input Data'!$C$23="FRM",-PMT($B$3/12,'Input Data'!$E$23*12,$D$3),IF($A42,-PMT(B42/12,('Input Data'!$E$23*12)-C42+1,D42),E41)))))</f>
        <v>65094.431363418102</v>
      </c>
      <c r="F42" s="18">
        <f t="shared" si="0"/>
        <v>9411929.1986656729</v>
      </c>
      <c r="G42" s="18">
        <f>IF(C42&gt;'Input Data'!$B$23*12,0,D42*B42/12)</f>
        <v>47385.118150145456</v>
      </c>
      <c r="H42" s="18">
        <f t="shared" si="1"/>
        <v>17709.313213272646</v>
      </c>
      <c r="I42" s="18">
        <f t="shared" si="3"/>
        <v>9459314.3168158196</v>
      </c>
    </row>
    <row r="43" spans="1:20" x14ac:dyDescent="0.25">
      <c r="A43" t="b">
        <f>IF(('Input Data'!$C$23)="FRM", FALSE, ISNUMBER(MATCH(C43,'Input Data'!$M$18:$M$30,0)))</f>
        <v>0</v>
      </c>
      <c r="B43" s="8">
        <f>IF($A43, _xlfn.XLOOKUP(C43,'Input Data'!$M$17:$M$29,'Input Data'!$N$17:$N$29),$B42)</f>
        <v>0.06</v>
      </c>
      <c r="C43" s="10">
        <f t="shared" si="2"/>
        <v>41</v>
      </c>
      <c r="D43" s="18">
        <f t="shared" si="4"/>
        <v>9459314.3168158196</v>
      </c>
      <c r="E43" s="18">
        <f>IF('Input Data'!$E$23=0,G43,IF(OR(D43&lt;=0,C43&gt;'Input Data'!$B$23*12),0,IF(AND(C43='Input Data'!$B$23*12,'Input Data'!$E$23&gt;'Input Data'!$B$23),D43+D43*B43/12,IF('Input Data'!$C$23="FRM",-PMT($B$3/12,'Input Data'!$E$23*12,$D$3),IF($A43,-PMT(B43/12,('Input Data'!$E$23*12)-C43+1,D43),E42)))))</f>
        <v>65094.431363418102</v>
      </c>
      <c r="F43" s="18">
        <f t="shared" si="0"/>
        <v>9394219.8854524009</v>
      </c>
      <c r="G43" s="18">
        <f>IF(C43&gt;'Input Data'!$B$23*12,0,D43*B43/12)</f>
        <v>47296.571584079094</v>
      </c>
      <c r="H43" s="18">
        <f t="shared" si="1"/>
        <v>17797.859779339007</v>
      </c>
      <c r="I43" s="18">
        <f t="shared" si="3"/>
        <v>9441516.4570364803</v>
      </c>
    </row>
    <row r="44" spans="1:20" x14ac:dyDescent="0.25">
      <c r="A44" t="b">
        <f>IF(('Input Data'!$C$23)="FRM", FALSE, ISNUMBER(MATCH(C44,'Input Data'!$M$18:$M$30,0)))</f>
        <v>0</v>
      </c>
      <c r="B44" s="8">
        <f>IF($A44, _xlfn.XLOOKUP(C44,'Input Data'!$M$17:$M$29,'Input Data'!$N$17:$N$29),$B43)</f>
        <v>0.06</v>
      </c>
      <c r="C44" s="10">
        <f t="shared" si="2"/>
        <v>42</v>
      </c>
      <c r="D44" s="18">
        <f t="shared" si="4"/>
        <v>9441516.4570364803</v>
      </c>
      <c r="E44" s="18">
        <f>IF('Input Data'!$E$23=0,G44,IF(OR(D44&lt;=0,C44&gt;'Input Data'!$B$23*12),0,IF(AND(C44='Input Data'!$B$23*12,'Input Data'!$E$23&gt;'Input Data'!$B$23),D44+D44*B44/12,IF('Input Data'!$C$23="FRM",-PMT($B$3/12,'Input Data'!$E$23*12,$D$3),IF($A44,-PMT(B44/12,('Input Data'!$E$23*12)-C44+1,D44),E43)))))</f>
        <v>65094.431363418102</v>
      </c>
      <c r="F44" s="18">
        <f t="shared" si="0"/>
        <v>9376422.0256730616</v>
      </c>
      <c r="G44" s="18">
        <f>IF(C44&gt;'Input Data'!$B$23*12,0,D44*B44/12)</f>
        <v>47207.582285182398</v>
      </c>
      <c r="H44" s="18">
        <f t="shared" si="1"/>
        <v>17886.849078235704</v>
      </c>
      <c r="I44" s="18">
        <f t="shared" si="3"/>
        <v>9423629.6079582442</v>
      </c>
    </row>
    <row r="45" spans="1:20" x14ac:dyDescent="0.25">
      <c r="A45" t="b">
        <f>IF(('Input Data'!$C$23)="FRM", FALSE, ISNUMBER(MATCH(C45,'Input Data'!$M$18:$M$30,0)))</f>
        <v>0</v>
      </c>
      <c r="B45" s="8">
        <f>IF($A45, _xlfn.XLOOKUP(C45,'Input Data'!$M$17:$M$29,'Input Data'!$N$17:$N$29),$B44)</f>
        <v>0.06</v>
      </c>
      <c r="C45" s="10">
        <f t="shared" si="2"/>
        <v>43</v>
      </c>
      <c r="D45" s="18">
        <f t="shared" si="4"/>
        <v>9423629.6079582442</v>
      </c>
      <c r="E45" s="18">
        <f>IF('Input Data'!$E$23=0,G45,IF(OR(D45&lt;=0,C45&gt;'Input Data'!$B$23*12),0,IF(AND(C45='Input Data'!$B$23*12,'Input Data'!$E$23&gt;'Input Data'!$B$23),D45+D45*B45/12,IF('Input Data'!$C$23="FRM",-PMT($B$3/12,'Input Data'!$E$23*12,$D$3),IF($A45,-PMT(B45/12,('Input Data'!$E$23*12)-C45+1,D45),E44)))))</f>
        <v>65094.431363418102</v>
      </c>
      <c r="F45" s="18">
        <f t="shared" si="0"/>
        <v>9358535.1765948255</v>
      </c>
      <c r="G45" s="18">
        <f>IF(C45&gt;'Input Data'!$B$23*12,0,D45*B45/12)</f>
        <v>47118.148039791216</v>
      </c>
      <c r="H45" s="18">
        <f t="shared" si="1"/>
        <v>17976.283323626885</v>
      </c>
      <c r="I45" s="18">
        <f t="shared" si="3"/>
        <v>9405653.3246346172</v>
      </c>
    </row>
    <row r="46" spans="1:20" x14ac:dyDescent="0.25">
      <c r="A46" t="b">
        <f>IF(('Input Data'!$C$23)="FRM", FALSE, ISNUMBER(MATCH(C46,'Input Data'!$M$18:$M$30,0)))</f>
        <v>0</v>
      </c>
      <c r="B46" s="8">
        <f>IF($A46, _xlfn.XLOOKUP(C46,'Input Data'!$M$17:$M$29,'Input Data'!$N$17:$N$29),$B45)</f>
        <v>0.06</v>
      </c>
      <c r="C46" s="10">
        <f t="shared" si="2"/>
        <v>44</v>
      </c>
      <c r="D46" s="18">
        <f t="shared" si="4"/>
        <v>9405653.3246346172</v>
      </c>
      <c r="E46" s="18">
        <f>IF('Input Data'!$E$23=0,G46,IF(OR(D46&lt;=0,C46&gt;'Input Data'!$B$23*12),0,IF(AND(C46='Input Data'!$B$23*12,'Input Data'!$E$23&gt;'Input Data'!$B$23),D46+D46*B46/12,IF('Input Data'!$C$23="FRM",-PMT($B$3/12,'Input Data'!$E$23*12,$D$3),IF($A46,-PMT(B46/12,('Input Data'!$E$23*12)-C46+1,D46),E45)))))</f>
        <v>65094.431363418102</v>
      </c>
      <c r="F46" s="18">
        <f t="shared" si="0"/>
        <v>9340558.8932711985</v>
      </c>
      <c r="G46" s="18">
        <f>IF(C46&gt;'Input Data'!$B$23*12,0,D46*B46/12)</f>
        <v>47028.266623173084</v>
      </c>
      <c r="H46" s="18">
        <f t="shared" si="1"/>
        <v>18066.164740245018</v>
      </c>
      <c r="I46" s="18">
        <f t="shared" si="3"/>
        <v>9387587.1598943714</v>
      </c>
    </row>
    <row r="47" spans="1:20" x14ac:dyDescent="0.25">
      <c r="A47" t="b">
        <f>IF(('Input Data'!$C$23)="FRM", FALSE, ISNUMBER(MATCH(C47,'Input Data'!$M$18:$M$30,0)))</f>
        <v>0</v>
      </c>
      <c r="B47" s="8">
        <f>IF($A47, _xlfn.XLOOKUP(C47,'Input Data'!$M$17:$M$29,'Input Data'!$N$17:$N$29),$B46)</f>
        <v>0.06</v>
      </c>
      <c r="C47" s="10">
        <f t="shared" si="2"/>
        <v>45</v>
      </c>
      <c r="D47" s="18">
        <f t="shared" si="4"/>
        <v>9387587.1598943714</v>
      </c>
      <c r="E47" s="18">
        <f>IF('Input Data'!$E$23=0,G47,IF(OR(D47&lt;=0,C47&gt;'Input Data'!$B$23*12),0,IF(AND(C47='Input Data'!$B$23*12,'Input Data'!$E$23&gt;'Input Data'!$B$23),D47+D47*B47/12,IF('Input Data'!$C$23="FRM",-PMT($B$3/12,'Input Data'!$E$23*12,$D$3),IF($A47,-PMT(B47/12,('Input Data'!$E$23*12)-C47+1,D47),E46)))))</f>
        <v>65094.431363418102</v>
      </c>
      <c r="F47" s="18">
        <f t="shared" si="0"/>
        <v>9322492.7285309527</v>
      </c>
      <c r="G47" s="18">
        <f>IF(C47&gt;'Input Data'!$B$23*12,0,D47*B47/12)</f>
        <v>46937.935799471859</v>
      </c>
      <c r="H47" s="18">
        <f t="shared" si="1"/>
        <v>18156.495563946242</v>
      </c>
      <c r="I47" s="18">
        <f t="shared" si="3"/>
        <v>9369430.6643304247</v>
      </c>
    </row>
    <row r="48" spans="1:20" x14ac:dyDescent="0.25">
      <c r="A48" t="b">
        <f>IF(('Input Data'!$C$23)="FRM", FALSE, ISNUMBER(MATCH(C48,'Input Data'!$M$18:$M$30,0)))</f>
        <v>0</v>
      </c>
      <c r="B48" s="8">
        <f>IF($A48, _xlfn.XLOOKUP(C48,'Input Data'!$M$17:$M$29,'Input Data'!$N$17:$N$29),$B47)</f>
        <v>0.06</v>
      </c>
      <c r="C48" s="10">
        <f t="shared" si="2"/>
        <v>46</v>
      </c>
      <c r="D48" s="18">
        <f t="shared" si="4"/>
        <v>9369430.6643304247</v>
      </c>
      <c r="E48" s="18">
        <f>IF('Input Data'!$E$23=0,G48,IF(OR(D48&lt;=0,C48&gt;'Input Data'!$B$23*12),0,IF(AND(C48='Input Data'!$B$23*12,'Input Data'!$E$23&gt;'Input Data'!$B$23),D48+D48*B48/12,IF('Input Data'!$C$23="FRM",-PMT($B$3/12,'Input Data'!$E$23*12,$D$3),IF($A48,-PMT(B48/12,('Input Data'!$E$23*12)-C48+1,D48),E47)))))</f>
        <v>65094.431363418102</v>
      </c>
      <c r="F48" s="18">
        <f t="shared" si="0"/>
        <v>9304336.232967006</v>
      </c>
      <c r="G48" s="18">
        <f>IF(C48&gt;'Input Data'!$B$23*12,0,D48*B48/12)</f>
        <v>46847.15332165212</v>
      </c>
      <c r="H48" s="18">
        <f t="shared" si="1"/>
        <v>18247.278041765981</v>
      </c>
      <c r="I48" s="18">
        <f t="shared" si="3"/>
        <v>9351183.3862886596</v>
      </c>
    </row>
    <row r="49" spans="1:9" x14ac:dyDescent="0.25">
      <c r="A49" t="b">
        <f>IF(('Input Data'!$C$23)="FRM", FALSE, ISNUMBER(MATCH(C49,'Input Data'!$M$18:$M$30,0)))</f>
        <v>0</v>
      </c>
      <c r="B49" s="8">
        <f>IF($A49, _xlfn.XLOOKUP(C49,'Input Data'!$M$17:$M$29,'Input Data'!$N$17:$N$29),$B48)</f>
        <v>0.06</v>
      </c>
      <c r="C49" s="10">
        <f t="shared" si="2"/>
        <v>47</v>
      </c>
      <c r="D49" s="18">
        <f t="shared" si="4"/>
        <v>9351183.3862886596</v>
      </c>
      <c r="E49" s="18">
        <f>IF('Input Data'!$E$23=0,G49,IF(OR(D49&lt;=0,C49&gt;'Input Data'!$B$23*12),0,IF(AND(C49='Input Data'!$B$23*12,'Input Data'!$E$23&gt;'Input Data'!$B$23),D49+D49*B49/12,IF('Input Data'!$C$23="FRM",-PMT($B$3/12,'Input Data'!$E$23*12,$D$3),IF($A49,-PMT(B49/12,('Input Data'!$E$23*12)-C49+1,D49),E48)))))</f>
        <v>65094.431363418102</v>
      </c>
      <c r="F49" s="18">
        <f t="shared" si="0"/>
        <v>9286088.9549252409</v>
      </c>
      <c r="G49" s="18">
        <f>IF(C49&gt;'Input Data'!$B$23*12,0,D49*B49/12)</f>
        <v>46755.916931443295</v>
      </c>
      <c r="H49" s="18">
        <f t="shared" si="1"/>
        <v>18338.514431974807</v>
      </c>
      <c r="I49" s="18">
        <f t="shared" si="3"/>
        <v>9332844.8718566857</v>
      </c>
    </row>
    <row r="50" spans="1:9" x14ac:dyDescent="0.25">
      <c r="A50" t="b">
        <f>IF(('Input Data'!$C$23)="FRM", FALSE, ISNUMBER(MATCH(C50,'Input Data'!$M$18:$M$30,0)))</f>
        <v>0</v>
      </c>
      <c r="B50" s="8">
        <f>IF($A50, _xlfn.XLOOKUP(C50,'Input Data'!$M$17:$M$29,'Input Data'!$N$17:$N$29),$B49)</f>
        <v>0.06</v>
      </c>
      <c r="C50" s="10">
        <f t="shared" si="2"/>
        <v>48</v>
      </c>
      <c r="D50" s="18">
        <f t="shared" si="4"/>
        <v>9332844.8718566857</v>
      </c>
      <c r="E50" s="18">
        <f>IF('Input Data'!$E$23=0,G50,IF(OR(D50&lt;=0,C50&gt;'Input Data'!$B$23*12),0,IF(AND(C50='Input Data'!$B$23*12,'Input Data'!$E$23&gt;'Input Data'!$B$23),D50+D50*B50/12,IF('Input Data'!$C$23="FRM",-PMT($B$3/12,'Input Data'!$E$23*12,$D$3),IF($A50,-PMT(B50/12,('Input Data'!$E$23*12)-C50+1,D50),E49)))))</f>
        <v>65094.431363418102</v>
      </c>
      <c r="F50" s="18">
        <f t="shared" si="0"/>
        <v>9267750.440493267</v>
      </c>
      <c r="G50" s="18">
        <f>IF(C50&gt;'Input Data'!$B$23*12,0,D50*B50/12)</f>
        <v>46664.224359283427</v>
      </c>
      <c r="H50" s="18">
        <f t="shared" si="1"/>
        <v>18430.207004134674</v>
      </c>
      <c r="I50" s="18">
        <f t="shared" si="3"/>
        <v>9314414.6648525503</v>
      </c>
    </row>
    <row r="51" spans="1:9" x14ac:dyDescent="0.25">
      <c r="A51" t="b">
        <f>IF(('Input Data'!$C$23)="FRM", FALSE, ISNUMBER(MATCH(C51,'Input Data'!$M$18:$M$30,0)))</f>
        <v>0</v>
      </c>
      <c r="B51" s="8">
        <f>IF($A51, _xlfn.XLOOKUP(C51,'Input Data'!$M$17:$M$29,'Input Data'!$N$17:$N$29),$B50)</f>
        <v>0.06</v>
      </c>
      <c r="C51" s="10">
        <f t="shared" si="2"/>
        <v>49</v>
      </c>
      <c r="D51" s="18">
        <f t="shared" si="4"/>
        <v>9314414.6648525503</v>
      </c>
      <c r="E51" s="18">
        <f>IF('Input Data'!$E$23=0,G51,IF(OR(D51&lt;=0,C51&gt;'Input Data'!$B$23*12),0,IF(AND(C51='Input Data'!$B$23*12,'Input Data'!$E$23&gt;'Input Data'!$B$23),D51+D51*B51/12,IF('Input Data'!$C$23="FRM",-PMT($B$3/12,'Input Data'!$E$23*12,$D$3),IF($A51,-PMT(B51/12,('Input Data'!$E$23*12)-C51+1,D51),E50)))))</f>
        <v>65094.431363418102</v>
      </c>
      <c r="F51" s="18">
        <f t="shared" si="0"/>
        <v>9249320.2334891316</v>
      </c>
      <c r="G51" s="18">
        <f>IF(C51&gt;'Input Data'!$B$23*12,0,D51*B51/12)</f>
        <v>46572.073324262747</v>
      </c>
      <c r="H51" s="18">
        <f t="shared" si="1"/>
        <v>18522.358039155355</v>
      </c>
      <c r="I51" s="18">
        <f t="shared" si="3"/>
        <v>9295892.3068133947</v>
      </c>
    </row>
    <row r="52" spans="1:9" x14ac:dyDescent="0.25">
      <c r="A52" t="b">
        <f>IF(('Input Data'!$C$23)="FRM", FALSE, ISNUMBER(MATCH(C52,'Input Data'!$M$18:$M$30,0)))</f>
        <v>0</v>
      </c>
      <c r="B52" s="8">
        <f>IF($A52, _xlfn.XLOOKUP(C52,'Input Data'!$M$17:$M$29,'Input Data'!$N$17:$N$29),$B51)</f>
        <v>0.06</v>
      </c>
      <c r="C52" s="10">
        <f t="shared" si="2"/>
        <v>50</v>
      </c>
      <c r="D52" s="18">
        <f t="shared" si="4"/>
        <v>9295892.3068133947</v>
      </c>
      <c r="E52" s="18">
        <f>IF('Input Data'!$E$23=0,G52,IF(OR(D52&lt;=0,C52&gt;'Input Data'!$B$23*12),0,IF(AND(C52='Input Data'!$B$23*12,'Input Data'!$E$23&gt;'Input Data'!$B$23),D52+D52*B52/12,IF('Input Data'!$C$23="FRM",-PMT($B$3/12,'Input Data'!$E$23*12,$D$3),IF($A52,-PMT(B52/12,('Input Data'!$E$23*12)-C52+1,D52),E51)))))</f>
        <v>65094.431363418102</v>
      </c>
      <c r="F52" s="18">
        <f t="shared" si="0"/>
        <v>9230797.875449976</v>
      </c>
      <c r="G52" s="18">
        <f>IF(C52&gt;'Input Data'!$B$23*12,0,D52*B52/12)</f>
        <v>46479.46153406697</v>
      </c>
      <c r="H52" s="18">
        <f t="shared" si="1"/>
        <v>18614.969829351132</v>
      </c>
      <c r="I52" s="18">
        <f t="shared" si="3"/>
        <v>9277277.3369840439</v>
      </c>
    </row>
    <row r="53" spans="1:9" x14ac:dyDescent="0.25">
      <c r="A53" t="b">
        <f>IF(('Input Data'!$C$23)="FRM", FALSE, ISNUMBER(MATCH(C53,'Input Data'!$M$18:$M$30,0)))</f>
        <v>0</v>
      </c>
      <c r="B53" s="8">
        <f>IF($A53, _xlfn.XLOOKUP(C53,'Input Data'!$M$17:$M$29,'Input Data'!$N$17:$N$29),$B52)</f>
        <v>0.06</v>
      </c>
      <c r="C53" s="10">
        <f t="shared" si="2"/>
        <v>51</v>
      </c>
      <c r="D53" s="18">
        <f t="shared" si="4"/>
        <v>9277277.3369840439</v>
      </c>
      <c r="E53" s="18">
        <f>IF('Input Data'!$E$23=0,G53,IF(OR(D53&lt;=0,C53&gt;'Input Data'!$B$23*12),0,IF(AND(C53='Input Data'!$B$23*12,'Input Data'!$E$23&gt;'Input Data'!$B$23),D53+D53*B53/12,IF('Input Data'!$C$23="FRM",-PMT($B$3/12,'Input Data'!$E$23*12,$D$3),IF($A53,-PMT(B53/12,('Input Data'!$E$23*12)-C53+1,D53),E52)))))</f>
        <v>65094.431363418102</v>
      </c>
      <c r="F53" s="18">
        <f t="shared" si="0"/>
        <v>9212182.9056206252</v>
      </c>
      <c r="G53" s="18">
        <f>IF(C53&gt;'Input Data'!$B$23*12,0,D53*B53/12)</f>
        <v>46386.386684920224</v>
      </c>
      <c r="H53" s="18">
        <f t="shared" si="1"/>
        <v>18708.044678497878</v>
      </c>
      <c r="I53" s="18">
        <f t="shared" si="3"/>
        <v>9258569.2923055459</v>
      </c>
    </row>
    <row r="54" spans="1:9" x14ac:dyDescent="0.25">
      <c r="A54" t="b">
        <f>IF(('Input Data'!$C$23)="FRM", FALSE, ISNUMBER(MATCH(C54,'Input Data'!$M$18:$M$30,0)))</f>
        <v>0</v>
      </c>
      <c r="B54" s="8">
        <f>IF($A54, _xlfn.XLOOKUP(C54,'Input Data'!$M$17:$M$29,'Input Data'!$N$17:$N$29),$B53)</f>
        <v>0.06</v>
      </c>
      <c r="C54" s="10">
        <f t="shared" si="2"/>
        <v>52</v>
      </c>
      <c r="D54" s="18">
        <f t="shared" si="4"/>
        <v>9258569.2923055459</v>
      </c>
      <c r="E54" s="18">
        <f>IF('Input Data'!$E$23=0,G54,IF(OR(D54&lt;=0,C54&gt;'Input Data'!$B$23*12),0,IF(AND(C54='Input Data'!$B$23*12,'Input Data'!$E$23&gt;'Input Data'!$B$23),D54+D54*B54/12,IF('Input Data'!$C$23="FRM",-PMT($B$3/12,'Input Data'!$E$23*12,$D$3),IF($A54,-PMT(B54/12,('Input Data'!$E$23*12)-C54+1,D54),E53)))))</f>
        <v>65094.431363418102</v>
      </c>
      <c r="F54" s="18">
        <f t="shared" si="0"/>
        <v>9193474.8609421272</v>
      </c>
      <c r="G54" s="18">
        <f>IF(C54&gt;'Input Data'!$B$23*12,0,D54*B54/12)</f>
        <v>46292.846461527726</v>
      </c>
      <c r="H54" s="18">
        <f t="shared" si="1"/>
        <v>18801.584901890375</v>
      </c>
      <c r="I54" s="18">
        <f t="shared" si="3"/>
        <v>9239767.7074036561</v>
      </c>
    </row>
    <row r="55" spans="1:9" x14ac:dyDescent="0.25">
      <c r="A55" t="b">
        <f>IF(('Input Data'!$C$23)="FRM", FALSE, ISNUMBER(MATCH(C55,'Input Data'!$M$18:$M$30,0)))</f>
        <v>0</v>
      </c>
      <c r="B55" s="8">
        <f>IF($A55, _xlfn.XLOOKUP(C55,'Input Data'!$M$17:$M$29,'Input Data'!$N$17:$N$29),$B54)</f>
        <v>0.06</v>
      </c>
      <c r="C55" s="10">
        <f t="shared" si="2"/>
        <v>53</v>
      </c>
      <c r="D55" s="18">
        <f t="shared" si="4"/>
        <v>9239767.7074036561</v>
      </c>
      <c r="E55" s="18">
        <f>IF('Input Data'!$E$23=0,G55,IF(OR(D55&lt;=0,C55&gt;'Input Data'!$B$23*12),0,IF(AND(C55='Input Data'!$B$23*12,'Input Data'!$E$23&gt;'Input Data'!$B$23),D55+D55*B55/12,IF('Input Data'!$C$23="FRM",-PMT($B$3/12,'Input Data'!$E$23*12,$D$3),IF($A55,-PMT(B55/12,('Input Data'!$E$23*12)-C55+1,D55),E54)))))</f>
        <v>65094.431363418102</v>
      </c>
      <c r="F55" s="18">
        <f t="shared" si="0"/>
        <v>9174673.2760402374</v>
      </c>
      <c r="G55" s="18">
        <f>IF(C55&gt;'Input Data'!$B$23*12,0,D55*B55/12)</f>
        <v>46198.83853701828</v>
      </c>
      <c r="H55" s="18">
        <f t="shared" si="1"/>
        <v>18895.592826399821</v>
      </c>
      <c r="I55" s="18">
        <f t="shared" si="3"/>
        <v>9220872.1145772561</v>
      </c>
    </row>
    <row r="56" spans="1:9" x14ac:dyDescent="0.25">
      <c r="A56" t="b">
        <f>IF(('Input Data'!$C$23)="FRM", FALSE, ISNUMBER(MATCH(C56,'Input Data'!$M$18:$M$30,0)))</f>
        <v>0</v>
      </c>
      <c r="B56" s="8">
        <f>IF($A56, _xlfn.XLOOKUP(C56,'Input Data'!$M$17:$M$29,'Input Data'!$N$17:$N$29),$B55)</f>
        <v>0.06</v>
      </c>
      <c r="C56" s="10">
        <f t="shared" si="2"/>
        <v>54</v>
      </c>
      <c r="D56" s="18">
        <f t="shared" si="4"/>
        <v>9220872.1145772561</v>
      </c>
      <c r="E56" s="18">
        <f>IF('Input Data'!$E$23=0,G56,IF(OR(D56&lt;=0,C56&gt;'Input Data'!$B$23*12),0,IF(AND(C56='Input Data'!$B$23*12,'Input Data'!$E$23&gt;'Input Data'!$B$23),D56+D56*B56/12,IF('Input Data'!$C$23="FRM",-PMT($B$3/12,'Input Data'!$E$23*12,$D$3),IF($A56,-PMT(B56/12,('Input Data'!$E$23*12)-C56+1,D56),E55)))))</f>
        <v>65094.431363418102</v>
      </c>
      <c r="F56" s="18">
        <f t="shared" si="0"/>
        <v>9155777.6832138374</v>
      </c>
      <c r="G56" s="18">
        <f>IF(C56&gt;'Input Data'!$B$23*12,0,D56*B56/12)</f>
        <v>46104.360572886275</v>
      </c>
      <c r="H56" s="18">
        <f t="shared" si="1"/>
        <v>18990.070790531827</v>
      </c>
      <c r="I56" s="18">
        <f t="shared" si="3"/>
        <v>9201882.043786725</v>
      </c>
    </row>
    <row r="57" spans="1:9" x14ac:dyDescent="0.25">
      <c r="A57" t="b">
        <f>IF(('Input Data'!$C$23)="FRM", FALSE, ISNUMBER(MATCH(C57,'Input Data'!$M$18:$M$30,0)))</f>
        <v>0</v>
      </c>
      <c r="B57" s="8">
        <f>IF($A57, _xlfn.XLOOKUP(C57,'Input Data'!$M$17:$M$29,'Input Data'!$N$17:$N$29),$B56)</f>
        <v>0.06</v>
      </c>
      <c r="C57" s="10">
        <f t="shared" si="2"/>
        <v>55</v>
      </c>
      <c r="D57" s="18">
        <f t="shared" si="4"/>
        <v>9201882.043786725</v>
      </c>
      <c r="E57" s="18">
        <f>IF('Input Data'!$E$23=0,G57,IF(OR(D57&lt;=0,C57&gt;'Input Data'!$B$23*12),0,IF(AND(C57='Input Data'!$B$23*12,'Input Data'!$E$23&gt;'Input Data'!$B$23),D57+D57*B57/12,IF('Input Data'!$C$23="FRM",-PMT($B$3/12,'Input Data'!$E$23*12,$D$3),IF($A57,-PMT(B57/12,('Input Data'!$E$23*12)-C57+1,D57),E56)))))</f>
        <v>65094.431363418102</v>
      </c>
      <c r="F57" s="18">
        <f t="shared" si="0"/>
        <v>9136787.6124233063</v>
      </c>
      <c r="G57" s="18">
        <f>IF(C57&gt;'Input Data'!$B$23*12,0,D57*B57/12)</f>
        <v>46009.410218933626</v>
      </c>
      <c r="H57" s="18">
        <f t="shared" si="1"/>
        <v>19085.021144484475</v>
      </c>
      <c r="I57" s="18">
        <f t="shared" si="3"/>
        <v>9182797.0226422399</v>
      </c>
    </row>
    <row r="58" spans="1:9" x14ac:dyDescent="0.25">
      <c r="A58" t="b">
        <f>IF(('Input Data'!$C$23)="FRM", FALSE, ISNUMBER(MATCH(C58,'Input Data'!$M$18:$M$30,0)))</f>
        <v>0</v>
      </c>
      <c r="B58" s="8">
        <f>IF($A58, _xlfn.XLOOKUP(C58,'Input Data'!$M$17:$M$29,'Input Data'!$N$17:$N$29),$B57)</f>
        <v>0.06</v>
      </c>
      <c r="C58" s="10">
        <f t="shared" si="2"/>
        <v>56</v>
      </c>
      <c r="D58" s="18">
        <f t="shared" si="4"/>
        <v>9182797.0226422399</v>
      </c>
      <c r="E58" s="18">
        <f>IF('Input Data'!$E$23=0,G58,IF(OR(D58&lt;=0,C58&gt;'Input Data'!$B$23*12),0,IF(AND(C58='Input Data'!$B$23*12,'Input Data'!$E$23&gt;'Input Data'!$B$23),D58+D58*B58/12,IF('Input Data'!$C$23="FRM",-PMT($B$3/12,'Input Data'!$E$23*12,$D$3),IF($A58,-PMT(B58/12,('Input Data'!$E$23*12)-C58+1,D58),E57)))))</f>
        <v>65094.431363418102</v>
      </c>
      <c r="F58" s="18">
        <f t="shared" si="0"/>
        <v>9117702.5912788212</v>
      </c>
      <c r="G58" s="18">
        <f>IF(C58&gt;'Input Data'!$B$23*12,0,D58*B58/12)</f>
        <v>45913.985113211202</v>
      </c>
      <c r="H58" s="18">
        <f t="shared" si="1"/>
        <v>19180.4462502069</v>
      </c>
      <c r="I58" s="18">
        <f t="shared" si="3"/>
        <v>9163616.5763920322</v>
      </c>
    </row>
    <row r="59" spans="1:9" x14ac:dyDescent="0.25">
      <c r="A59" t="b">
        <f>IF(('Input Data'!$C$23)="FRM", FALSE, ISNUMBER(MATCH(C59,'Input Data'!$M$18:$M$30,0)))</f>
        <v>0</v>
      </c>
      <c r="B59" s="8">
        <f>IF($A59, _xlfn.XLOOKUP(C59,'Input Data'!$M$17:$M$29,'Input Data'!$N$17:$N$29),$B58)</f>
        <v>0.06</v>
      </c>
      <c r="C59" s="10">
        <f t="shared" si="2"/>
        <v>57</v>
      </c>
      <c r="D59" s="18">
        <f t="shared" si="4"/>
        <v>9163616.5763920322</v>
      </c>
      <c r="E59" s="18">
        <f>IF('Input Data'!$E$23=0,G59,IF(OR(D59&lt;=0,C59&gt;'Input Data'!$B$23*12),0,IF(AND(C59='Input Data'!$B$23*12,'Input Data'!$E$23&gt;'Input Data'!$B$23),D59+D59*B59/12,IF('Input Data'!$C$23="FRM",-PMT($B$3/12,'Input Data'!$E$23*12,$D$3),IF($A59,-PMT(B59/12,('Input Data'!$E$23*12)-C59+1,D59),E58)))))</f>
        <v>65094.431363418102</v>
      </c>
      <c r="F59" s="18">
        <f t="shared" si="0"/>
        <v>9098522.1450286135</v>
      </c>
      <c r="G59" s="18">
        <f>IF(C59&gt;'Input Data'!$B$23*12,0,D59*B59/12)</f>
        <v>45818.082881960167</v>
      </c>
      <c r="H59" s="18">
        <f t="shared" si="1"/>
        <v>19276.348481457935</v>
      </c>
      <c r="I59" s="18">
        <f t="shared" si="3"/>
        <v>9144340.2279105745</v>
      </c>
    </row>
    <row r="60" spans="1:9" x14ac:dyDescent="0.25">
      <c r="A60" t="b">
        <f>IF(('Input Data'!$C$23)="FRM", FALSE, ISNUMBER(MATCH(C60,'Input Data'!$M$18:$M$30,0)))</f>
        <v>0</v>
      </c>
      <c r="B60" s="8">
        <f>IF($A60, _xlfn.XLOOKUP(C60,'Input Data'!$M$17:$M$29,'Input Data'!$N$17:$N$29),$B59)</f>
        <v>0.06</v>
      </c>
      <c r="C60" s="10">
        <f t="shared" si="2"/>
        <v>58</v>
      </c>
      <c r="D60" s="18">
        <f t="shared" si="4"/>
        <v>9144340.2279105745</v>
      </c>
      <c r="E60" s="18">
        <f>IF('Input Data'!$E$23=0,G60,IF(OR(D60&lt;=0,C60&gt;'Input Data'!$B$23*12),0,IF(AND(C60='Input Data'!$B$23*12,'Input Data'!$E$23&gt;'Input Data'!$B$23),D60+D60*B60/12,IF('Input Data'!$C$23="FRM",-PMT($B$3/12,'Input Data'!$E$23*12,$D$3),IF($A60,-PMT(B60/12,('Input Data'!$E$23*12)-C60+1,D60),E59)))))</f>
        <v>65094.431363418102</v>
      </c>
      <c r="F60" s="18">
        <f t="shared" si="0"/>
        <v>9079245.7965471558</v>
      </c>
      <c r="G60" s="18">
        <f>IF(C60&gt;'Input Data'!$B$23*12,0,D60*B60/12)</f>
        <v>45721.701139552868</v>
      </c>
      <c r="H60" s="18">
        <f t="shared" si="1"/>
        <v>19372.730223865234</v>
      </c>
      <c r="I60" s="18">
        <f t="shared" si="3"/>
        <v>9124967.4976867102</v>
      </c>
    </row>
    <row r="61" spans="1:9" x14ac:dyDescent="0.25">
      <c r="A61" t="b">
        <f>IF(('Input Data'!$C$23)="FRM", FALSE, ISNUMBER(MATCH(C61,'Input Data'!$M$18:$M$30,0)))</f>
        <v>0</v>
      </c>
      <c r="B61" s="8">
        <f>IF($A61, _xlfn.XLOOKUP(C61,'Input Data'!$M$17:$M$29,'Input Data'!$N$17:$N$29),$B60)</f>
        <v>0.06</v>
      </c>
      <c r="C61" s="10">
        <f t="shared" si="2"/>
        <v>59</v>
      </c>
      <c r="D61" s="18">
        <f t="shared" si="4"/>
        <v>9124967.4976867102</v>
      </c>
      <c r="E61" s="18">
        <f>IF('Input Data'!$E$23=0,G61,IF(OR(D61&lt;=0,C61&gt;'Input Data'!$B$23*12),0,IF(AND(C61='Input Data'!$B$23*12,'Input Data'!$E$23&gt;'Input Data'!$B$23),D61+D61*B61/12,IF('Input Data'!$C$23="FRM",-PMT($B$3/12,'Input Data'!$E$23*12,$D$3),IF($A61,-PMT(B61/12,('Input Data'!$E$23*12)-C61+1,D61),E60)))))</f>
        <v>65094.431363418102</v>
      </c>
      <c r="F61" s="18">
        <f t="shared" si="0"/>
        <v>9059873.0663232915</v>
      </c>
      <c r="G61" s="18">
        <f>IF(C61&gt;'Input Data'!$B$23*12,0,D61*B61/12)</f>
        <v>45624.83748843355</v>
      </c>
      <c r="H61" s="18">
        <f t="shared" si="1"/>
        <v>19469.593874984552</v>
      </c>
      <c r="I61" s="18">
        <f t="shared" si="3"/>
        <v>9105497.9038117249</v>
      </c>
    </row>
    <row r="62" spans="1:9" x14ac:dyDescent="0.25">
      <c r="A62" t="b">
        <f>IF(('Input Data'!$C$23)="FRM", FALSE, ISNUMBER(MATCH(C62,'Input Data'!$M$18:$M$30,0)))</f>
        <v>0</v>
      </c>
      <c r="B62" s="8">
        <f>IF($A62, _xlfn.XLOOKUP(C62,'Input Data'!$M$17:$M$29,'Input Data'!$N$17:$N$29),$B61)</f>
        <v>0.06</v>
      </c>
      <c r="C62" s="10">
        <f t="shared" si="2"/>
        <v>60</v>
      </c>
      <c r="D62" s="18">
        <f t="shared" si="4"/>
        <v>9105497.9038117249</v>
      </c>
      <c r="E62" s="18">
        <f>IF('Input Data'!$E$23=0,G62,IF(OR(D62&lt;=0,C62&gt;'Input Data'!$B$23*12),0,IF(AND(C62='Input Data'!$B$23*12,'Input Data'!$E$23&gt;'Input Data'!$B$23),D62+D62*B62/12,IF('Input Data'!$C$23="FRM",-PMT($B$3/12,'Input Data'!$E$23*12,$D$3),IF($A62,-PMT(B62/12,('Input Data'!$E$23*12)-C62+1,D62),E61)))))</f>
        <v>65094.431363418102</v>
      </c>
      <c r="F62" s="18">
        <f t="shared" si="0"/>
        <v>9040403.4724483062</v>
      </c>
      <c r="G62" s="18">
        <f>IF(C62&gt;'Input Data'!$B$23*12,0,D62*B62/12)</f>
        <v>45527.489519058618</v>
      </c>
      <c r="H62" s="18">
        <f t="shared" si="1"/>
        <v>19566.941844359484</v>
      </c>
      <c r="I62" s="18">
        <f t="shared" si="3"/>
        <v>9085930.9619673658</v>
      </c>
    </row>
    <row r="63" spans="1:9" x14ac:dyDescent="0.25">
      <c r="A63" t="b">
        <f>IF(('Input Data'!$C$23)="FRM", FALSE, ISNUMBER(MATCH(C63,'Input Data'!$M$18:$M$30,0)))</f>
        <v>0</v>
      </c>
      <c r="B63" s="8">
        <f>IF($A63, _xlfn.XLOOKUP(C63,'Input Data'!$M$17:$M$29,'Input Data'!$N$17:$N$29),$B62)</f>
        <v>0.06</v>
      </c>
      <c r="C63" s="10">
        <f t="shared" si="2"/>
        <v>61</v>
      </c>
      <c r="D63" s="18">
        <f t="shared" si="4"/>
        <v>9085930.9619673658</v>
      </c>
      <c r="E63" s="18">
        <f>IF('Input Data'!$E$23=0,G63,IF(OR(D63&lt;=0,C63&gt;'Input Data'!$B$23*12),0,IF(AND(C63='Input Data'!$B$23*12,'Input Data'!$E$23&gt;'Input Data'!$B$23),D63+D63*B63/12,IF('Input Data'!$C$23="FRM",-PMT($B$3/12,'Input Data'!$E$23*12,$D$3),IF($A63,-PMT(B63/12,('Input Data'!$E$23*12)-C63+1,D63),E62)))))</f>
        <v>65094.431363418102</v>
      </c>
      <c r="F63" s="18">
        <f t="shared" si="0"/>
        <v>9020836.5306039471</v>
      </c>
      <c r="G63" s="18">
        <f>IF(C63&gt;'Input Data'!$B$23*12,0,D63*B63/12)</f>
        <v>45429.654809836829</v>
      </c>
      <c r="H63" s="18">
        <f t="shared" si="1"/>
        <v>19664.776553581272</v>
      </c>
      <c r="I63" s="18">
        <f t="shared" si="3"/>
        <v>9066266.1854137853</v>
      </c>
    </row>
    <row r="64" spans="1:9" x14ac:dyDescent="0.25">
      <c r="A64" t="b">
        <f>IF(('Input Data'!$C$23)="FRM", FALSE, ISNUMBER(MATCH(C64,'Input Data'!$M$18:$M$30,0)))</f>
        <v>0</v>
      </c>
      <c r="B64" s="8">
        <f>IF($A64, _xlfn.XLOOKUP(C64,'Input Data'!$M$17:$M$29,'Input Data'!$N$17:$N$29),$B63)</f>
        <v>0.06</v>
      </c>
      <c r="C64" s="10">
        <f t="shared" si="2"/>
        <v>62</v>
      </c>
      <c r="D64" s="18">
        <f t="shared" si="4"/>
        <v>9066266.1854137853</v>
      </c>
      <c r="E64" s="18">
        <f>IF('Input Data'!$E$23=0,G64,IF(OR(D64&lt;=0,C64&gt;'Input Data'!$B$23*12),0,IF(AND(C64='Input Data'!$B$23*12,'Input Data'!$E$23&gt;'Input Data'!$B$23),D64+D64*B64/12,IF('Input Data'!$C$23="FRM",-PMT($B$3/12,'Input Data'!$E$23*12,$D$3),IF($A64,-PMT(B64/12,('Input Data'!$E$23*12)-C64+1,D64),E63)))))</f>
        <v>65094.431363418102</v>
      </c>
      <c r="F64" s="18">
        <f t="shared" si="0"/>
        <v>9001171.7540503666</v>
      </c>
      <c r="G64" s="18">
        <f>IF(C64&gt;'Input Data'!$B$23*12,0,D64*B64/12)</f>
        <v>45331.330927068921</v>
      </c>
      <c r="H64" s="18">
        <f t="shared" si="1"/>
        <v>19763.100436349181</v>
      </c>
      <c r="I64" s="18">
        <f t="shared" si="3"/>
        <v>9046503.0849774368</v>
      </c>
    </row>
    <row r="65" spans="1:9" x14ac:dyDescent="0.25">
      <c r="A65" t="b">
        <f>IF(('Input Data'!$C$23)="FRM", FALSE, ISNUMBER(MATCH(C65,'Input Data'!$M$18:$M$30,0)))</f>
        <v>0</v>
      </c>
      <c r="B65" s="8">
        <f>IF($A65, _xlfn.XLOOKUP(C65,'Input Data'!$M$17:$M$29,'Input Data'!$N$17:$N$29),$B64)</f>
        <v>0.06</v>
      </c>
      <c r="C65" s="10">
        <f t="shared" si="2"/>
        <v>63</v>
      </c>
      <c r="D65" s="18">
        <f t="shared" si="4"/>
        <v>9046503.0849774368</v>
      </c>
      <c r="E65" s="18">
        <f>IF('Input Data'!$E$23=0,G65,IF(OR(D65&lt;=0,C65&gt;'Input Data'!$B$23*12),0,IF(AND(C65='Input Data'!$B$23*12,'Input Data'!$E$23&gt;'Input Data'!$B$23),D65+D65*B65/12,IF('Input Data'!$C$23="FRM",-PMT($B$3/12,'Input Data'!$E$23*12,$D$3),IF($A65,-PMT(B65/12,('Input Data'!$E$23*12)-C65+1,D65),E64)))))</f>
        <v>65094.431363418102</v>
      </c>
      <c r="F65" s="18">
        <f t="shared" si="0"/>
        <v>8981408.6536140181</v>
      </c>
      <c r="G65" s="18">
        <f>IF(C65&gt;'Input Data'!$B$23*12,0,D65*B65/12)</f>
        <v>45232.515424887184</v>
      </c>
      <c r="H65" s="18">
        <f t="shared" si="1"/>
        <v>19861.915938530918</v>
      </c>
      <c r="I65" s="18">
        <f t="shared" si="3"/>
        <v>9026641.1690389067</v>
      </c>
    </row>
    <row r="66" spans="1:9" x14ac:dyDescent="0.25">
      <c r="A66" t="b">
        <f>IF(('Input Data'!$C$23)="FRM", FALSE, ISNUMBER(MATCH(C66,'Input Data'!$M$18:$M$30,0)))</f>
        <v>0</v>
      </c>
      <c r="B66" s="8">
        <f>IF($A66, _xlfn.XLOOKUP(C66,'Input Data'!$M$17:$M$29,'Input Data'!$N$17:$N$29),$B65)</f>
        <v>0.06</v>
      </c>
      <c r="C66" s="10">
        <f t="shared" si="2"/>
        <v>64</v>
      </c>
      <c r="D66" s="18">
        <f t="shared" si="4"/>
        <v>9026641.1690389067</v>
      </c>
      <c r="E66" s="18">
        <f>IF('Input Data'!$E$23=0,G66,IF(OR(D66&lt;=0,C66&gt;'Input Data'!$B$23*12),0,IF(AND(C66='Input Data'!$B$23*12,'Input Data'!$E$23&gt;'Input Data'!$B$23),D66+D66*B66/12,IF('Input Data'!$C$23="FRM",-PMT($B$3/12,'Input Data'!$E$23*12,$D$3),IF($A66,-PMT(B66/12,('Input Data'!$E$23*12)-C66+1,D66),E65)))))</f>
        <v>65094.431363418102</v>
      </c>
      <c r="F66" s="18">
        <f t="shared" si="0"/>
        <v>8961546.737675488</v>
      </c>
      <c r="G66" s="18">
        <f>IF(C66&gt;'Input Data'!$B$23*12,0,D66*B66/12)</f>
        <v>45133.205845194527</v>
      </c>
      <c r="H66" s="18">
        <f t="shared" si="1"/>
        <v>19961.225518223575</v>
      </c>
      <c r="I66" s="18">
        <f t="shared" si="3"/>
        <v>9006679.9435206838</v>
      </c>
    </row>
    <row r="67" spans="1:9" x14ac:dyDescent="0.25">
      <c r="A67" t="b">
        <f>IF(('Input Data'!$C$23)="FRM", FALSE, ISNUMBER(MATCH(C67,'Input Data'!$M$18:$M$30,0)))</f>
        <v>0</v>
      </c>
      <c r="B67" s="8">
        <f>IF($A67, _xlfn.XLOOKUP(C67,'Input Data'!$M$17:$M$29,'Input Data'!$N$17:$N$29),$B66)</f>
        <v>0.06</v>
      </c>
      <c r="C67" s="10">
        <f t="shared" si="2"/>
        <v>65</v>
      </c>
      <c r="D67" s="18">
        <f t="shared" si="4"/>
        <v>9006679.9435206838</v>
      </c>
      <c r="E67" s="18">
        <f>IF('Input Data'!$E$23=0,G67,IF(OR(D67&lt;=0,C67&gt;'Input Data'!$B$23*12),0,IF(AND(C67='Input Data'!$B$23*12,'Input Data'!$E$23&gt;'Input Data'!$B$23),D67+D67*B67/12,IF('Input Data'!$C$23="FRM",-PMT($B$3/12,'Input Data'!$E$23*12,$D$3),IF($A67,-PMT(B67/12,('Input Data'!$E$23*12)-C67+1,D67),E66)))))</f>
        <v>65094.431363418102</v>
      </c>
      <c r="F67" s="18">
        <f t="shared" si="0"/>
        <v>8941585.5121572651</v>
      </c>
      <c r="G67" s="18">
        <f>IF(C67&gt;'Input Data'!$B$23*12,0,D67*B67/12)</f>
        <v>45033.399717603425</v>
      </c>
      <c r="H67" s="18">
        <f t="shared" ref="H67:H130" si="5">MIN(E67-G67,D67)</f>
        <v>20061.031645814677</v>
      </c>
      <c r="I67" s="18">
        <f t="shared" si="3"/>
        <v>8986618.9118748698</v>
      </c>
    </row>
    <row r="68" spans="1:9" x14ac:dyDescent="0.25">
      <c r="A68" t="b">
        <f>IF(('Input Data'!$C$23)="FRM", FALSE, ISNUMBER(MATCH(C68,'Input Data'!$M$18:$M$30,0)))</f>
        <v>0</v>
      </c>
      <c r="B68" s="8">
        <f>IF($A68, _xlfn.XLOOKUP(C68,'Input Data'!$M$17:$M$29,'Input Data'!$N$17:$N$29),$B67)</f>
        <v>0.06</v>
      </c>
      <c r="C68" s="10">
        <f t="shared" si="2"/>
        <v>66</v>
      </c>
      <c r="D68" s="18">
        <f t="shared" si="4"/>
        <v>8986618.9118748698</v>
      </c>
      <c r="E68" s="18">
        <f>IF('Input Data'!$E$23=0,G68,IF(OR(D68&lt;=0,C68&gt;'Input Data'!$B$23*12),0,IF(AND(C68='Input Data'!$B$23*12,'Input Data'!$E$23&gt;'Input Data'!$B$23),D68+D68*B68/12,IF('Input Data'!$C$23="FRM",-PMT($B$3/12,'Input Data'!$E$23*12,$D$3),IF($A68,-PMT(B68/12,('Input Data'!$E$23*12)-C68+1,D68),E67)))))</f>
        <v>65094.431363418102</v>
      </c>
      <c r="F68" s="18">
        <f t="shared" ref="F68:F131" si="6">IF(D68-E68&lt;0,0,D68-E68)</f>
        <v>8921524.4805114511</v>
      </c>
      <c r="G68" s="18">
        <f>IF(C68&gt;'Input Data'!$B$23*12,0,D68*B68/12)</f>
        <v>44933.094559374345</v>
      </c>
      <c r="H68" s="18">
        <f t="shared" si="5"/>
        <v>20161.336804043756</v>
      </c>
      <c r="I68" s="18">
        <f t="shared" ref="I68:I131" si="7">IF(ROUND(D68-H68,2)=0,0,D68-H68)</f>
        <v>8966457.5750708263</v>
      </c>
    </row>
    <row r="69" spans="1:9" x14ac:dyDescent="0.25">
      <c r="A69" t="b">
        <f>IF(('Input Data'!$C$23)="FRM", FALSE, ISNUMBER(MATCH(C69,'Input Data'!$M$18:$M$30,0)))</f>
        <v>0</v>
      </c>
      <c r="B69" s="8">
        <f>IF($A69, _xlfn.XLOOKUP(C69,'Input Data'!$M$17:$M$29,'Input Data'!$N$17:$N$29),$B68)</f>
        <v>0.06</v>
      </c>
      <c r="C69" s="10">
        <f t="shared" ref="C69:C132" si="8">C68+1</f>
        <v>67</v>
      </c>
      <c r="D69" s="18">
        <f t="shared" ref="D69:D132" si="9">IF(I68&gt;0,I68-J68,0)</f>
        <v>8966457.5750708263</v>
      </c>
      <c r="E69" s="18">
        <f>IF('Input Data'!$E$23=0,G69,IF(OR(D69&lt;=0,C69&gt;'Input Data'!$B$23*12),0,IF(AND(C69='Input Data'!$B$23*12,'Input Data'!$E$23&gt;'Input Data'!$B$23),D69+D69*B69/12,IF('Input Data'!$C$23="FRM",-PMT($B$3/12,'Input Data'!$E$23*12,$D$3),IF($A69,-PMT(B69/12,('Input Data'!$E$23*12)-C69+1,D69),E68)))))</f>
        <v>65094.431363418102</v>
      </c>
      <c r="F69" s="18">
        <f t="shared" si="6"/>
        <v>8901363.1437074076</v>
      </c>
      <c r="G69" s="18">
        <f>IF(C69&gt;'Input Data'!$B$23*12,0,D69*B69/12)</f>
        <v>44832.287875354137</v>
      </c>
      <c r="H69" s="18">
        <f t="shared" si="5"/>
        <v>20262.143488063964</v>
      </c>
      <c r="I69" s="18">
        <f t="shared" si="7"/>
        <v>8946195.4315827619</v>
      </c>
    </row>
    <row r="70" spans="1:9" x14ac:dyDescent="0.25">
      <c r="A70" t="b">
        <f>IF(('Input Data'!$C$23)="FRM", FALSE, ISNUMBER(MATCH(C70,'Input Data'!$M$18:$M$30,0)))</f>
        <v>0</v>
      </c>
      <c r="B70" s="8">
        <f>IF($A70, _xlfn.XLOOKUP(C70,'Input Data'!$M$17:$M$29,'Input Data'!$N$17:$N$29),$B69)</f>
        <v>0.06</v>
      </c>
      <c r="C70" s="10">
        <f t="shared" si="8"/>
        <v>68</v>
      </c>
      <c r="D70" s="18">
        <f t="shared" si="9"/>
        <v>8946195.4315827619</v>
      </c>
      <c r="E70" s="18">
        <f>IF('Input Data'!$E$23=0,G70,IF(OR(D70&lt;=0,C70&gt;'Input Data'!$B$23*12),0,IF(AND(C70='Input Data'!$B$23*12,'Input Data'!$E$23&gt;'Input Data'!$B$23),D70+D70*B70/12,IF('Input Data'!$C$23="FRM",-PMT($B$3/12,'Input Data'!$E$23*12,$D$3),IF($A70,-PMT(B70/12,('Input Data'!$E$23*12)-C70+1,D70),E69)))))</f>
        <v>65094.431363418102</v>
      </c>
      <c r="F70" s="18">
        <f t="shared" si="6"/>
        <v>8881101.0002193432</v>
      </c>
      <c r="G70" s="18">
        <f>IF(C70&gt;'Input Data'!$B$23*12,0,D70*B70/12)</f>
        <v>44730.977157913811</v>
      </c>
      <c r="H70" s="18">
        <f t="shared" si="5"/>
        <v>20363.454205504291</v>
      </c>
      <c r="I70" s="18">
        <f t="shared" si="7"/>
        <v>8925831.9773772582</v>
      </c>
    </row>
    <row r="71" spans="1:9" x14ac:dyDescent="0.25">
      <c r="A71" t="b">
        <f>IF(('Input Data'!$C$23)="FRM", FALSE, ISNUMBER(MATCH(C71,'Input Data'!$M$18:$M$30,0)))</f>
        <v>0</v>
      </c>
      <c r="B71" s="8">
        <f>IF($A71, _xlfn.XLOOKUP(C71,'Input Data'!$M$17:$M$29,'Input Data'!$N$17:$N$29),$B70)</f>
        <v>0.06</v>
      </c>
      <c r="C71" s="10">
        <f t="shared" si="8"/>
        <v>69</v>
      </c>
      <c r="D71" s="18">
        <f t="shared" si="9"/>
        <v>8925831.9773772582</v>
      </c>
      <c r="E71" s="18">
        <f>IF('Input Data'!$E$23=0,G71,IF(OR(D71&lt;=0,C71&gt;'Input Data'!$B$23*12),0,IF(AND(C71='Input Data'!$B$23*12,'Input Data'!$E$23&gt;'Input Data'!$B$23),D71+D71*B71/12,IF('Input Data'!$C$23="FRM",-PMT($B$3/12,'Input Data'!$E$23*12,$D$3),IF($A71,-PMT(B71/12,('Input Data'!$E$23*12)-C71+1,D71),E70)))))</f>
        <v>65094.431363418102</v>
      </c>
      <c r="F71" s="18">
        <f t="shared" si="6"/>
        <v>8860737.5460138395</v>
      </c>
      <c r="G71" s="18">
        <f>IF(C71&gt;'Input Data'!$B$23*12,0,D71*B71/12)</f>
        <v>44629.159886886286</v>
      </c>
      <c r="H71" s="18">
        <f t="shared" si="5"/>
        <v>20465.271476531816</v>
      </c>
      <c r="I71" s="18">
        <f t="shared" si="7"/>
        <v>8905366.7059007268</v>
      </c>
    </row>
    <row r="72" spans="1:9" x14ac:dyDescent="0.25">
      <c r="A72" t="b">
        <f>IF(('Input Data'!$C$23)="FRM", FALSE, ISNUMBER(MATCH(C72,'Input Data'!$M$18:$M$30,0)))</f>
        <v>0</v>
      </c>
      <c r="B72" s="8">
        <f>IF($A72, _xlfn.XLOOKUP(C72,'Input Data'!$M$17:$M$29,'Input Data'!$N$17:$N$29),$B71)</f>
        <v>0.06</v>
      </c>
      <c r="C72" s="10">
        <f t="shared" si="8"/>
        <v>70</v>
      </c>
      <c r="D72" s="18">
        <f t="shared" si="9"/>
        <v>8905366.7059007268</v>
      </c>
      <c r="E72" s="18">
        <f>IF('Input Data'!$E$23=0,G72,IF(OR(D72&lt;=0,C72&gt;'Input Data'!$B$23*12),0,IF(AND(C72='Input Data'!$B$23*12,'Input Data'!$E$23&gt;'Input Data'!$B$23),D72+D72*B72/12,IF('Input Data'!$C$23="FRM",-PMT($B$3/12,'Input Data'!$E$23*12,$D$3),IF($A72,-PMT(B72/12,('Input Data'!$E$23*12)-C72+1,D72),E71)))))</f>
        <v>65094.431363418102</v>
      </c>
      <c r="F72" s="18">
        <f t="shared" si="6"/>
        <v>8840272.2745373081</v>
      </c>
      <c r="G72" s="18">
        <f>IF(C72&gt;'Input Data'!$B$23*12,0,D72*B72/12)</f>
        <v>44526.83352950363</v>
      </c>
      <c r="H72" s="18">
        <f t="shared" si="5"/>
        <v>20567.597833914471</v>
      </c>
      <c r="I72" s="18">
        <f t="shared" si="7"/>
        <v>8884799.1080668122</v>
      </c>
    </row>
    <row r="73" spans="1:9" x14ac:dyDescent="0.25">
      <c r="A73" t="b">
        <f>IF(('Input Data'!$C$23)="FRM", FALSE, ISNUMBER(MATCH(C73,'Input Data'!$M$18:$M$30,0)))</f>
        <v>0</v>
      </c>
      <c r="B73" s="8">
        <f>IF($A73, _xlfn.XLOOKUP(C73,'Input Data'!$M$17:$M$29,'Input Data'!$N$17:$N$29),$B72)</f>
        <v>0.06</v>
      </c>
      <c r="C73" s="10">
        <f t="shared" si="8"/>
        <v>71</v>
      </c>
      <c r="D73" s="18">
        <f t="shared" si="9"/>
        <v>8884799.1080668122</v>
      </c>
      <c r="E73" s="18">
        <f>IF('Input Data'!$E$23=0,G73,IF(OR(D73&lt;=0,C73&gt;'Input Data'!$B$23*12),0,IF(AND(C73='Input Data'!$B$23*12,'Input Data'!$E$23&gt;'Input Data'!$B$23),D73+D73*B73/12,IF('Input Data'!$C$23="FRM",-PMT($B$3/12,'Input Data'!$E$23*12,$D$3),IF($A73,-PMT(B73/12,('Input Data'!$E$23*12)-C73+1,D73),E72)))))</f>
        <v>65094.431363418102</v>
      </c>
      <c r="F73" s="18">
        <f t="shared" si="6"/>
        <v>8819704.6767033935</v>
      </c>
      <c r="G73" s="18">
        <f>IF(C73&gt;'Input Data'!$B$23*12,0,D73*B73/12)</f>
        <v>44423.995540334057</v>
      </c>
      <c r="H73" s="18">
        <f t="shared" si="5"/>
        <v>20670.435823084044</v>
      </c>
      <c r="I73" s="18">
        <f t="shared" si="7"/>
        <v>8864128.6722437274</v>
      </c>
    </row>
    <row r="74" spans="1:9" x14ac:dyDescent="0.25">
      <c r="A74" t="b">
        <f>IF(('Input Data'!$C$23)="FRM", FALSE, ISNUMBER(MATCH(C74,'Input Data'!$M$18:$M$30,0)))</f>
        <v>0</v>
      </c>
      <c r="B74" s="8">
        <f>IF($A74, _xlfn.XLOOKUP(C74,'Input Data'!$M$17:$M$29,'Input Data'!$N$17:$N$29),$B73)</f>
        <v>0.06</v>
      </c>
      <c r="C74" s="10">
        <f t="shared" si="8"/>
        <v>72</v>
      </c>
      <c r="D74" s="18">
        <f t="shared" si="9"/>
        <v>8864128.6722437274</v>
      </c>
      <c r="E74" s="18">
        <f>IF('Input Data'!$E$23=0,G74,IF(OR(D74&lt;=0,C74&gt;'Input Data'!$B$23*12),0,IF(AND(C74='Input Data'!$B$23*12,'Input Data'!$E$23&gt;'Input Data'!$B$23),D74+D74*B74/12,IF('Input Data'!$C$23="FRM",-PMT($B$3/12,'Input Data'!$E$23*12,$D$3),IF($A74,-PMT(B74/12,('Input Data'!$E$23*12)-C74+1,D74),E73)))))</f>
        <v>65094.431363418102</v>
      </c>
      <c r="F74" s="18">
        <f t="shared" si="6"/>
        <v>8799034.2408803087</v>
      </c>
      <c r="G74" s="18">
        <f>IF(C74&gt;'Input Data'!$B$23*12,0,D74*B74/12)</f>
        <v>44320.64336121863</v>
      </c>
      <c r="H74" s="18">
        <f t="shared" si="5"/>
        <v>20773.788002199472</v>
      </c>
      <c r="I74" s="18">
        <f t="shared" si="7"/>
        <v>8843354.8842415288</v>
      </c>
    </row>
    <row r="75" spans="1:9" x14ac:dyDescent="0.25">
      <c r="A75" t="b">
        <f>IF(('Input Data'!$C$23)="FRM", FALSE, ISNUMBER(MATCH(C75,'Input Data'!$M$18:$M$30,0)))</f>
        <v>0</v>
      </c>
      <c r="B75" s="8">
        <f>IF($A75, _xlfn.XLOOKUP(C75,'Input Data'!$M$17:$M$29,'Input Data'!$N$17:$N$29),$B74)</f>
        <v>0.06</v>
      </c>
      <c r="C75" s="10">
        <f t="shared" si="8"/>
        <v>73</v>
      </c>
      <c r="D75" s="18">
        <f t="shared" si="9"/>
        <v>8843354.8842415288</v>
      </c>
      <c r="E75" s="18">
        <f>IF('Input Data'!$E$23=0,G75,IF(OR(D75&lt;=0,C75&gt;'Input Data'!$B$23*12),0,IF(AND(C75='Input Data'!$B$23*12,'Input Data'!$E$23&gt;'Input Data'!$B$23),D75+D75*B75/12,IF('Input Data'!$C$23="FRM",-PMT($B$3/12,'Input Data'!$E$23*12,$D$3),IF($A75,-PMT(B75/12,('Input Data'!$E$23*12)-C75+1,D75),E74)))))</f>
        <v>65094.431363418102</v>
      </c>
      <c r="F75" s="18">
        <f t="shared" si="6"/>
        <v>8778260.4528781101</v>
      </c>
      <c r="G75" s="18">
        <f>IF(C75&gt;'Input Data'!$B$23*12,0,D75*B75/12)</f>
        <v>44216.774421207643</v>
      </c>
      <c r="H75" s="18">
        <f t="shared" si="5"/>
        <v>20877.656942210459</v>
      </c>
      <c r="I75" s="18">
        <f t="shared" si="7"/>
        <v>8822477.2272993177</v>
      </c>
    </row>
    <row r="76" spans="1:9" x14ac:dyDescent="0.25">
      <c r="A76" t="b">
        <f>IF(('Input Data'!$C$23)="FRM", FALSE, ISNUMBER(MATCH(C76,'Input Data'!$M$18:$M$30,0)))</f>
        <v>0</v>
      </c>
      <c r="B76" s="8">
        <f>IF($A76, _xlfn.XLOOKUP(C76,'Input Data'!$M$17:$M$29,'Input Data'!$N$17:$N$29),$B75)</f>
        <v>0.06</v>
      </c>
      <c r="C76" s="10">
        <f t="shared" si="8"/>
        <v>74</v>
      </c>
      <c r="D76" s="18">
        <f t="shared" si="9"/>
        <v>8822477.2272993177</v>
      </c>
      <c r="E76" s="18">
        <f>IF('Input Data'!$E$23=0,G76,IF(OR(D76&lt;=0,C76&gt;'Input Data'!$B$23*12),0,IF(AND(C76='Input Data'!$B$23*12,'Input Data'!$E$23&gt;'Input Data'!$B$23),D76+D76*B76/12,IF('Input Data'!$C$23="FRM",-PMT($B$3/12,'Input Data'!$E$23*12,$D$3),IF($A76,-PMT(B76/12,('Input Data'!$E$23*12)-C76+1,D76),E75)))))</f>
        <v>65094.431363418102</v>
      </c>
      <c r="F76" s="18">
        <f t="shared" si="6"/>
        <v>8757382.795935899</v>
      </c>
      <c r="G76" s="18">
        <f>IF(C76&gt;'Input Data'!$B$23*12,0,D76*B76/12)</f>
        <v>44112.386136496585</v>
      </c>
      <c r="H76" s="18">
        <f t="shared" si="5"/>
        <v>20982.045226921517</v>
      </c>
      <c r="I76" s="18">
        <f t="shared" si="7"/>
        <v>8801495.1820723955</v>
      </c>
    </row>
    <row r="77" spans="1:9" x14ac:dyDescent="0.25">
      <c r="A77" t="b">
        <f>IF(('Input Data'!$C$23)="FRM", FALSE, ISNUMBER(MATCH(C77,'Input Data'!$M$18:$M$30,0)))</f>
        <v>0</v>
      </c>
      <c r="B77" s="8">
        <f>IF($A77, _xlfn.XLOOKUP(C77,'Input Data'!$M$17:$M$29,'Input Data'!$N$17:$N$29),$B76)</f>
        <v>0.06</v>
      </c>
      <c r="C77" s="10">
        <f t="shared" si="8"/>
        <v>75</v>
      </c>
      <c r="D77" s="18">
        <f t="shared" si="9"/>
        <v>8801495.1820723955</v>
      </c>
      <c r="E77" s="18">
        <f>IF('Input Data'!$E$23=0,G77,IF(OR(D77&lt;=0,C77&gt;'Input Data'!$B$23*12),0,IF(AND(C77='Input Data'!$B$23*12,'Input Data'!$E$23&gt;'Input Data'!$B$23),D77+D77*B77/12,IF('Input Data'!$C$23="FRM",-PMT($B$3/12,'Input Data'!$E$23*12,$D$3),IF($A77,-PMT(B77/12,('Input Data'!$E$23*12)-C77+1,D77),E76)))))</f>
        <v>65094.431363418102</v>
      </c>
      <c r="F77" s="18">
        <f t="shared" si="6"/>
        <v>8736400.7507089768</v>
      </c>
      <c r="G77" s="18">
        <f>IF(C77&gt;'Input Data'!$B$23*12,0,D77*B77/12)</f>
        <v>44007.475910361973</v>
      </c>
      <c r="H77" s="18">
        <f t="shared" si="5"/>
        <v>21086.955453056129</v>
      </c>
      <c r="I77" s="18">
        <f t="shared" si="7"/>
        <v>8780408.2266193386</v>
      </c>
    </row>
    <row r="78" spans="1:9" x14ac:dyDescent="0.25">
      <c r="A78" t="b">
        <f>IF(('Input Data'!$C$23)="FRM", FALSE, ISNUMBER(MATCH(C78,'Input Data'!$M$18:$M$30,0)))</f>
        <v>0</v>
      </c>
      <c r="B78" s="8">
        <f>IF($A78, _xlfn.XLOOKUP(C78,'Input Data'!$M$17:$M$29,'Input Data'!$N$17:$N$29),$B77)</f>
        <v>0.06</v>
      </c>
      <c r="C78" s="10">
        <f t="shared" si="8"/>
        <v>76</v>
      </c>
      <c r="D78" s="18">
        <f t="shared" si="9"/>
        <v>8780408.2266193386</v>
      </c>
      <c r="E78" s="18">
        <f>IF('Input Data'!$E$23=0,G78,IF(OR(D78&lt;=0,C78&gt;'Input Data'!$B$23*12),0,IF(AND(C78='Input Data'!$B$23*12,'Input Data'!$E$23&gt;'Input Data'!$B$23),D78+D78*B78/12,IF('Input Data'!$C$23="FRM",-PMT($B$3/12,'Input Data'!$E$23*12,$D$3),IF($A78,-PMT(B78/12,('Input Data'!$E$23*12)-C78+1,D78),E77)))))</f>
        <v>65094.431363418102</v>
      </c>
      <c r="F78" s="18">
        <f t="shared" si="6"/>
        <v>8715313.7952559199</v>
      </c>
      <c r="G78" s="18">
        <f>IF(C78&gt;'Input Data'!$B$23*12,0,D78*B78/12)</f>
        <v>43902.041133096696</v>
      </c>
      <c r="H78" s="18">
        <f t="shared" si="5"/>
        <v>21192.390230321405</v>
      </c>
      <c r="I78" s="18">
        <f t="shared" si="7"/>
        <v>8759215.8363890164</v>
      </c>
    </row>
    <row r="79" spans="1:9" x14ac:dyDescent="0.25">
      <c r="A79" t="b">
        <f>IF(('Input Data'!$C$23)="FRM", FALSE, ISNUMBER(MATCH(C79,'Input Data'!$M$18:$M$30,0)))</f>
        <v>0</v>
      </c>
      <c r="B79" s="8">
        <f>IF($A79, _xlfn.XLOOKUP(C79,'Input Data'!$M$17:$M$29,'Input Data'!$N$17:$N$29),$B78)</f>
        <v>0.06</v>
      </c>
      <c r="C79" s="10">
        <f t="shared" si="8"/>
        <v>77</v>
      </c>
      <c r="D79" s="18">
        <f t="shared" si="9"/>
        <v>8759215.8363890164</v>
      </c>
      <c r="E79" s="18">
        <f>IF('Input Data'!$E$23=0,G79,IF(OR(D79&lt;=0,C79&gt;'Input Data'!$B$23*12),0,IF(AND(C79='Input Data'!$B$23*12,'Input Data'!$E$23&gt;'Input Data'!$B$23),D79+D79*B79/12,IF('Input Data'!$C$23="FRM",-PMT($B$3/12,'Input Data'!$E$23*12,$D$3),IF($A79,-PMT(B79/12,('Input Data'!$E$23*12)-C79+1,D79),E78)))))</f>
        <v>65094.431363418102</v>
      </c>
      <c r="F79" s="18">
        <f t="shared" si="6"/>
        <v>8694121.4050255977</v>
      </c>
      <c r="G79" s="18">
        <f>IF(C79&gt;'Input Data'!$B$23*12,0,D79*B79/12)</f>
        <v>43796.079181945075</v>
      </c>
      <c r="H79" s="18">
        <f t="shared" si="5"/>
        <v>21298.352181473027</v>
      </c>
      <c r="I79" s="18">
        <f t="shared" si="7"/>
        <v>8737917.4842075426</v>
      </c>
    </row>
    <row r="80" spans="1:9" x14ac:dyDescent="0.25">
      <c r="A80" t="b">
        <f>IF(('Input Data'!$C$23)="FRM", FALSE, ISNUMBER(MATCH(C80,'Input Data'!$M$18:$M$30,0)))</f>
        <v>0</v>
      </c>
      <c r="B80" s="8">
        <f>IF($A80, _xlfn.XLOOKUP(C80,'Input Data'!$M$17:$M$29,'Input Data'!$N$17:$N$29),$B79)</f>
        <v>0.06</v>
      </c>
      <c r="C80" s="10">
        <f t="shared" si="8"/>
        <v>78</v>
      </c>
      <c r="D80" s="18">
        <f t="shared" si="9"/>
        <v>8737917.4842075426</v>
      </c>
      <c r="E80" s="18">
        <f>IF('Input Data'!$E$23=0,G80,IF(OR(D80&lt;=0,C80&gt;'Input Data'!$B$23*12),0,IF(AND(C80='Input Data'!$B$23*12,'Input Data'!$E$23&gt;'Input Data'!$B$23),D80+D80*B80/12,IF('Input Data'!$C$23="FRM",-PMT($B$3/12,'Input Data'!$E$23*12,$D$3),IF($A80,-PMT(B80/12,('Input Data'!$E$23*12)-C80+1,D80),E79)))))</f>
        <v>65094.431363418102</v>
      </c>
      <c r="F80" s="18">
        <f t="shared" si="6"/>
        <v>8672823.0528441239</v>
      </c>
      <c r="G80" s="18">
        <f>IF(C80&gt;'Input Data'!$B$23*12,0,D80*B80/12)</f>
        <v>43689.587421037715</v>
      </c>
      <c r="H80" s="18">
        <f t="shared" si="5"/>
        <v>21404.843942380387</v>
      </c>
      <c r="I80" s="18">
        <f t="shared" si="7"/>
        <v>8716512.640265163</v>
      </c>
    </row>
    <row r="81" spans="1:9" x14ac:dyDescent="0.25">
      <c r="A81" t="b">
        <f>IF(('Input Data'!$C$23)="FRM", FALSE, ISNUMBER(MATCH(C81,'Input Data'!$M$18:$M$30,0)))</f>
        <v>0</v>
      </c>
      <c r="B81" s="8">
        <f>IF($A81, _xlfn.XLOOKUP(C81,'Input Data'!$M$17:$M$29,'Input Data'!$N$17:$N$29),$B80)</f>
        <v>0.06</v>
      </c>
      <c r="C81" s="10">
        <f t="shared" si="8"/>
        <v>79</v>
      </c>
      <c r="D81" s="18">
        <f t="shared" si="9"/>
        <v>8716512.640265163</v>
      </c>
      <c r="E81" s="18">
        <f>IF('Input Data'!$E$23=0,G81,IF(OR(D81&lt;=0,C81&gt;'Input Data'!$B$23*12),0,IF(AND(C81='Input Data'!$B$23*12,'Input Data'!$E$23&gt;'Input Data'!$B$23),D81+D81*B81/12,IF('Input Data'!$C$23="FRM",-PMT($B$3/12,'Input Data'!$E$23*12,$D$3),IF($A81,-PMT(B81/12,('Input Data'!$E$23*12)-C81+1,D81),E80)))))</f>
        <v>65094.431363418102</v>
      </c>
      <c r="F81" s="18">
        <f t="shared" si="6"/>
        <v>8651418.2089017443</v>
      </c>
      <c r="G81" s="18">
        <f>IF(C81&gt;'Input Data'!$B$23*12,0,D81*B81/12)</f>
        <v>43582.563201325815</v>
      </c>
      <c r="H81" s="18">
        <f t="shared" si="5"/>
        <v>21511.868162092287</v>
      </c>
      <c r="I81" s="18">
        <f t="shared" si="7"/>
        <v>8695000.7721030712</v>
      </c>
    </row>
    <row r="82" spans="1:9" x14ac:dyDescent="0.25">
      <c r="A82" t="b">
        <f>IF(('Input Data'!$C$23)="FRM", FALSE, ISNUMBER(MATCH(C82,'Input Data'!$M$18:$M$30,0)))</f>
        <v>0</v>
      </c>
      <c r="B82" s="8">
        <f>IF($A82, _xlfn.XLOOKUP(C82,'Input Data'!$M$17:$M$29,'Input Data'!$N$17:$N$29),$B81)</f>
        <v>0.06</v>
      </c>
      <c r="C82" s="10">
        <f t="shared" si="8"/>
        <v>80</v>
      </c>
      <c r="D82" s="18">
        <f t="shared" si="9"/>
        <v>8695000.7721030712</v>
      </c>
      <c r="E82" s="18">
        <f>IF('Input Data'!$E$23=0,G82,IF(OR(D82&lt;=0,C82&gt;'Input Data'!$B$23*12),0,IF(AND(C82='Input Data'!$B$23*12,'Input Data'!$E$23&gt;'Input Data'!$B$23),D82+D82*B82/12,IF('Input Data'!$C$23="FRM",-PMT($B$3/12,'Input Data'!$E$23*12,$D$3),IF($A82,-PMT(B82/12,('Input Data'!$E$23*12)-C82+1,D82),E81)))))</f>
        <v>65094.431363418102</v>
      </c>
      <c r="F82" s="18">
        <f t="shared" si="6"/>
        <v>8629906.3407396525</v>
      </c>
      <c r="G82" s="18">
        <f>IF(C82&gt;'Input Data'!$B$23*12,0,D82*B82/12)</f>
        <v>43475.003860515353</v>
      </c>
      <c r="H82" s="18">
        <f t="shared" si="5"/>
        <v>21619.427502902749</v>
      </c>
      <c r="I82" s="18">
        <f t="shared" si="7"/>
        <v>8673381.344600169</v>
      </c>
    </row>
    <row r="83" spans="1:9" x14ac:dyDescent="0.25">
      <c r="A83" t="b">
        <f>IF(('Input Data'!$C$23)="FRM", FALSE, ISNUMBER(MATCH(C83,'Input Data'!$M$18:$M$30,0)))</f>
        <v>0</v>
      </c>
      <c r="B83" s="8">
        <f>IF($A83, _xlfn.XLOOKUP(C83,'Input Data'!$M$17:$M$29,'Input Data'!$N$17:$N$29),$B82)</f>
        <v>0.06</v>
      </c>
      <c r="C83" s="10">
        <f t="shared" si="8"/>
        <v>81</v>
      </c>
      <c r="D83" s="18">
        <f t="shared" si="9"/>
        <v>8673381.344600169</v>
      </c>
      <c r="E83" s="18">
        <f>IF('Input Data'!$E$23=0,G83,IF(OR(D83&lt;=0,C83&gt;'Input Data'!$B$23*12),0,IF(AND(C83='Input Data'!$B$23*12,'Input Data'!$E$23&gt;'Input Data'!$B$23),D83+D83*B83/12,IF('Input Data'!$C$23="FRM",-PMT($B$3/12,'Input Data'!$E$23*12,$D$3),IF($A83,-PMT(B83/12,('Input Data'!$E$23*12)-C83+1,D83),E82)))))</f>
        <v>65094.431363418102</v>
      </c>
      <c r="F83" s="18">
        <f t="shared" si="6"/>
        <v>8608286.9132367503</v>
      </c>
      <c r="G83" s="18">
        <f>IF(C83&gt;'Input Data'!$B$23*12,0,D83*B83/12)</f>
        <v>43366.906723000844</v>
      </c>
      <c r="H83" s="18">
        <f t="shared" si="5"/>
        <v>21727.524640417258</v>
      </c>
      <c r="I83" s="18">
        <f t="shared" si="7"/>
        <v>8651653.8199597523</v>
      </c>
    </row>
    <row r="84" spans="1:9" x14ac:dyDescent="0.25">
      <c r="A84" t="b">
        <f>IF(('Input Data'!$C$23)="FRM", FALSE, ISNUMBER(MATCH(C84,'Input Data'!$M$18:$M$30,0)))</f>
        <v>0</v>
      </c>
      <c r="B84" s="8">
        <f>IF($A84, _xlfn.XLOOKUP(C84,'Input Data'!$M$17:$M$29,'Input Data'!$N$17:$N$29),$B83)</f>
        <v>0.06</v>
      </c>
      <c r="C84" s="10">
        <f t="shared" si="8"/>
        <v>82</v>
      </c>
      <c r="D84" s="18">
        <f t="shared" si="9"/>
        <v>8651653.8199597523</v>
      </c>
      <c r="E84" s="18">
        <f>IF('Input Data'!$E$23=0,G84,IF(OR(D84&lt;=0,C84&gt;'Input Data'!$B$23*12),0,IF(AND(C84='Input Data'!$B$23*12,'Input Data'!$E$23&gt;'Input Data'!$B$23),D84+D84*B84/12,IF('Input Data'!$C$23="FRM",-PMT($B$3/12,'Input Data'!$E$23*12,$D$3),IF($A84,-PMT(B84/12,('Input Data'!$E$23*12)-C84+1,D84),E83)))))</f>
        <v>65094.431363418102</v>
      </c>
      <c r="F84" s="18">
        <f t="shared" si="6"/>
        <v>8586559.3885963336</v>
      </c>
      <c r="G84" s="18">
        <f>IF(C84&gt;'Input Data'!$B$23*12,0,D84*B84/12)</f>
        <v>43258.269099798759</v>
      </c>
      <c r="H84" s="18">
        <f t="shared" si="5"/>
        <v>21836.162263619342</v>
      </c>
      <c r="I84" s="18">
        <f t="shared" si="7"/>
        <v>8629817.6576961335</v>
      </c>
    </row>
    <row r="85" spans="1:9" x14ac:dyDescent="0.25">
      <c r="A85" t="b">
        <f>IF(('Input Data'!$C$23)="FRM", FALSE, ISNUMBER(MATCH(C85,'Input Data'!$M$18:$M$30,0)))</f>
        <v>0</v>
      </c>
      <c r="B85" s="8">
        <f>IF($A85, _xlfn.XLOOKUP(C85,'Input Data'!$M$17:$M$29,'Input Data'!$N$17:$N$29),$B84)</f>
        <v>0.06</v>
      </c>
      <c r="C85" s="10">
        <f t="shared" si="8"/>
        <v>83</v>
      </c>
      <c r="D85" s="18">
        <f t="shared" si="9"/>
        <v>8629817.6576961335</v>
      </c>
      <c r="E85" s="18">
        <f>IF('Input Data'!$E$23=0,G85,IF(OR(D85&lt;=0,C85&gt;'Input Data'!$B$23*12),0,IF(AND(C85='Input Data'!$B$23*12,'Input Data'!$E$23&gt;'Input Data'!$B$23),D85+D85*B85/12,IF('Input Data'!$C$23="FRM",-PMT($B$3/12,'Input Data'!$E$23*12,$D$3),IF($A85,-PMT(B85/12,('Input Data'!$E$23*12)-C85+1,D85),E84)))))</f>
        <v>65094.431363418102</v>
      </c>
      <c r="F85" s="18">
        <f t="shared" si="6"/>
        <v>8564723.2263327148</v>
      </c>
      <c r="G85" s="18">
        <f>IF(C85&gt;'Input Data'!$B$23*12,0,D85*B85/12)</f>
        <v>43149.088288480671</v>
      </c>
      <c r="H85" s="18">
        <f t="shared" si="5"/>
        <v>21945.343074937431</v>
      </c>
      <c r="I85" s="18">
        <f t="shared" si="7"/>
        <v>8607872.3146211952</v>
      </c>
    </row>
    <row r="86" spans="1:9" x14ac:dyDescent="0.25">
      <c r="A86" t="b">
        <f>IF(('Input Data'!$C$23)="FRM", FALSE, ISNUMBER(MATCH(C86,'Input Data'!$M$18:$M$30,0)))</f>
        <v>0</v>
      </c>
      <c r="B86" s="8">
        <f>IF($A86, _xlfn.XLOOKUP(C86,'Input Data'!$M$17:$M$29,'Input Data'!$N$17:$N$29),$B85)</f>
        <v>0.06</v>
      </c>
      <c r="C86" s="10">
        <f t="shared" si="8"/>
        <v>84</v>
      </c>
      <c r="D86" s="18">
        <f t="shared" si="9"/>
        <v>8607872.3146211952</v>
      </c>
      <c r="E86" s="18">
        <f>IF('Input Data'!$E$23=0,G86,IF(OR(D86&lt;=0,C86&gt;'Input Data'!$B$23*12),0,IF(AND(C86='Input Data'!$B$23*12,'Input Data'!$E$23&gt;'Input Data'!$B$23),D86+D86*B86/12,IF('Input Data'!$C$23="FRM",-PMT($B$3/12,'Input Data'!$E$23*12,$D$3),IF($A86,-PMT(B86/12,('Input Data'!$E$23*12)-C86+1,D86),E85)))))</f>
        <v>65094.431363418102</v>
      </c>
      <c r="F86" s="18">
        <f t="shared" si="6"/>
        <v>8542777.8832577765</v>
      </c>
      <c r="G86" s="18">
        <f>IF(C86&gt;'Input Data'!$B$23*12,0,D86*B86/12)</f>
        <v>43039.361573105976</v>
      </c>
      <c r="H86" s="18">
        <f t="shared" si="5"/>
        <v>22055.069790312125</v>
      </c>
      <c r="I86" s="18">
        <f t="shared" si="7"/>
        <v>8585817.2448308822</v>
      </c>
    </row>
    <row r="87" spans="1:9" x14ac:dyDescent="0.25">
      <c r="A87" t="b">
        <f>IF(('Input Data'!$C$23)="FRM", FALSE, ISNUMBER(MATCH(C87,'Input Data'!$M$18:$M$30,0)))</f>
        <v>0</v>
      </c>
      <c r="B87" s="8">
        <f>IF($A87, _xlfn.XLOOKUP(C87,'Input Data'!$M$17:$M$29,'Input Data'!$N$17:$N$29),$B86)</f>
        <v>0.06</v>
      </c>
      <c r="C87" s="10">
        <f t="shared" si="8"/>
        <v>85</v>
      </c>
      <c r="D87" s="18">
        <f t="shared" si="9"/>
        <v>8585817.2448308822</v>
      </c>
      <c r="E87" s="18">
        <f>IF('Input Data'!$E$23=0,G87,IF(OR(D87&lt;=0,C87&gt;'Input Data'!$B$23*12),0,IF(AND(C87='Input Data'!$B$23*12,'Input Data'!$E$23&gt;'Input Data'!$B$23),D87+D87*B87/12,IF('Input Data'!$C$23="FRM",-PMT($B$3/12,'Input Data'!$E$23*12,$D$3),IF($A87,-PMT(B87/12,('Input Data'!$E$23*12)-C87+1,D87),E86)))))</f>
        <v>65094.431363418102</v>
      </c>
      <c r="F87" s="18">
        <f t="shared" si="6"/>
        <v>8520722.8134674635</v>
      </c>
      <c r="G87" s="18">
        <f>IF(C87&gt;'Input Data'!$B$23*12,0,D87*B87/12)</f>
        <v>42929.086224154409</v>
      </c>
      <c r="H87" s="18">
        <f t="shared" si="5"/>
        <v>22165.345139263693</v>
      </c>
      <c r="I87" s="18">
        <f t="shared" si="7"/>
        <v>8563651.899691619</v>
      </c>
    </row>
    <row r="88" spans="1:9" x14ac:dyDescent="0.25">
      <c r="A88" t="b">
        <f>IF(('Input Data'!$C$23)="FRM", FALSE, ISNUMBER(MATCH(C88,'Input Data'!$M$18:$M$30,0)))</f>
        <v>0</v>
      </c>
      <c r="B88" s="8">
        <f>IF($A88, _xlfn.XLOOKUP(C88,'Input Data'!$M$17:$M$29,'Input Data'!$N$17:$N$29),$B87)</f>
        <v>0.06</v>
      </c>
      <c r="C88" s="10">
        <f t="shared" si="8"/>
        <v>86</v>
      </c>
      <c r="D88" s="18">
        <f t="shared" si="9"/>
        <v>8563651.899691619</v>
      </c>
      <c r="E88" s="18">
        <f>IF('Input Data'!$E$23=0,G88,IF(OR(D88&lt;=0,C88&gt;'Input Data'!$B$23*12),0,IF(AND(C88='Input Data'!$B$23*12,'Input Data'!$E$23&gt;'Input Data'!$B$23),D88+D88*B88/12,IF('Input Data'!$C$23="FRM",-PMT($B$3/12,'Input Data'!$E$23*12,$D$3),IF($A88,-PMT(B88/12,('Input Data'!$E$23*12)-C88+1,D88),E87)))))</f>
        <v>65094.431363418102</v>
      </c>
      <c r="F88" s="18">
        <f t="shared" si="6"/>
        <v>8498557.4683282003</v>
      </c>
      <c r="G88" s="18">
        <f>IF(C88&gt;'Input Data'!$B$23*12,0,D88*B88/12)</f>
        <v>42818.259498458094</v>
      </c>
      <c r="H88" s="18">
        <f t="shared" si="5"/>
        <v>22276.171864960008</v>
      </c>
      <c r="I88" s="18">
        <f t="shared" si="7"/>
        <v>8541375.7278266586</v>
      </c>
    </row>
    <row r="89" spans="1:9" x14ac:dyDescent="0.25">
      <c r="A89" t="b">
        <f>IF(('Input Data'!$C$23)="FRM", FALSE, ISNUMBER(MATCH(C89,'Input Data'!$M$18:$M$30,0)))</f>
        <v>0</v>
      </c>
      <c r="B89" s="8">
        <f>IF($A89, _xlfn.XLOOKUP(C89,'Input Data'!$M$17:$M$29,'Input Data'!$N$17:$N$29),$B88)</f>
        <v>0.06</v>
      </c>
      <c r="C89" s="10">
        <f t="shared" si="8"/>
        <v>87</v>
      </c>
      <c r="D89" s="18">
        <f t="shared" si="9"/>
        <v>8541375.7278266586</v>
      </c>
      <c r="E89" s="18">
        <f>IF('Input Data'!$E$23=0,G89,IF(OR(D89&lt;=0,C89&gt;'Input Data'!$B$23*12),0,IF(AND(C89='Input Data'!$B$23*12,'Input Data'!$E$23&gt;'Input Data'!$B$23),D89+D89*B89/12,IF('Input Data'!$C$23="FRM",-PMT($B$3/12,'Input Data'!$E$23*12,$D$3),IF($A89,-PMT(B89/12,('Input Data'!$E$23*12)-C89+1,D89),E88)))))</f>
        <v>65094.431363418102</v>
      </c>
      <c r="F89" s="18">
        <f t="shared" si="6"/>
        <v>8476281.2964632399</v>
      </c>
      <c r="G89" s="18">
        <f>IF(C89&gt;'Input Data'!$B$23*12,0,D89*B89/12)</f>
        <v>42706.878639133291</v>
      </c>
      <c r="H89" s="18">
        <f t="shared" si="5"/>
        <v>22387.552724284811</v>
      </c>
      <c r="I89" s="18">
        <f t="shared" si="7"/>
        <v>8518988.1751023736</v>
      </c>
    </row>
    <row r="90" spans="1:9" x14ac:dyDescent="0.25">
      <c r="A90" t="b">
        <f>IF(('Input Data'!$C$23)="FRM", FALSE, ISNUMBER(MATCH(C90,'Input Data'!$M$18:$M$30,0)))</f>
        <v>0</v>
      </c>
      <c r="B90" s="8">
        <f>IF($A90, _xlfn.XLOOKUP(C90,'Input Data'!$M$17:$M$29,'Input Data'!$N$17:$N$29),$B89)</f>
        <v>0.06</v>
      </c>
      <c r="C90" s="10">
        <f t="shared" si="8"/>
        <v>88</v>
      </c>
      <c r="D90" s="18">
        <f t="shared" si="9"/>
        <v>8518988.1751023736</v>
      </c>
      <c r="E90" s="18">
        <f>IF('Input Data'!$E$23=0,G90,IF(OR(D90&lt;=0,C90&gt;'Input Data'!$B$23*12),0,IF(AND(C90='Input Data'!$B$23*12,'Input Data'!$E$23&gt;'Input Data'!$B$23),D90+D90*B90/12,IF('Input Data'!$C$23="FRM",-PMT($B$3/12,'Input Data'!$E$23*12,$D$3),IF($A90,-PMT(B90/12,('Input Data'!$E$23*12)-C90+1,D90),E89)))))</f>
        <v>65094.431363418102</v>
      </c>
      <c r="F90" s="18">
        <f t="shared" si="6"/>
        <v>8453893.7437389549</v>
      </c>
      <c r="G90" s="18">
        <f>IF(C90&gt;'Input Data'!$B$23*12,0,D90*B90/12)</f>
        <v>42594.940875511871</v>
      </c>
      <c r="H90" s="18">
        <f t="shared" si="5"/>
        <v>22499.490487906231</v>
      </c>
      <c r="I90" s="18">
        <f t="shared" si="7"/>
        <v>8496488.6846144665</v>
      </c>
    </row>
    <row r="91" spans="1:9" x14ac:dyDescent="0.25">
      <c r="A91" t="b">
        <f>IF(('Input Data'!$C$23)="FRM", FALSE, ISNUMBER(MATCH(C91,'Input Data'!$M$18:$M$30,0)))</f>
        <v>0</v>
      </c>
      <c r="B91" s="8">
        <f>IF($A91, _xlfn.XLOOKUP(C91,'Input Data'!$M$17:$M$29,'Input Data'!$N$17:$N$29),$B90)</f>
        <v>0.06</v>
      </c>
      <c r="C91" s="10">
        <f t="shared" si="8"/>
        <v>89</v>
      </c>
      <c r="D91" s="18">
        <f t="shared" si="9"/>
        <v>8496488.6846144665</v>
      </c>
      <c r="E91" s="18">
        <f>IF('Input Data'!$E$23=0,G91,IF(OR(D91&lt;=0,C91&gt;'Input Data'!$B$23*12),0,IF(AND(C91='Input Data'!$B$23*12,'Input Data'!$E$23&gt;'Input Data'!$B$23),D91+D91*B91/12,IF('Input Data'!$C$23="FRM",-PMT($B$3/12,'Input Data'!$E$23*12,$D$3),IF($A91,-PMT(B91/12,('Input Data'!$E$23*12)-C91+1,D91),E90)))))</f>
        <v>65094.431363418102</v>
      </c>
      <c r="F91" s="18">
        <f t="shared" si="6"/>
        <v>8431394.2532510478</v>
      </c>
      <c r="G91" s="18">
        <f>IF(C91&gt;'Input Data'!$B$23*12,0,D91*B91/12)</f>
        <v>42482.443423072335</v>
      </c>
      <c r="H91" s="18">
        <f t="shared" si="5"/>
        <v>22611.987940345767</v>
      </c>
      <c r="I91" s="18">
        <f t="shared" si="7"/>
        <v>8473876.6966741215</v>
      </c>
    </row>
    <row r="92" spans="1:9" x14ac:dyDescent="0.25">
      <c r="A92" t="b">
        <f>IF(('Input Data'!$C$23)="FRM", FALSE, ISNUMBER(MATCH(C92,'Input Data'!$M$18:$M$30,0)))</f>
        <v>0</v>
      </c>
      <c r="B92" s="8">
        <f>IF($A92, _xlfn.XLOOKUP(C92,'Input Data'!$M$17:$M$29,'Input Data'!$N$17:$N$29),$B91)</f>
        <v>0.06</v>
      </c>
      <c r="C92" s="10">
        <f t="shared" si="8"/>
        <v>90</v>
      </c>
      <c r="D92" s="18">
        <f t="shared" si="9"/>
        <v>8473876.6966741215</v>
      </c>
      <c r="E92" s="18">
        <f>IF('Input Data'!$E$23=0,G92,IF(OR(D92&lt;=0,C92&gt;'Input Data'!$B$23*12),0,IF(AND(C92='Input Data'!$B$23*12,'Input Data'!$E$23&gt;'Input Data'!$B$23),D92+D92*B92/12,IF('Input Data'!$C$23="FRM",-PMT($B$3/12,'Input Data'!$E$23*12,$D$3),IF($A92,-PMT(B92/12,('Input Data'!$E$23*12)-C92+1,D92),E91)))))</f>
        <v>65094.431363418102</v>
      </c>
      <c r="F92" s="18">
        <f t="shared" si="6"/>
        <v>8408782.2653107028</v>
      </c>
      <c r="G92" s="18">
        <f>IF(C92&gt;'Input Data'!$B$23*12,0,D92*B92/12)</f>
        <v>42369.383483370606</v>
      </c>
      <c r="H92" s="18">
        <f t="shared" si="5"/>
        <v>22725.047880047496</v>
      </c>
      <c r="I92" s="18">
        <f t="shared" si="7"/>
        <v>8451151.6487940736</v>
      </c>
    </row>
    <row r="93" spans="1:9" x14ac:dyDescent="0.25">
      <c r="A93" t="b">
        <f>IF(('Input Data'!$C$23)="FRM", FALSE, ISNUMBER(MATCH(C93,'Input Data'!$M$18:$M$30,0)))</f>
        <v>0</v>
      </c>
      <c r="B93" s="8">
        <f>IF($A93, _xlfn.XLOOKUP(C93,'Input Data'!$M$17:$M$29,'Input Data'!$N$17:$N$29),$B92)</f>
        <v>0.06</v>
      </c>
      <c r="C93" s="10">
        <f t="shared" si="8"/>
        <v>91</v>
      </c>
      <c r="D93" s="18">
        <f t="shared" si="9"/>
        <v>8451151.6487940736</v>
      </c>
      <c r="E93" s="18">
        <f>IF('Input Data'!$E$23=0,G93,IF(OR(D93&lt;=0,C93&gt;'Input Data'!$B$23*12),0,IF(AND(C93='Input Data'!$B$23*12,'Input Data'!$E$23&gt;'Input Data'!$B$23),D93+D93*B93/12,IF('Input Data'!$C$23="FRM",-PMT($B$3/12,'Input Data'!$E$23*12,$D$3),IF($A93,-PMT(B93/12,('Input Data'!$E$23*12)-C93+1,D93),E92)))))</f>
        <v>65094.431363418102</v>
      </c>
      <c r="F93" s="18">
        <f t="shared" si="6"/>
        <v>8386057.2174306558</v>
      </c>
      <c r="G93" s="18">
        <f>IF(C93&gt;'Input Data'!$B$23*12,0,D93*B93/12)</f>
        <v>42255.758243970362</v>
      </c>
      <c r="H93" s="18">
        <f t="shared" si="5"/>
        <v>22838.67311944774</v>
      </c>
      <c r="I93" s="18">
        <f t="shared" si="7"/>
        <v>8428312.9756746255</v>
      </c>
    </row>
    <row r="94" spans="1:9" x14ac:dyDescent="0.25">
      <c r="A94" t="b">
        <f>IF(('Input Data'!$C$23)="FRM", FALSE, ISNUMBER(MATCH(C94,'Input Data'!$M$18:$M$30,0)))</f>
        <v>0</v>
      </c>
      <c r="B94" s="8">
        <f>IF($A94, _xlfn.XLOOKUP(C94,'Input Data'!$M$17:$M$29,'Input Data'!$N$17:$N$29),$B93)</f>
        <v>0.06</v>
      </c>
      <c r="C94" s="10">
        <f t="shared" si="8"/>
        <v>92</v>
      </c>
      <c r="D94" s="18">
        <f t="shared" si="9"/>
        <v>8428312.9756746255</v>
      </c>
      <c r="E94" s="18">
        <f>IF('Input Data'!$E$23=0,G94,IF(OR(D94&lt;=0,C94&gt;'Input Data'!$B$23*12),0,IF(AND(C94='Input Data'!$B$23*12,'Input Data'!$E$23&gt;'Input Data'!$B$23),D94+D94*B94/12,IF('Input Data'!$C$23="FRM",-PMT($B$3/12,'Input Data'!$E$23*12,$D$3),IF($A94,-PMT(B94/12,('Input Data'!$E$23*12)-C94+1,D94),E93)))))</f>
        <v>65094.431363418102</v>
      </c>
      <c r="F94" s="18">
        <f t="shared" si="6"/>
        <v>8363218.5443112077</v>
      </c>
      <c r="G94" s="18">
        <f>IF(C94&gt;'Input Data'!$B$23*12,0,D94*B94/12)</f>
        <v>42141.564878373123</v>
      </c>
      <c r="H94" s="18">
        <f t="shared" si="5"/>
        <v>22952.866485044979</v>
      </c>
      <c r="I94" s="18">
        <f t="shared" si="7"/>
        <v>8405360.1091895811</v>
      </c>
    </row>
    <row r="95" spans="1:9" x14ac:dyDescent="0.25">
      <c r="A95" t="b">
        <f>IF(('Input Data'!$C$23)="FRM", FALSE, ISNUMBER(MATCH(C95,'Input Data'!$M$18:$M$30,0)))</f>
        <v>0</v>
      </c>
      <c r="B95" s="8">
        <f>IF($A95, _xlfn.XLOOKUP(C95,'Input Data'!$M$17:$M$29,'Input Data'!$N$17:$N$29),$B94)</f>
        <v>0.06</v>
      </c>
      <c r="C95" s="10">
        <f t="shared" si="8"/>
        <v>93</v>
      </c>
      <c r="D95" s="18">
        <f t="shared" si="9"/>
        <v>8405360.1091895811</v>
      </c>
      <c r="E95" s="18">
        <f>IF('Input Data'!$E$23=0,G95,IF(OR(D95&lt;=0,C95&gt;'Input Data'!$B$23*12),0,IF(AND(C95='Input Data'!$B$23*12,'Input Data'!$E$23&gt;'Input Data'!$B$23),D95+D95*B95/12,IF('Input Data'!$C$23="FRM",-PMT($B$3/12,'Input Data'!$E$23*12,$D$3),IF($A95,-PMT(B95/12,('Input Data'!$E$23*12)-C95+1,D95),E94)))))</f>
        <v>65094.431363418102</v>
      </c>
      <c r="F95" s="18">
        <f t="shared" si="6"/>
        <v>8340265.6778261634</v>
      </c>
      <c r="G95" s="18">
        <f>IF(C95&gt;'Input Data'!$B$23*12,0,D95*B95/12)</f>
        <v>42026.800545947903</v>
      </c>
      <c r="H95" s="18">
        <f t="shared" si="5"/>
        <v>23067.630817470199</v>
      </c>
      <c r="I95" s="18">
        <f t="shared" si="7"/>
        <v>8382292.478372111</v>
      </c>
    </row>
    <row r="96" spans="1:9" x14ac:dyDescent="0.25">
      <c r="A96" t="b">
        <f>IF(('Input Data'!$C$23)="FRM", FALSE, ISNUMBER(MATCH(C96,'Input Data'!$M$18:$M$30,0)))</f>
        <v>0</v>
      </c>
      <c r="B96" s="8">
        <f>IF($A96, _xlfn.XLOOKUP(C96,'Input Data'!$M$17:$M$29,'Input Data'!$N$17:$N$29),$B95)</f>
        <v>0.06</v>
      </c>
      <c r="C96" s="10">
        <f t="shared" si="8"/>
        <v>94</v>
      </c>
      <c r="D96" s="18">
        <f t="shared" si="9"/>
        <v>8382292.478372111</v>
      </c>
      <c r="E96" s="18">
        <f>IF('Input Data'!$E$23=0,G96,IF(OR(D96&lt;=0,C96&gt;'Input Data'!$B$23*12),0,IF(AND(C96='Input Data'!$B$23*12,'Input Data'!$E$23&gt;'Input Data'!$B$23),D96+D96*B96/12,IF('Input Data'!$C$23="FRM",-PMT($B$3/12,'Input Data'!$E$23*12,$D$3),IF($A96,-PMT(B96/12,('Input Data'!$E$23*12)-C96+1,D96),E95)))))</f>
        <v>65094.431363418102</v>
      </c>
      <c r="F96" s="18">
        <f t="shared" si="6"/>
        <v>8317198.0470086932</v>
      </c>
      <c r="G96" s="18">
        <f>IF(C96&gt;'Input Data'!$B$23*12,0,D96*B96/12)</f>
        <v>41911.462391860558</v>
      </c>
      <c r="H96" s="18">
        <f t="shared" si="5"/>
        <v>23182.968971557544</v>
      </c>
      <c r="I96" s="18">
        <f t="shared" si="7"/>
        <v>8359109.5094005531</v>
      </c>
    </row>
    <row r="97" spans="1:9" x14ac:dyDescent="0.25">
      <c r="A97" t="b">
        <f>IF(('Input Data'!$C$23)="FRM", FALSE, ISNUMBER(MATCH(C97,'Input Data'!$M$18:$M$30,0)))</f>
        <v>0</v>
      </c>
      <c r="B97" s="8">
        <f>IF($A97, _xlfn.XLOOKUP(C97,'Input Data'!$M$17:$M$29,'Input Data'!$N$17:$N$29),$B96)</f>
        <v>0.06</v>
      </c>
      <c r="C97" s="10">
        <f t="shared" si="8"/>
        <v>95</v>
      </c>
      <c r="D97" s="18">
        <f t="shared" si="9"/>
        <v>8359109.5094005531</v>
      </c>
      <c r="E97" s="18">
        <f>IF('Input Data'!$E$23=0,G97,IF(OR(D97&lt;=0,C97&gt;'Input Data'!$B$23*12),0,IF(AND(C97='Input Data'!$B$23*12,'Input Data'!$E$23&gt;'Input Data'!$B$23),D97+D97*B97/12,IF('Input Data'!$C$23="FRM",-PMT($B$3/12,'Input Data'!$E$23*12,$D$3),IF($A97,-PMT(B97/12,('Input Data'!$E$23*12)-C97+1,D97),E96)))))</f>
        <v>65094.431363418102</v>
      </c>
      <c r="F97" s="18">
        <f t="shared" si="6"/>
        <v>8294015.0780371353</v>
      </c>
      <c r="G97" s="18">
        <f>IF(C97&gt;'Input Data'!$B$23*12,0,D97*B97/12)</f>
        <v>41795.547547002767</v>
      </c>
      <c r="H97" s="18">
        <f t="shared" si="5"/>
        <v>23298.883816415335</v>
      </c>
      <c r="I97" s="18">
        <f t="shared" si="7"/>
        <v>8335810.6255841376</v>
      </c>
    </row>
    <row r="98" spans="1:9" x14ac:dyDescent="0.25">
      <c r="A98" t="b">
        <f>IF(('Input Data'!$C$23)="FRM", FALSE, ISNUMBER(MATCH(C98,'Input Data'!$M$18:$M$30,0)))</f>
        <v>0</v>
      </c>
      <c r="B98" s="8">
        <f>IF($A98, _xlfn.XLOOKUP(C98,'Input Data'!$M$17:$M$29,'Input Data'!$N$17:$N$29),$B97)</f>
        <v>0.06</v>
      </c>
      <c r="C98" s="10">
        <f t="shared" si="8"/>
        <v>96</v>
      </c>
      <c r="D98" s="18">
        <f t="shared" si="9"/>
        <v>8335810.6255841376</v>
      </c>
      <c r="E98" s="18">
        <f>IF('Input Data'!$E$23=0,G98,IF(OR(D98&lt;=0,C98&gt;'Input Data'!$B$23*12),0,IF(AND(C98='Input Data'!$B$23*12,'Input Data'!$E$23&gt;'Input Data'!$B$23),D98+D98*B98/12,IF('Input Data'!$C$23="FRM",-PMT($B$3/12,'Input Data'!$E$23*12,$D$3),IF($A98,-PMT(B98/12,('Input Data'!$E$23*12)-C98+1,D98),E97)))))</f>
        <v>65094.431363418102</v>
      </c>
      <c r="F98" s="18">
        <f t="shared" si="6"/>
        <v>8270716.1942207199</v>
      </c>
      <c r="G98" s="18">
        <f>IF(C98&gt;'Input Data'!$B$23*12,0,D98*B98/12)</f>
        <v>41679.053127920684</v>
      </c>
      <c r="H98" s="18">
        <f t="shared" si="5"/>
        <v>23415.378235497417</v>
      </c>
      <c r="I98" s="18">
        <f t="shared" si="7"/>
        <v>8312395.2473486401</v>
      </c>
    </row>
    <row r="99" spans="1:9" x14ac:dyDescent="0.25">
      <c r="A99" t="b">
        <f>IF(('Input Data'!$C$23)="FRM", FALSE, ISNUMBER(MATCH(C99,'Input Data'!$M$18:$M$30,0)))</f>
        <v>0</v>
      </c>
      <c r="B99" s="8">
        <f>IF($A99, _xlfn.XLOOKUP(C99,'Input Data'!$M$17:$M$29,'Input Data'!$N$17:$N$29),$B98)</f>
        <v>0.06</v>
      </c>
      <c r="C99" s="10">
        <f t="shared" si="8"/>
        <v>97</v>
      </c>
      <c r="D99" s="18">
        <f t="shared" si="9"/>
        <v>8312395.2473486401</v>
      </c>
      <c r="E99" s="18">
        <f>IF('Input Data'!$E$23=0,G99,IF(OR(D99&lt;=0,C99&gt;'Input Data'!$B$23*12),0,IF(AND(C99='Input Data'!$B$23*12,'Input Data'!$E$23&gt;'Input Data'!$B$23),D99+D99*B99/12,IF('Input Data'!$C$23="FRM",-PMT($B$3/12,'Input Data'!$E$23*12,$D$3),IF($A99,-PMT(B99/12,('Input Data'!$E$23*12)-C99+1,D99),E98)))))</f>
        <v>65094.431363418102</v>
      </c>
      <c r="F99" s="18">
        <f t="shared" si="6"/>
        <v>8247300.8159852223</v>
      </c>
      <c r="G99" s="18">
        <f>IF(C99&gt;'Input Data'!$B$23*12,0,D99*B99/12)</f>
        <v>41561.976236743198</v>
      </c>
      <c r="H99" s="18">
        <f t="shared" si="5"/>
        <v>23532.455126674904</v>
      </c>
      <c r="I99" s="18">
        <f t="shared" si="7"/>
        <v>8288862.7922219653</v>
      </c>
    </row>
    <row r="100" spans="1:9" x14ac:dyDescent="0.25">
      <c r="A100" t="b">
        <f>IF(('Input Data'!$C$23)="FRM", FALSE, ISNUMBER(MATCH(C100,'Input Data'!$M$18:$M$30,0)))</f>
        <v>0</v>
      </c>
      <c r="B100" s="8">
        <f>IF($A100, _xlfn.XLOOKUP(C100,'Input Data'!$M$17:$M$29,'Input Data'!$N$17:$N$29),$B99)</f>
        <v>0.06</v>
      </c>
      <c r="C100" s="10">
        <f t="shared" si="8"/>
        <v>98</v>
      </c>
      <c r="D100" s="18">
        <f t="shared" si="9"/>
        <v>8288862.7922219653</v>
      </c>
      <c r="E100" s="18">
        <f>IF('Input Data'!$E$23=0,G100,IF(OR(D100&lt;=0,C100&gt;'Input Data'!$B$23*12),0,IF(AND(C100='Input Data'!$B$23*12,'Input Data'!$E$23&gt;'Input Data'!$B$23),D100+D100*B100/12,IF('Input Data'!$C$23="FRM",-PMT($B$3/12,'Input Data'!$E$23*12,$D$3),IF($A100,-PMT(B100/12,('Input Data'!$E$23*12)-C100+1,D100),E99)))))</f>
        <v>65094.431363418102</v>
      </c>
      <c r="F100" s="18">
        <f t="shared" si="6"/>
        <v>8223768.3608585475</v>
      </c>
      <c r="G100" s="18">
        <f>IF(C100&gt;'Input Data'!$B$23*12,0,D100*B100/12)</f>
        <v>41444.313961109823</v>
      </c>
      <c r="H100" s="18">
        <f t="shared" si="5"/>
        <v>23650.117402308279</v>
      </c>
      <c r="I100" s="18">
        <f t="shared" si="7"/>
        <v>8265212.6748196566</v>
      </c>
    </row>
    <row r="101" spans="1:9" x14ac:dyDescent="0.25">
      <c r="A101" t="b">
        <f>IF(('Input Data'!$C$23)="FRM", FALSE, ISNUMBER(MATCH(C101,'Input Data'!$M$18:$M$30,0)))</f>
        <v>0</v>
      </c>
      <c r="B101" s="8">
        <f>IF($A101, _xlfn.XLOOKUP(C101,'Input Data'!$M$17:$M$29,'Input Data'!$N$17:$N$29),$B100)</f>
        <v>0.06</v>
      </c>
      <c r="C101" s="10">
        <f t="shared" si="8"/>
        <v>99</v>
      </c>
      <c r="D101" s="18">
        <f t="shared" si="9"/>
        <v>8265212.6748196566</v>
      </c>
      <c r="E101" s="18">
        <f>IF('Input Data'!$E$23=0,G101,IF(OR(D101&lt;=0,C101&gt;'Input Data'!$B$23*12),0,IF(AND(C101='Input Data'!$B$23*12,'Input Data'!$E$23&gt;'Input Data'!$B$23),D101+D101*B101/12,IF('Input Data'!$C$23="FRM",-PMT($B$3/12,'Input Data'!$E$23*12,$D$3),IF($A101,-PMT(B101/12,('Input Data'!$E$23*12)-C101+1,D101),E100)))))</f>
        <v>65094.431363418102</v>
      </c>
      <c r="F101" s="18">
        <f t="shared" si="6"/>
        <v>8200118.2434562389</v>
      </c>
      <c r="G101" s="18">
        <f>IF(C101&gt;'Input Data'!$B$23*12,0,D101*B101/12)</f>
        <v>41326.063374098281</v>
      </c>
      <c r="H101" s="18">
        <f t="shared" si="5"/>
        <v>23768.36798931982</v>
      </c>
      <c r="I101" s="18">
        <f t="shared" si="7"/>
        <v>8241444.3068303373</v>
      </c>
    </row>
    <row r="102" spans="1:9" x14ac:dyDescent="0.25">
      <c r="A102" t="b">
        <f>IF(('Input Data'!$C$23)="FRM", FALSE, ISNUMBER(MATCH(C102,'Input Data'!$M$18:$M$30,0)))</f>
        <v>0</v>
      </c>
      <c r="B102" s="8">
        <f>IF($A102, _xlfn.XLOOKUP(C102,'Input Data'!$M$17:$M$29,'Input Data'!$N$17:$N$29),$B101)</f>
        <v>0.06</v>
      </c>
      <c r="C102" s="10">
        <f t="shared" si="8"/>
        <v>100</v>
      </c>
      <c r="D102" s="18">
        <f t="shared" si="9"/>
        <v>8241444.3068303373</v>
      </c>
      <c r="E102" s="18">
        <f>IF('Input Data'!$E$23=0,G102,IF(OR(D102&lt;=0,C102&gt;'Input Data'!$B$23*12),0,IF(AND(C102='Input Data'!$B$23*12,'Input Data'!$E$23&gt;'Input Data'!$B$23),D102+D102*B102/12,IF('Input Data'!$C$23="FRM",-PMT($B$3/12,'Input Data'!$E$23*12,$D$3),IF($A102,-PMT(B102/12,('Input Data'!$E$23*12)-C102+1,D102),E101)))))</f>
        <v>65094.431363418102</v>
      </c>
      <c r="F102" s="18">
        <f t="shared" si="6"/>
        <v>8176349.8754669195</v>
      </c>
      <c r="G102" s="18">
        <f>IF(C102&gt;'Input Data'!$B$23*12,0,D102*B102/12)</f>
        <v>41207.221534151686</v>
      </c>
      <c r="H102" s="18">
        <f t="shared" si="5"/>
        <v>23887.209829266416</v>
      </c>
      <c r="I102" s="18">
        <f t="shared" si="7"/>
        <v>8217557.0970010711</v>
      </c>
    </row>
    <row r="103" spans="1:9" x14ac:dyDescent="0.25">
      <c r="A103" t="b">
        <f>IF(('Input Data'!$C$23)="FRM", FALSE, ISNUMBER(MATCH(C103,'Input Data'!$M$18:$M$30,0)))</f>
        <v>0</v>
      </c>
      <c r="B103" s="8">
        <f>IF($A103, _xlfn.XLOOKUP(C103,'Input Data'!$M$17:$M$29,'Input Data'!$N$17:$N$29),$B102)</f>
        <v>0.06</v>
      </c>
      <c r="C103" s="10">
        <f t="shared" si="8"/>
        <v>101</v>
      </c>
      <c r="D103" s="18">
        <f t="shared" si="9"/>
        <v>8217557.0970010711</v>
      </c>
      <c r="E103" s="18">
        <f>IF('Input Data'!$E$23=0,G103,IF(OR(D103&lt;=0,C103&gt;'Input Data'!$B$23*12),0,IF(AND(C103='Input Data'!$B$23*12,'Input Data'!$E$23&gt;'Input Data'!$B$23),D103+D103*B103/12,IF('Input Data'!$C$23="FRM",-PMT($B$3/12,'Input Data'!$E$23*12,$D$3),IF($A103,-PMT(B103/12,('Input Data'!$E$23*12)-C103+1,D103),E102)))))</f>
        <v>65094.431363418102</v>
      </c>
      <c r="F103" s="18">
        <f t="shared" si="6"/>
        <v>8152462.6656376533</v>
      </c>
      <c r="G103" s="18">
        <f>IF(C103&gt;'Input Data'!$B$23*12,0,D103*B103/12)</f>
        <v>41087.785485005355</v>
      </c>
      <c r="H103" s="18">
        <f t="shared" si="5"/>
        <v>24006.645878412746</v>
      </c>
      <c r="I103" s="18">
        <f t="shared" si="7"/>
        <v>8193550.4511226583</v>
      </c>
    </row>
    <row r="104" spans="1:9" x14ac:dyDescent="0.25">
      <c r="A104" t="b">
        <f>IF(('Input Data'!$C$23)="FRM", FALSE, ISNUMBER(MATCH(C104,'Input Data'!$M$18:$M$30,0)))</f>
        <v>0</v>
      </c>
      <c r="B104" s="8">
        <f>IF($A104, _xlfn.XLOOKUP(C104,'Input Data'!$M$17:$M$29,'Input Data'!$N$17:$N$29),$B103)</f>
        <v>0.06</v>
      </c>
      <c r="C104" s="10">
        <f t="shared" si="8"/>
        <v>102</v>
      </c>
      <c r="D104" s="18">
        <f t="shared" si="9"/>
        <v>8193550.4511226583</v>
      </c>
      <c r="E104" s="18">
        <f>IF('Input Data'!$E$23=0,G104,IF(OR(D104&lt;=0,C104&gt;'Input Data'!$B$23*12),0,IF(AND(C104='Input Data'!$B$23*12,'Input Data'!$E$23&gt;'Input Data'!$B$23),D104+D104*B104/12,IF('Input Data'!$C$23="FRM",-PMT($B$3/12,'Input Data'!$E$23*12,$D$3),IF($A104,-PMT(B104/12,('Input Data'!$E$23*12)-C104+1,D104),E103)))))</f>
        <v>65094.431363418102</v>
      </c>
      <c r="F104" s="18">
        <f t="shared" si="6"/>
        <v>8128456.0197592406</v>
      </c>
      <c r="G104" s="18">
        <f>IF(C104&gt;'Input Data'!$B$23*12,0,D104*B104/12)</f>
        <v>40967.75225561329</v>
      </c>
      <c r="H104" s="18">
        <f t="shared" si="5"/>
        <v>24126.679107804812</v>
      </c>
      <c r="I104" s="18">
        <f t="shared" si="7"/>
        <v>8169423.7720148535</v>
      </c>
    </row>
    <row r="105" spans="1:9" x14ac:dyDescent="0.25">
      <c r="A105" t="b">
        <f>IF(('Input Data'!$C$23)="FRM", FALSE, ISNUMBER(MATCH(C105,'Input Data'!$M$18:$M$30,0)))</f>
        <v>0</v>
      </c>
      <c r="B105" s="8">
        <f>IF($A105, _xlfn.XLOOKUP(C105,'Input Data'!$M$17:$M$29,'Input Data'!$N$17:$N$29),$B104)</f>
        <v>0.06</v>
      </c>
      <c r="C105" s="10">
        <f t="shared" si="8"/>
        <v>103</v>
      </c>
      <c r="D105" s="18">
        <f t="shared" si="9"/>
        <v>8169423.7720148535</v>
      </c>
      <c r="E105" s="18">
        <f>IF('Input Data'!$E$23=0,G105,IF(OR(D105&lt;=0,C105&gt;'Input Data'!$B$23*12),0,IF(AND(C105='Input Data'!$B$23*12,'Input Data'!$E$23&gt;'Input Data'!$B$23),D105+D105*B105/12,IF('Input Data'!$C$23="FRM",-PMT($B$3/12,'Input Data'!$E$23*12,$D$3),IF($A105,-PMT(B105/12,('Input Data'!$E$23*12)-C105+1,D105),E104)))))</f>
        <v>65094.431363418102</v>
      </c>
      <c r="F105" s="18">
        <f t="shared" si="6"/>
        <v>8104329.3406514358</v>
      </c>
      <c r="G105" s="18">
        <f>IF(C105&gt;'Input Data'!$B$23*12,0,D105*B105/12)</f>
        <v>40847.118860074268</v>
      </c>
      <c r="H105" s="18">
        <f t="shared" si="5"/>
        <v>24247.312503343834</v>
      </c>
      <c r="I105" s="18">
        <f t="shared" si="7"/>
        <v>8145176.4595115101</v>
      </c>
    </row>
    <row r="106" spans="1:9" x14ac:dyDescent="0.25">
      <c r="A106" t="b">
        <f>IF(('Input Data'!$C$23)="FRM", FALSE, ISNUMBER(MATCH(C106,'Input Data'!$M$18:$M$30,0)))</f>
        <v>0</v>
      </c>
      <c r="B106" s="8">
        <f>IF($A106, _xlfn.XLOOKUP(C106,'Input Data'!$M$17:$M$29,'Input Data'!$N$17:$N$29),$B105)</f>
        <v>0.06</v>
      </c>
      <c r="C106" s="10">
        <f t="shared" si="8"/>
        <v>104</v>
      </c>
      <c r="D106" s="18">
        <f t="shared" si="9"/>
        <v>8145176.4595115101</v>
      </c>
      <c r="E106" s="18">
        <f>IF('Input Data'!$E$23=0,G106,IF(OR(D106&lt;=0,C106&gt;'Input Data'!$B$23*12),0,IF(AND(C106='Input Data'!$B$23*12,'Input Data'!$E$23&gt;'Input Data'!$B$23),D106+D106*B106/12,IF('Input Data'!$C$23="FRM",-PMT($B$3/12,'Input Data'!$E$23*12,$D$3),IF($A106,-PMT(B106/12,('Input Data'!$E$23*12)-C106+1,D106),E105)))))</f>
        <v>65094.431363418102</v>
      </c>
      <c r="F106" s="18">
        <f t="shared" si="6"/>
        <v>8080082.0281480923</v>
      </c>
      <c r="G106" s="18">
        <f>IF(C106&gt;'Input Data'!$B$23*12,0,D106*B106/12)</f>
        <v>40725.882297557553</v>
      </c>
      <c r="H106" s="18">
        <f t="shared" si="5"/>
        <v>24368.549065860549</v>
      </c>
      <c r="I106" s="18">
        <f t="shared" si="7"/>
        <v>8120807.9104456492</v>
      </c>
    </row>
    <row r="107" spans="1:9" x14ac:dyDescent="0.25">
      <c r="A107" t="b">
        <f>IF(('Input Data'!$C$23)="FRM", FALSE, ISNUMBER(MATCH(C107,'Input Data'!$M$18:$M$30,0)))</f>
        <v>0</v>
      </c>
      <c r="B107" s="8">
        <f>IF($A107, _xlfn.XLOOKUP(C107,'Input Data'!$M$17:$M$29,'Input Data'!$N$17:$N$29),$B106)</f>
        <v>0.06</v>
      </c>
      <c r="C107" s="10">
        <f t="shared" si="8"/>
        <v>105</v>
      </c>
      <c r="D107" s="18">
        <f t="shared" si="9"/>
        <v>8120807.9104456492</v>
      </c>
      <c r="E107" s="18">
        <f>IF('Input Data'!$E$23=0,G107,IF(OR(D107&lt;=0,C107&gt;'Input Data'!$B$23*12),0,IF(AND(C107='Input Data'!$B$23*12,'Input Data'!$E$23&gt;'Input Data'!$B$23),D107+D107*B107/12,IF('Input Data'!$C$23="FRM",-PMT($B$3/12,'Input Data'!$E$23*12,$D$3),IF($A107,-PMT(B107/12,('Input Data'!$E$23*12)-C107+1,D107),E106)))))</f>
        <v>65094.431363418102</v>
      </c>
      <c r="F107" s="18">
        <f t="shared" si="6"/>
        <v>8055713.4790822314</v>
      </c>
      <c r="G107" s="18">
        <f>IF(C107&gt;'Input Data'!$B$23*12,0,D107*B107/12)</f>
        <v>40604.039552228242</v>
      </c>
      <c r="H107" s="18">
        <f t="shared" si="5"/>
        <v>24490.39181118986</v>
      </c>
      <c r="I107" s="18">
        <f t="shared" si="7"/>
        <v>8096317.518634459</v>
      </c>
    </row>
    <row r="108" spans="1:9" x14ac:dyDescent="0.25">
      <c r="A108" t="b">
        <f>IF(('Input Data'!$C$23)="FRM", FALSE, ISNUMBER(MATCH(C108,'Input Data'!$M$18:$M$30,0)))</f>
        <v>0</v>
      </c>
      <c r="B108" s="8">
        <f>IF($A108, _xlfn.XLOOKUP(C108,'Input Data'!$M$17:$M$29,'Input Data'!$N$17:$N$29),$B107)</f>
        <v>0.06</v>
      </c>
      <c r="C108" s="10">
        <f t="shared" si="8"/>
        <v>106</v>
      </c>
      <c r="D108" s="18">
        <f t="shared" si="9"/>
        <v>8096317.518634459</v>
      </c>
      <c r="E108" s="18">
        <f>IF('Input Data'!$E$23=0,G108,IF(OR(D108&lt;=0,C108&gt;'Input Data'!$B$23*12),0,IF(AND(C108='Input Data'!$B$23*12,'Input Data'!$E$23&gt;'Input Data'!$B$23),D108+D108*B108/12,IF('Input Data'!$C$23="FRM",-PMT($B$3/12,'Input Data'!$E$23*12,$D$3),IF($A108,-PMT(B108/12,('Input Data'!$E$23*12)-C108+1,D108),E107)))))</f>
        <v>65094.431363418102</v>
      </c>
      <c r="F108" s="18">
        <f t="shared" si="6"/>
        <v>8031223.0872710412</v>
      </c>
      <c r="G108" s="18">
        <f>IF(C108&gt;'Input Data'!$B$23*12,0,D108*B108/12)</f>
        <v>40481.587593172291</v>
      </c>
      <c r="H108" s="18">
        <f t="shared" si="5"/>
        <v>24612.84377024581</v>
      </c>
      <c r="I108" s="18">
        <f t="shared" si="7"/>
        <v>8071704.674864213</v>
      </c>
    </row>
    <row r="109" spans="1:9" x14ac:dyDescent="0.25">
      <c r="A109" t="b">
        <f>IF(('Input Data'!$C$23)="FRM", FALSE, ISNUMBER(MATCH(C109,'Input Data'!$M$18:$M$30,0)))</f>
        <v>0</v>
      </c>
      <c r="B109" s="8">
        <f>IF($A109, _xlfn.XLOOKUP(C109,'Input Data'!$M$17:$M$29,'Input Data'!$N$17:$N$29),$B108)</f>
        <v>0.06</v>
      </c>
      <c r="C109" s="10">
        <f t="shared" si="8"/>
        <v>107</v>
      </c>
      <c r="D109" s="18">
        <f t="shared" si="9"/>
        <v>8071704.674864213</v>
      </c>
      <c r="E109" s="18">
        <f>IF('Input Data'!$E$23=0,G109,IF(OR(D109&lt;=0,C109&gt;'Input Data'!$B$23*12),0,IF(AND(C109='Input Data'!$B$23*12,'Input Data'!$E$23&gt;'Input Data'!$B$23),D109+D109*B109/12,IF('Input Data'!$C$23="FRM",-PMT($B$3/12,'Input Data'!$E$23*12,$D$3),IF($A109,-PMT(B109/12,('Input Data'!$E$23*12)-C109+1,D109),E108)))))</f>
        <v>65094.431363418102</v>
      </c>
      <c r="F109" s="18">
        <f t="shared" si="6"/>
        <v>8006610.2435007952</v>
      </c>
      <c r="G109" s="18">
        <f>IF(C109&gt;'Input Data'!$B$23*12,0,D109*B109/12)</f>
        <v>40358.523374321063</v>
      </c>
      <c r="H109" s="18">
        <f t="shared" si="5"/>
        <v>24735.907989097039</v>
      </c>
      <c r="I109" s="18">
        <f t="shared" si="7"/>
        <v>8046968.7668751162</v>
      </c>
    </row>
    <row r="110" spans="1:9" x14ac:dyDescent="0.25">
      <c r="A110" t="b">
        <f>IF(('Input Data'!$C$23)="FRM", FALSE, ISNUMBER(MATCH(C110,'Input Data'!$M$18:$M$30,0)))</f>
        <v>0</v>
      </c>
      <c r="B110" s="8">
        <f>IF($A110, _xlfn.XLOOKUP(C110,'Input Data'!$M$17:$M$29,'Input Data'!$N$17:$N$29),$B109)</f>
        <v>0.06</v>
      </c>
      <c r="C110" s="10">
        <f t="shared" si="8"/>
        <v>108</v>
      </c>
      <c r="D110" s="18">
        <f t="shared" si="9"/>
        <v>8046968.7668751162</v>
      </c>
      <c r="E110" s="18">
        <f>IF('Input Data'!$E$23=0,G110,IF(OR(D110&lt;=0,C110&gt;'Input Data'!$B$23*12),0,IF(AND(C110='Input Data'!$B$23*12,'Input Data'!$E$23&gt;'Input Data'!$B$23),D110+D110*B110/12,IF('Input Data'!$C$23="FRM",-PMT($B$3/12,'Input Data'!$E$23*12,$D$3),IF($A110,-PMT(B110/12,('Input Data'!$E$23*12)-C110+1,D110),E109)))))</f>
        <v>65094.431363418102</v>
      </c>
      <c r="F110" s="18">
        <f t="shared" si="6"/>
        <v>7981874.3355116984</v>
      </c>
      <c r="G110" s="18">
        <f>IF(C110&gt;'Input Data'!$B$23*12,0,D110*B110/12)</f>
        <v>40234.843834375577</v>
      </c>
      <c r="H110" s="18">
        <f t="shared" si="5"/>
        <v>24859.587529042525</v>
      </c>
      <c r="I110" s="18">
        <f t="shared" si="7"/>
        <v>8022109.1793460734</v>
      </c>
    </row>
    <row r="111" spans="1:9" x14ac:dyDescent="0.25">
      <c r="A111" t="b">
        <f>IF(('Input Data'!$C$23)="FRM", FALSE, ISNUMBER(MATCH(C111,'Input Data'!$M$18:$M$30,0)))</f>
        <v>0</v>
      </c>
      <c r="B111" s="8">
        <f>IF($A111, _xlfn.XLOOKUP(C111,'Input Data'!$M$17:$M$29,'Input Data'!$N$17:$N$29),$B110)</f>
        <v>0.06</v>
      </c>
      <c r="C111" s="10">
        <f t="shared" si="8"/>
        <v>109</v>
      </c>
      <c r="D111" s="18">
        <f t="shared" si="9"/>
        <v>8022109.1793460734</v>
      </c>
      <c r="E111" s="18">
        <f>IF('Input Data'!$E$23=0,G111,IF(OR(D111&lt;=0,C111&gt;'Input Data'!$B$23*12),0,IF(AND(C111='Input Data'!$B$23*12,'Input Data'!$E$23&gt;'Input Data'!$B$23),D111+D111*B111/12,IF('Input Data'!$C$23="FRM",-PMT($B$3/12,'Input Data'!$E$23*12,$D$3),IF($A111,-PMT(B111/12,('Input Data'!$E$23*12)-C111+1,D111),E110)))))</f>
        <v>65094.431363418102</v>
      </c>
      <c r="F111" s="18">
        <f t="shared" si="6"/>
        <v>7957014.7479826557</v>
      </c>
      <c r="G111" s="18">
        <f>IF(C111&gt;'Input Data'!$B$23*12,0,D111*B111/12)</f>
        <v>40110.545896730364</v>
      </c>
      <c r="H111" s="18">
        <f t="shared" si="5"/>
        <v>24983.885466687738</v>
      </c>
      <c r="I111" s="18">
        <f t="shared" si="7"/>
        <v>7997125.293879386</v>
      </c>
    </row>
    <row r="112" spans="1:9" x14ac:dyDescent="0.25">
      <c r="A112" t="b">
        <f>IF(('Input Data'!$C$23)="FRM", FALSE, ISNUMBER(MATCH(C112,'Input Data'!$M$18:$M$30,0)))</f>
        <v>0</v>
      </c>
      <c r="B112" s="8">
        <f>IF($A112, _xlfn.XLOOKUP(C112,'Input Data'!$M$17:$M$29,'Input Data'!$N$17:$N$29),$B111)</f>
        <v>0.06</v>
      </c>
      <c r="C112" s="10">
        <f t="shared" si="8"/>
        <v>110</v>
      </c>
      <c r="D112" s="18">
        <f t="shared" si="9"/>
        <v>7997125.293879386</v>
      </c>
      <c r="E112" s="18">
        <f>IF('Input Data'!$E$23=0,G112,IF(OR(D112&lt;=0,C112&gt;'Input Data'!$B$23*12),0,IF(AND(C112='Input Data'!$B$23*12,'Input Data'!$E$23&gt;'Input Data'!$B$23),D112+D112*B112/12,IF('Input Data'!$C$23="FRM",-PMT($B$3/12,'Input Data'!$E$23*12,$D$3),IF($A112,-PMT(B112/12,('Input Data'!$E$23*12)-C112+1,D112),E111)))))</f>
        <v>65094.431363418102</v>
      </c>
      <c r="F112" s="18">
        <f t="shared" si="6"/>
        <v>7932030.8625159683</v>
      </c>
      <c r="G112" s="18">
        <f>IF(C112&gt;'Input Data'!$B$23*12,0,D112*B112/12)</f>
        <v>39985.626469396928</v>
      </c>
      <c r="H112" s="18">
        <f t="shared" si="5"/>
        <v>25108.804894021174</v>
      </c>
      <c r="I112" s="18">
        <f t="shared" si="7"/>
        <v>7972016.4889853653</v>
      </c>
    </row>
    <row r="113" spans="1:9" x14ac:dyDescent="0.25">
      <c r="A113" t="b">
        <f>IF(('Input Data'!$C$23)="FRM", FALSE, ISNUMBER(MATCH(C113,'Input Data'!$M$18:$M$30,0)))</f>
        <v>0</v>
      </c>
      <c r="B113" s="8">
        <f>IF($A113, _xlfn.XLOOKUP(C113,'Input Data'!$M$17:$M$29,'Input Data'!$N$17:$N$29),$B112)</f>
        <v>0.06</v>
      </c>
      <c r="C113" s="10">
        <f t="shared" si="8"/>
        <v>111</v>
      </c>
      <c r="D113" s="18">
        <f t="shared" si="9"/>
        <v>7972016.4889853653</v>
      </c>
      <c r="E113" s="18">
        <f>IF('Input Data'!$E$23=0,G113,IF(OR(D113&lt;=0,C113&gt;'Input Data'!$B$23*12),0,IF(AND(C113='Input Data'!$B$23*12,'Input Data'!$E$23&gt;'Input Data'!$B$23),D113+D113*B113/12,IF('Input Data'!$C$23="FRM",-PMT($B$3/12,'Input Data'!$E$23*12,$D$3),IF($A113,-PMT(B113/12,('Input Data'!$E$23*12)-C113+1,D113),E112)))))</f>
        <v>65094.431363418102</v>
      </c>
      <c r="F113" s="18">
        <f t="shared" si="6"/>
        <v>7906922.0576219475</v>
      </c>
      <c r="G113" s="18">
        <f>IF(C113&gt;'Input Data'!$B$23*12,0,D113*B113/12)</f>
        <v>39860.082444926826</v>
      </c>
      <c r="H113" s="18">
        <f t="shared" si="5"/>
        <v>25234.348918491276</v>
      </c>
      <c r="I113" s="18">
        <f t="shared" si="7"/>
        <v>7946782.1400668742</v>
      </c>
    </row>
    <row r="114" spans="1:9" x14ac:dyDescent="0.25">
      <c r="A114" t="b">
        <f>IF(('Input Data'!$C$23)="FRM", FALSE, ISNUMBER(MATCH(C114,'Input Data'!$M$18:$M$30,0)))</f>
        <v>0</v>
      </c>
      <c r="B114" s="8">
        <f>IF($A114, _xlfn.XLOOKUP(C114,'Input Data'!$M$17:$M$29,'Input Data'!$N$17:$N$29),$B113)</f>
        <v>0.06</v>
      </c>
      <c r="C114" s="10">
        <f t="shared" si="8"/>
        <v>112</v>
      </c>
      <c r="D114" s="18">
        <f t="shared" si="9"/>
        <v>7946782.1400668742</v>
      </c>
      <c r="E114" s="18">
        <f>IF('Input Data'!$E$23=0,G114,IF(OR(D114&lt;=0,C114&gt;'Input Data'!$B$23*12),0,IF(AND(C114='Input Data'!$B$23*12,'Input Data'!$E$23&gt;'Input Data'!$B$23),D114+D114*B114/12,IF('Input Data'!$C$23="FRM",-PMT($B$3/12,'Input Data'!$E$23*12,$D$3),IF($A114,-PMT(B114/12,('Input Data'!$E$23*12)-C114+1,D114),E113)))))</f>
        <v>65094.431363418102</v>
      </c>
      <c r="F114" s="18">
        <f t="shared" si="6"/>
        <v>7881687.7087034564</v>
      </c>
      <c r="G114" s="18">
        <f>IF(C114&gt;'Input Data'!$B$23*12,0,D114*B114/12)</f>
        <v>39733.910700334374</v>
      </c>
      <c r="H114" s="18">
        <f t="shared" si="5"/>
        <v>25360.520663083727</v>
      </c>
      <c r="I114" s="18">
        <f t="shared" si="7"/>
        <v>7921421.6194037907</v>
      </c>
    </row>
    <row r="115" spans="1:9" x14ac:dyDescent="0.25">
      <c r="A115" t="b">
        <f>IF(('Input Data'!$C$23)="FRM", FALSE, ISNUMBER(MATCH(C115,'Input Data'!$M$18:$M$30,0)))</f>
        <v>0</v>
      </c>
      <c r="B115" s="8">
        <f>IF($A115, _xlfn.XLOOKUP(C115,'Input Data'!$M$17:$M$29,'Input Data'!$N$17:$N$29),$B114)</f>
        <v>0.06</v>
      </c>
      <c r="C115" s="10">
        <f t="shared" si="8"/>
        <v>113</v>
      </c>
      <c r="D115" s="18">
        <f t="shared" si="9"/>
        <v>7921421.6194037907</v>
      </c>
      <c r="E115" s="18">
        <f>IF('Input Data'!$E$23=0,G115,IF(OR(D115&lt;=0,C115&gt;'Input Data'!$B$23*12),0,IF(AND(C115='Input Data'!$B$23*12,'Input Data'!$E$23&gt;'Input Data'!$B$23),D115+D115*B115/12,IF('Input Data'!$C$23="FRM",-PMT($B$3/12,'Input Data'!$E$23*12,$D$3),IF($A115,-PMT(B115/12,('Input Data'!$E$23*12)-C115+1,D115),E114)))))</f>
        <v>65094.431363418102</v>
      </c>
      <c r="F115" s="18">
        <f t="shared" si="6"/>
        <v>7856327.1880403729</v>
      </c>
      <c r="G115" s="18">
        <f>IF(C115&gt;'Input Data'!$B$23*12,0,D115*B115/12)</f>
        <v>39607.108097018951</v>
      </c>
      <c r="H115" s="18">
        <f t="shared" si="5"/>
        <v>25487.323266399151</v>
      </c>
      <c r="I115" s="18">
        <f t="shared" si="7"/>
        <v>7895934.2961373916</v>
      </c>
    </row>
    <row r="116" spans="1:9" x14ac:dyDescent="0.25">
      <c r="A116" t="b">
        <f>IF(('Input Data'!$C$23)="FRM", FALSE, ISNUMBER(MATCH(C116,'Input Data'!$M$18:$M$30,0)))</f>
        <v>0</v>
      </c>
      <c r="B116" s="8">
        <f>IF($A116, _xlfn.XLOOKUP(C116,'Input Data'!$M$17:$M$29,'Input Data'!$N$17:$N$29),$B115)</f>
        <v>0.06</v>
      </c>
      <c r="C116" s="10">
        <f t="shared" si="8"/>
        <v>114</v>
      </c>
      <c r="D116" s="18">
        <f t="shared" si="9"/>
        <v>7895934.2961373916</v>
      </c>
      <c r="E116" s="18">
        <f>IF('Input Data'!$E$23=0,G116,IF(OR(D116&lt;=0,C116&gt;'Input Data'!$B$23*12),0,IF(AND(C116='Input Data'!$B$23*12,'Input Data'!$E$23&gt;'Input Data'!$B$23),D116+D116*B116/12,IF('Input Data'!$C$23="FRM",-PMT($B$3/12,'Input Data'!$E$23*12,$D$3),IF($A116,-PMT(B116/12,('Input Data'!$E$23*12)-C116+1,D116),E115)))))</f>
        <v>65094.431363418102</v>
      </c>
      <c r="F116" s="18">
        <f t="shared" si="6"/>
        <v>7830839.8647739738</v>
      </c>
      <c r="G116" s="18">
        <f>IF(C116&gt;'Input Data'!$B$23*12,0,D116*B116/12)</f>
        <v>39479.671480686957</v>
      </c>
      <c r="H116" s="18">
        <f t="shared" si="5"/>
        <v>25614.759882731145</v>
      </c>
      <c r="I116" s="18">
        <f t="shared" si="7"/>
        <v>7870319.5362546602</v>
      </c>
    </row>
    <row r="117" spans="1:9" x14ac:dyDescent="0.25">
      <c r="A117" t="b">
        <f>IF(('Input Data'!$C$23)="FRM", FALSE, ISNUMBER(MATCH(C117,'Input Data'!$M$18:$M$30,0)))</f>
        <v>0</v>
      </c>
      <c r="B117" s="8">
        <f>IF($A117, _xlfn.XLOOKUP(C117,'Input Data'!$M$17:$M$29,'Input Data'!$N$17:$N$29),$B116)</f>
        <v>0.06</v>
      </c>
      <c r="C117" s="10">
        <f t="shared" si="8"/>
        <v>115</v>
      </c>
      <c r="D117" s="18">
        <f t="shared" si="9"/>
        <v>7870319.5362546602</v>
      </c>
      <c r="E117" s="18">
        <f>IF('Input Data'!$E$23=0,G117,IF(OR(D117&lt;=0,C117&gt;'Input Data'!$B$23*12),0,IF(AND(C117='Input Data'!$B$23*12,'Input Data'!$E$23&gt;'Input Data'!$B$23),D117+D117*B117/12,IF('Input Data'!$C$23="FRM",-PMT($B$3/12,'Input Data'!$E$23*12,$D$3),IF($A117,-PMT(B117/12,('Input Data'!$E$23*12)-C117+1,D117),E116)))))</f>
        <v>65094.431363418102</v>
      </c>
      <c r="F117" s="18">
        <f t="shared" si="6"/>
        <v>7805225.1048912425</v>
      </c>
      <c r="G117" s="18">
        <f>IF(C117&gt;'Input Data'!$B$23*12,0,D117*B117/12)</f>
        <v>39351.597681273299</v>
      </c>
      <c r="H117" s="18">
        <f t="shared" si="5"/>
        <v>25742.833682144803</v>
      </c>
      <c r="I117" s="18">
        <f t="shared" si="7"/>
        <v>7844576.7025725152</v>
      </c>
    </row>
    <row r="118" spans="1:9" x14ac:dyDescent="0.25">
      <c r="A118" t="b">
        <f>IF(('Input Data'!$C$23)="FRM", FALSE, ISNUMBER(MATCH(C118,'Input Data'!$M$18:$M$30,0)))</f>
        <v>0</v>
      </c>
      <c r="B118" s="8">
        <f>IF($A118, _xlfn.XLOOKUP(C118,'Input Data'!$M$17:$M$29,'Input Data'!$N$17:$N$29),$B117)</f>
        <v>0.06</v>
      </c>
      <c r="C118" s="10">
        <f t="shared" si="8"/>
        <v>116</v>
      </c>
      <c r="D118" s="18">
        <f t="shared" si="9"/>
        <v>7844576.7025725152</v>
      </c>
      <c r="E118" s="18">
        <f>IF('Input Data'!$E$23=0,G118,IF(OR(D118&lt;=0,C118&gt;'Input Data'!$B$23*12),0,IF(AND(C118='Input Data'!$B$23*12,'Input Data'!$E$23&gt;'Input Data'!$B$23),D118+D118*B118/12,IF('Input Data'!$C$23="FRM",-PMT($B$3/12,'Input Data'!$E$23*12,$D$3),IF($A118,-PMT(B118/12,('Input Data'!$E$23*12)-C118+1,D118),E117)))))</f>
        <v>65094.431363418102</v>
      </c>
      <c r="F118" s="18">
        <f t="shared" si="6"/>
        <v>7779482.2712090975</v>
      </c>
      <c r="G118" s="18">
        <f>IF(C118&gt;'Input Data'!$B$23*12,0,D118*B118/12)</f>
        <v>39222.883512862572</v>
      </c>
      <c r="H118" s="18">
        <f t="shared" si="5"/>
        <v>25871.547850555529</v>
      </c>
      <c r="I118" s="18">
        <f t="shared" si="7"/>
        <v>7818705.1547219595</v>
      </c>
    </row>
    <row r="119" spans="1:9" x14ac:dyDescent="0.25">
      <c r="A119" t="b">
        <f>IF(('Input Data'!$C$23)="FRM", FALSE, ISNUMBER(MATCH(C119,'Input Data'!$M$18:$M$30,0)))</f>
        <v>0</v>
      </c>
      <c r="B119" s="8">
        <f>IF($A119, _xlfn.XLOOKUP(C119,'Input Data'!$M$17:$M$29,'Input Data'!$N$17:$N$29),$B118)</f>
        <v>0.06</v>
      </c>
      <c r="C119" s="10">
        <f t="shared" si="8"/>
        <v>117</v>
      </c>
      <c r="D119" s="18">
        <f t="shared" si="9"/>
        <v>7818705.1547219595</v>
      </c>
      <c r="E119" s="18">
        <f>IF('Input Data'!$E$23=0,G119,IF(OR(D119&lt;=0,C119&gt;'Input Data'!$B$23*12),0,IF(AND(C119='Input Data'!$B$23*12,'Input Data'!$E$23&gt;'Input Data'!$B$23),D119+D119*B119/12,IF('Input Data'!$C$23="FRM",-PMT($B$3/12,'Input Data'!$E$23*12,$D$3),IF($A119,-PMT(B119/12,('Input Data'!$E$23*12)-C119+1,D119),E118)))))</f>
        <v>65094.431363418102</v>
      </c>
      <c r="F119" s="18">
        <f t="shared" si="6"/>
        <v>7753610.7233585417</v>
      </c>
      <c r="G119" s="18">
        <f>IF(C119&gt;'Input Data'!$B$23*12,0,D119*B119/12)</f>
        <v>39093.525773609792</v>
      </c>
      <c r="H119" s="18">
        <f t="shared" si="5"/>
        <v>26000.90558980831</v>
      </c>
      <c r="I119" s="18">
        <f t="shared" si="7"/>
        <v>7792704.2491321508</v>
      </c>
    </row>
    <row r="120" spans="1:9" x14ac:dyDescent="0.25">
      <c r="A120" t="b">
        <f>IF(('Input Data'!$C$23)="FRM", FALSE, ISNUMBER(MATCH(C120,'Input Data'!$M$18:$M$30,0)))</f>
        <v>0</v>
      </c>
      <c r="B120" s="8">
        <f>IF($A120, _xlfn.XLOOKUP(C120,'Input Data'!$M$17:$M$29,'Input Data'!$N$17:$N$29),$B119)</f>
        <v>0.06</v>
      </c>
      <c r="C120" s="10">
        <f t="shared" si="8"/>
        <v>118</v>
      </c>
      <c r="D120" s="18">
        <f t="shared" si="9"/>
        <v>7792704.2491321508</v>
      </c>
      <c r="E120" s="18">
        <f>IF('Input Data'!$E$23=0,G120,IF(OR(D120&lt;=0,C120&gt;'Input Data'!$B$23*12),0,IF(AND(C120='Input Data'!$B$23*12,'Input Data'!$E$23&gt;'Input Data'!$B$23),D120+D120*B120/12,IF('Input Data'!$C$23="FRM",-PMT($B$3/12,'Input Data'!$E$23*12,$D$3),IF($A120,-PMT(B120/12,('Input Data'!$E$23*12)-C120+1,D120),E119)))))</f>
        <v>65094.431363418102</v>
      </c>
      <c r="F120" s="18">
        <f t="shared" si="6"/>
        <v>7727609.817768733</v>
      </c>
      <c r="G120" s="18">
        <f>IF(C120&gt;'Input Data'!$B$23*12,0,D120*B120/12)</f>
        <v>38963.521245660748</v>
      </c>
      <c r="H120" s="18">
        <f t="shared" si="5"/>
        <v>26130.910117757354</v>
      </c>
      <c r="I120" s="18">
        <f t="shared" si="7"/>
        <v>7766573.3390143933</v>
      </c>
    </row>
    <row r="121" spans="1:9" x14ac:dyDescent="0.25">
      <c r="A121" t="b">
        <f>IF(('Input Data'!$C$23)="FRM", FALSE, ISNUMBER(MATCH(C121,'Input Data'!$M$18:$M$30,0)))</f>
        <v>0</v>
      </c>
      <c r="B121" s="8">
        <f>IF($A121, _xlfn.XLOOKUP(C121,'Input Data'!$M$17:$M$29,'Input Data'!$N$17:$N$29),$B120)</f>
        <v>0.06</v>
      </c>
      <c r="C121" s="10">
        <f t="shared" si="8"/>
        <v>119</v>
      </c>
      <c r="D121" s="18">
        <f t="shared" si="9"/>
        <v>7766573.3390143933</v>
      </c>
      <c r="E121" s="18">
        <f>IF('Input Data'!$E$23=0,G121,IF(OR(D121&lt;=0,C121&gt;'Input Data'!$B$23*12),0,IF(AND(C121='Input Data'!$B$23*12,'Input Data'!$E$23&gt;'Input Data'!$B$23),D121+D121*B121/12,IF('Input Data'!$C$23="FRM",-PMT($B$3/12,'Input Data'!$E$23*12,$D$3),IF($A121,-PMT(B121/12,('Input Data'!$E$23*12)-C121+1,D121),E120)))))</f>
        <v>65094.431363418102</v>
      </c>
      <c r="F121" s="18">
        <f t="shared" si="6"/>
        <v>7701478.9076509755</v>
      </c>
      <c r="G121" s="18">
        <f>IF(C121&gt;'Input Data'!$B$23*12,0,D121*B121/12)</f>
        <v>38832.866695071963</v>
      </c>
      <c r="H121" s="18">
        <f t="shared" si="5"/>
        <v>26261.564668346138</v>
      </c>
      <c r="I121" s="18">
        <f t="shared" si="7"/>
        <v>7740311.7743460471</v>
      </c>
    </row>
    <row r="122" spans="1:9" x14ac:dyDescent="0.25">
      <c r="A122" t="b">
        <f>IF(('Input Data'!$C$23)="FRM", FALSE, ISNUMBER(MATCH(C122,'Input Data'!$M$18:$M$30,0)))</f>
        <v>0</v>
      </c>
      <c r="B122" s="8">
        <f>IF($A122, _xlfn.XLOOKUP(C122,'Input Data'!$M$17:$M$29,'Input Data'!$N$17:$N$29),$B121)</f>
        <v>0.06</v>
      </c>
      <c r="C122" s="10">
        <f t="shared" si="8"/>
        <v>120</v>
      </c>
      <c r="D122" s="18">
        <f t="shared" si="9"/>
        <v>7740311.7743460471</v>
      </c>
      <c r="E122" s="18">
        <f>IF('Input Data'!$E$23=0,G122,IF(OR(D122&lt;=0,C122&gt;'Input Data'!$B$23*12),0,IF(AND(C122='Input Data'!$B$23*12,'Input Data'!$E$23&gt;'Input Data'!$B$23),D122+D122*B122/12,IF('Input Data'!$C$23="FRM",-PMT($B$3/12,'Input Data'!$E$23*12,$D$3),IF($A122,-PMT(B122/12,('Input Data'!$E$23*12)-C122+1,D122),E121)))))</f>
        <v>65094.431363418102</v>
      </c>
      <c r="F122" s="18">
        <f t="shared" si="6"/>
        <v>7675217.3429826293</v>
      </c>
      <c r="G122" s="18">
        <f>IF(C122&gt;'Input Data'!$B$23*12,0,D122*B122/12)</f>
        <v>38701.558871730238</v>
      </c>
      <c r="H122" s="18">
        <f t="shared" si="5"/>
        <v>26392.872491687864</v>
      </c>
      <c r="I122" s="18">
        <f t="shared" si="7"/>
        <v>7713918.9018543595</v>
      </c>
    </row>
    <row r="123" spans="1:9" x14ac:dyDescent="0.25">
      <c r="A123" t="b">
        <f>IF(('Input Data'!$C$23)="FRM", FALSE, ISNUMBER(MATCH(C123,'Input Data'!$M$18:$M$30,0)))</f>
        <v>0</v>
      </c>
      <c r="B123" s="8">
        <f>IF($A123, _xlfn.XLOOKUP(C123,'Input Data'!$M$17:$M$29,'Input Data'!$N$17:$N$29),$B122)</f>
        <v>0.06</v>
      </c>
      <c r="C123" s="10">
        <f t="shared" si="8"/>
        <v>121</v>
      </c>
      <c r="D123" s="18">
        <f t="shared" si="9"/>
        <v>7713918.9018543595</v>
      </c>
      <c r="E123" s="18">
        <f>IF('Input Data'!$E$23=0,G123,IF(OR(D123&lt;=0,C123&gt;'Input Data'!$B$23*12),0,IF(AND(C123='Input Data'!$B$23*12,'Input Data'!$E$23&gt;'Input Data'!$B$23),D123+D123*B123/12,IF('Input Data'!$C$23="FRM",-PMT($B$3/12,'Input Data'!$E$23*12,$D$3),IF($A123,-PMT(B123/12,('Input Data'!$E$23*12)-C123+1,D123),E122)))))</f>
        <v>65094.431363418102</v>
      </c>
      <c r="F123" s="18">
        <f t="shared" si="6"/>
        <v>7648824.4704909418</v>
      </c>
      <c r="G123" s="18">
        <f>IF(C123&gt;'Input Data'!$B$23*12,0,D123*B123/12)</f>
        <v>38569.594509271796</v>
      </c>
      <c r="H123" s="18">
        <f t="shared" si="5"/>
        <v>26524.836854146306</v>
      </c>
      <c r="I123" s="18">
        <f t="shared" si="7"/>
        <v>7687394.0650002137</v>
      </c>
    </row>
    <row r="124" spans="1:9" x14ac:dyDescent="0.25">
      <c r="A124" t="b">
        <f>IF(('Input Data'!$C$23)="FRM", FALSE, ISNUMBER(MATCH(C124,'Input Data'!$M$18:$M$30,0)))</f>
        <v>0</v>
      </c>
      <c r="B124" s="8">
        <f>IF($A124, _xlfn.XLOOKUP(C124,'Input Data'!$M$17:$M$29,'Input Data'!$N$17:$N$29),$B123)</f>
        <v>0.06</v>
      </c>
      <c r="C124" s="10">
        <f t="shared" si="8"/>
        <v>122</v>
      </c>
      <c r="D124" s="18">
        <f t="shared" si="9"/>
        <v>7687394.0650002137</v>
      </c>
      <c r="E124" s="18">
        <f>IF('Input Data'!$E$23=0,G124,IF(OR(D124&lt;=0,C124&gt;'Input Data'!$B$23*12),0,IF(AND(C124='Input Data'!$B$23*12,'Input Data'!$E$23&gt;'Input Data'!$B$23),D124+D124*B124/12,IF('Input Data'!$C$23="FRM",-PMT($B$3/12,'Input Data'!$E$23*12,$D$3),IF($A124,-PMT(B124/12,('Input Data'!$E$23*12)-C124+1,D124),E123)))))</f>
        <v>65094.431363418102</v>
      </c>
      <c r="F124" s="18">
        <f t="shared" si="6"/>
        <v>7622299.6336367959</v>
      </c>
      <c r="G124" s="18">
        <f>IF(C124&gt;'Input Data'!$B$23*12,0,D124*B124/12)</f>
        <v>38436.970325001072</v>
      </c>
      <c r="H124" s="18">
        <f t="shared" si="5"/>
        <v>26657.46103841703</v>
      </c>
      <c r="I124" s="18">
        <f t="shared" si="7"/>
        <v>7660736.6039617965</v>
      </c>
    </row>
    <row r="125" spans="1:9" x14ac:dyDescent="0.25">
      <c r="A125" t="b">
        <f>IF(('Input Data'!$C$23)="FRM", FALSE, ISNUMBER(MATCH(C125,'Input Data'!$M$18:$M$30,0)))</f>
        <v>0</v>
      </c>
      <c r="B125" s="8">
        <f>IF($A125, _xlfn.XLOOKUP(C125,'Input Data'!$M$17:$M$29,'Input Data'!$N$17:$N$29),$B124)</f>
        <v>0.06</v>
      </c>
      <c r="C125" s="10">
        <f t="shared" si="8"/>
        <v>123</v>
      </c>
      <c r="D125" s="18">
        <f t="shared" si="9"/>
        <v>7660736.6039617965</v>
      </c>
      <c r="E125" s="18">
        <f>IF('Input Data'!$E$23=0,G125,IF(OR(D125&lt;=0,C125&gt;'Input Data'!$B$23*12),0,IF(AND(C125='Input Data'!$B$23*12,'Input Data'!$E$23&gt;'Input Data'!$B$23),D125+D125*B125/12,IF('Input Data'!$C$23="FRM",-PMT($B$3/12,'Input Data'!$E$23*12,$D$3),IF($A125,-PMT(B125/12,('Input Data'!$E$23*12)-C125+1,D125),E124)))))</f>
        <v>65094.431363418102</v>
      </c>
      <c r="F125" s="18">
        <f t="shared" si="6"/>
        <v>7595642.1725983787</v>
      </c>
      <c r="G125" s="18">
        <f>IF(C125&gt;'Input Data'!$B$23*12,0,D125*B125/12)</f>
        <v>38303.683019808981</v>
      </c>
      <c r="H125" s="18">
        <f t="shared" si="5"/>
        <v>26790.748343609121</v>
      </c>
      <c r="I125" s="18">
        <f t="shared" si="7"/>
        <v>7633945.8556181872</v>
      </c>
    </row>
    <row r="126" spans="1:9" x14ac:dyDescent="0.25">
      <c r="A126" t="b">
        <f>IF(('Input Data'!$C$23)="FRM", FALSE, ISNUMBER(MATCH(C126,'Input Data'!$M$18:$M$30,0)))</f>
        <v>0</v>
      </c>
      <c r="B126" s="8">
        <f>IF($A126, _xlfn.XLOOKUP(C126,'Input Data'!$M$17:$M$29,'Input Data'!$N$17:$N$29),$B125)</f>
        <v>0.06</v>
      </c>
      <c r="C126" s="10">
        <f t="shared" si="8"/>
        <v>124</v>
      </c>
      <c r="D126" s="18">
        <f t="shared" si="9"/>
        <v>7633945.8556181872</v>
      </c>
      <c r="E126" s="18">
        <f>IF('Input Data'!$E$23=0,G126,IF(OR(D126&lt;=0,C126&gt;'Input Data'!$B$23*12),0,IF(AND(C126='Input Data'!$B$23*12,'Input Data'!$E$23&gt;'Input Data'!$B$23),D126+D126*B126/12,IF('Input Data'!$C$23="FRM",-PMT($B$3/12,'Input Data'!$E$23*12,$D$3),IF($A126,-PMT(B126/12,('Input Data'!$E$23*12)-C126+1,D126),E125)))))</f>
        <v>65094.431363418102</v>
      </c>
      <c r="F126" s="18">
        <f t="shared" si="6"/>
        <v>7568851.4242547695</v>
      </c>
      <c r="G126" s="18">
        <f>IF(C126&gt;'Input Data'!$B$23*12,0,D126*B126/12)</f>
        <v>38169.729278090934</v>
      </c>
      <c r="H126" s="18">
        <f t="shared" si="5"/>
        <v>26924.702085327168</v>
      </c>
      <c r="I126" s="18">
        <f t="shared" si="7"/>
        <v>7607021.1535328599</v>
      </c>
    </row>
    <row r="127" spans="1:9" x14ac:dyDescent="0.25">
      <c r="A127" t="b">
        <f>IF(('Input Data'!$C$23)="FRM", FALSE, ISNUMBER(MATCH(C127,'Input Data'!$M$18:$M$30,0)))</f>
        <v>0</v>
      </c>
      <c r="B127" s="8">
        <f>IF($A127, _xlfn.XLOOKUP(C127,'Input Data'!$M$17:$M$29,'Input Data'!$N$17:$N$29),$B126)</f>
        <v>0.06</v>
      </c>
      <c r="C127" s="10">
        <f t="shared" si="8"/>
        <v>125</v>
      </c>
      <c r="D127" s="18">
        <f t="shared" si="9"/>
        <v>7607021.1535328599</v>
      </c>
      <c r="E127" s="18">
        <f>IF('Input Data'!$E$23=0,G127,IF(OR(D127&lt;=0,C127&gt;'Input Data'!$B$23*12),0,IF(AND(C127='Input Data'!$B$23*12,'Input Data'!$E$23&gt;'Input Data'!$B$23),D127+D127*B127/12,IF('Input Data'!$C$23="FRM",-PMT($B$3/12,'Input Data'!$E$23*12,$D$3),IF($A127,-PMT(B127/12,('Input Data'!$E$23*12)-C127+1,D127),E126)))))</f>
        <v>65094.431363418102</v>
      </c>
      <c r="F127" s="18">
        <f t="shared" si="6"/>
        <v>7541926.7221694421</v>
      </c>
      <c r="G127" s="18">
        <f>IF(C127&gt;'Input Data'!$B$23*12,0,D127*B127/12)</f>
        <v>38035.105767664296</v>
      </c>
      <c r="H127" s="18">
        <f t="shared" si="5"/>
        <v>27059.325595753806</v>
      </c>
      <c r="I127" s="18">
        <f t="shared" si="7"/>
        <v>7579961.8279371057</v>
      </c>
    </row>
    <row r="128" spans="1:9" x14ac:dyDescent="0.25">
      <c r="A128" t="b">
        <f>IF(('Input Data'!$C$23)="FRM", FALSE, ISNUMBER(MATCH(C128,'Input Data'!$M$18:$M$30,0)))</f>
        <v>0</v>
      </c>
      <c r="B128" s="8">
        <f>IF($A128, _xlfn.XLOOKUP(C128,'Input Data'!$M$17:$M$29,'Input Data'!$N$17:$N$29),$B127)</f>
        <v>0.06</v>
      </c>
      <c r="C128" s="10">
        <f t="shared" si="8"/>
        <v>126</v>
      </c>
      <c r="D128" s="18">
        <f t="shared" si="9"/>
        <v>7579961.8279371057</v>
      </c>
      <c r="E128" s="18">
        <f>IF('Input Data'!$E$23=0,G128,IF(OR(D128&lt;=0,C128&gt;'Input Data'!$B$23*12),0,IF(AND(C128='Input Data'!$B$23*12,'Input Data'!$E$23&gt;'Input Data'!$B$23),D128+D128*B128/12,IF('Input Data'!$C$23="FRM",-PMT($B$3/12,'Input Data'!$E$23*12,$D$3),IF($A128,-PMT(B128/12,('Input Data'!$E$23*12)-C128+1,D128),E127)))))</f>
        <v>65094.431363418102</v>
      </c>
      <c r="F128" s="18">
        <f t="shared" si="6"/>
        <v>7514867.3965736879</v>
      </c>
      <c r="G128" s="18">
        <f>IF(C128&gt;'Input Data'!$B$23*12,0,D128*B128/12)</f>
        <v>37899.809139685523</v>
      </c>
      <c r="H128" s="18">
        <f t="shared" si="5"/>
        <v>27194.622223732578</v>
      </c>
      <c r="I128" s="18">
        <f t="shared" si="7"/>
        <v>7552767.2057133727</v>
      </c>
    </row>
    <row r="129" spans="1:9" x14ac:dyDescent="0.25">
      <c r="A129" t="b">
        <f>IF(('Input Data'!$C$23)="FRM", FALSE, ISNUMBER(MATCH(C129,'Input Data'!$M$18:$M$30,0)))</f>
        <v>0</v>
      </c>
      <c r="B129" s="8">
        <f>IF($A129, _xlfn.XLOOKUP(C129,'Input Data'!$M$17:$M$29,'Input Data'!$N$17:$N$29),$B128)</f>
        <v>0.06</v>
      </c>
      <c r="C129" s="10">
        <f t="shared" si="8"/>
        <v>127</v>
      </c>
      <c r="D129" s="18">
        <f t="shared" si="9"/>
        <v>7552767.2057133727</v>
      </c>
      <c r="E129" s="18">
        <f>IF('Input Data'!$E$23=0,G129,IF(OR(D129&lt;=0,C129&gt;'Input Data'!$B$23*12),0,IF(AND(C129='Input Data'!$B$23*12,'Input Data'!$E$23&gt;'Input Data'!$B$23),D129+D129*B129/12,IF('Input Data'!$C$23="FRM",-PMT($B$3/12,'Input Data'!$E$23*12,$D$3),IF($A129,-PMT(B129/12,('Input Data'!$E$23*12)-C129+1,D129),E128)))))</f>
        <v>65094.431363418102</v>
      </c>
      <c r="F129" s="18">
        <f t="shared" si="6"/>
        <v>7487672.7743499549</v>
      </c>
      <c r="G129" s="18">
        <f>IF(C129&gt;'Input Data'!$B$23*12,0,D129*B129/12)</f>
        <v>37763.83602856686</v>
      </c>
      <c r="H129" s="18">
        <f t="shared" si="5"/>
        <v>27330.595334851241</v>
      </c>
      <c r="I129" s="18">
        <f t="shared" si="7"/>
        <v>7525436.6103785215</v>
      </c>
    </row>
    <row r="130" spans="1:9" x14ac:dyDescent="0.25">
      <c r="A130" t="b">
        <f>IF(('Input Data'!$C$23)="FRM", FALSE, ISNUMBER(MATCH(C130,'Input Data'!$M$18:$M$30,0)))</f>
        <v>0</v>
      </c>
      <c r="B130" s="8">
        <f>IF($A130, _xlfn.XLOOKUP(C130,'Input Data'!$M$17:$M$29,'Input Data'!$N$17:$N$29),$B129)</f>
        <v>0.06</v>
      </c>
      <c r="C130" s="10">
        <f t="shared" si="8"/>
        <v>128</v>
      </c>
      <c r="D130" s="18">
        <f t="shared" si="9"/>
        <v>7525436.6103785215</v>
      </c>
      <c r="E130" s="18">
        <f>IF('Input Data'!$E$23=0,G130,IF(OR(D130&lt;=0,C130&gt;'Input Data'!$B$23*12),0,IF(AND(C130='Input Data'!$B$23*12,'Input Data'!$E$23&gt;'Input Data'!$B$23),D130+D130*B130/12,IF('Input Data'!$C$23="FRM",-PMT($B$3/12,'Input Data'!$E$23*12,$D$3),IF($A130,-PMT(B130/12,('Input Data'!$E$23*12)-C130+1,D130),E129)))))</f>
        <v>65094.431363418102</v>
      </c>
      <c r="F130" s="18">
        <f t="shared" si="6"/>
        <v>7460342.1790151037</v>
      </c>
      <c r="G130" s="18">
        <f>IF(C130&gt;'Input Data'!$B$23*12,0,D130*B130/12)</f>
        <v>37627.183051892607</v>
      </c>
      <c r="H130" s="18">
        <f t="shared" si="5"/>
        <v>27467.248311525495</v>
      </c>
      <c r="I130" s="18">
        <f t="shared" si="7"/>
        <v>7497969.3620669963</v>
      </c>
    </row>
    <row r="131" spans="1:9" x14ac:dyDescent="0.25">
      <c r="A131" t="b">
        <f>IF(('Input Data'!$C$23)="FRM", FALSE, ISNUMBER(MATCH(C131,'Input Data'!$M$18:$M$30,0)))</f>
        <v>0</v>
      </c>
      <c r="B131" s="8">
        <f>IF($A131, _xlfn.XLOOKUP(C131,'Input Data'!$M$17:$M$29,'Input Data'!$N$17:$N$29),$B130)</f>
        <v>0.06</v>
      </c>
      <c r="C131" s="10">
        <f t="shared" si="8"/>
        <v>129</v>
      </c>
      <c r="D131" s="18">
        <f t="shared" si="9"/>
        <v>7497969.3620669963</v>
      </c>
      <c r="E131" s="18">
        <f>IF('Input Data'!$E$23=0,G131,IF(OR(D131&lt;=0,C131&gt;'Input Data'!$B$23*12),0,IF(AND(C131='Input Data'!$B$23*12,'Input Data'!$E$23&gt;'Input Data'!$B$23),D131+D131*B131/12,IF('Input Data'!$C$23="FRM",-PMT($B$3/12,'Input Data'!$E$23*12,$D$3),IF($A131,-PMT(B131/12,('Input Data'!$E$23*12)-C131+1,D131),E130)))))</f>
        <v>65094.431363418102</v>
      </c>
      <c r="F131" s="18">
        <f t="shared" si="6"/>
        <v>7432874.9307035785</v>
      </c>
      <c r="G131" s="18">
        <f>IF(C131&gt;'Input Data'!$B$23*12,0,D131*B131/12)</f>
        <v>37489.846810334981</v>
      </c>
      <c r="H131" s="18">
        <f t="shared" ref="H131:H194" si="10">MIN(E131-G131,D131)</f>
        <v>27604.584553083121</v>
      </c>
      <c r="I131" s="18">
        <f t="shared" si="7"/>
        <v>7470364.7775139129</v>
      </c>
    </row>
    <row r="132" spans="1:9" x14ac:dyDescent="0.25">
      <c r="A132" t="b">
        <f>IF(('Input Data'!$C$23)="FRM", FALSE, ISNUMBER(MATCH(C132,'Input Data'!$M$18:$M$30,0)))</f>
        <v>0</v>
      </c>
      <c r="B132" s="8">
        <f>IF($A132, _xlfn.XLOOKUP(C132,'Input Data'!$M$17:$M$29,'Input Data'!$N$17:$N$29),$B131)</f>
        <v>0.06</v>
      </c>
      <c r="C132" s="10">
        <f t="shared" si="8"/>
        <v>130</v>
      </c>
      <c r="D132" s="18">
        <f t="shared" si="9"/>
        <v>7470364.7775139129</v>
      </c>
      <c r="E132" s="18">
        <f>IF('Input Data'!$E$23=0,G132,IF(OR(D132&lt;=0,C132&gt;'Input Data'!$B$23*12),0,IF(AND(C132='Input Data'!$B$23*12,'Input Data'!$E$23&gt;'Input Data'!$B$23),D132+D132*B132/12,IF('Input Data'!$C$23="FRM",-PMT($B$3/12,'Input Data'!$E$23*12,$D$3),IF($A132,-PMT(B132/12,('Input Data'!$E$23*12)-C132+1,D132),E131)))))</f>
        <v>65094.431363418102</v>
      </c>
      <c r="F132" s="18">
        <f t="shared" ref="F132:F195" si="11">IF(D132-E132&lt;0,0,D132-E132)</f>
        <v>7405270.3461504951</v>
      </c>
      <c r="G132" s="18">
        <f>IF(C132&gt;'Input Data'!$B$23*12,0,D132*B132/12)</f>
        <v>37351.823887569561</v>
      </c>
      <c r="H132" s="18">
        <f t="shared" si="10"/>
        <v>27742.607475848541</v>
      </c>
      <c r="I132" s="18">
        <f t="shared" ref="I132:I195" si="12">IF(ROUND(D132-H132,2)=0,0,D132-H132)</f>
        <v>7442622.170038064</v>
      </c>
    </row>
    <row r="133" spans="1:9" x14ac:dyDescent="0.25">
      <c r="A133" t="b">
        <f>IF(('Input Data'!$C$23)="FRM", FALSE, ISNUMBER(MATCH(C133,'Input Data'!$M$18:$M$30,0)))</f>
        <v>0</v>
      </c>
      <c r="B133" s="8">
        <f>IF($A133, _xlfn.XLOOKUP(C133,'Input Data'!$M$17:$M$29,'Input Data'!$N$17:$N$29),$B132)</f>
        <v>0.06</v>
      </c>
      <c r="C133" s="10">
        <f t="shared" ref="C133:C196" si="13">C132+1</f>
        <v>131</v>
      </c>
      <c r="D133" s="18">
        <f t="shared" ref="D133:D196" si="14">IF(I132&gt;0,I132-J132,0)</f>
        <v>7442622.170038064</v>
      </c>
      <c r="E133" s="18">
        <f>IF('Input Data'!$E$23=0,G133,IF(OR(D133&lt;=0,C133&gt;'Input Data'!$B$23*12),0,IF(AND(C133='Input Data'!$B$23*12,'Input Data'!$E$23&gt;'Input Data'!$B$23),D133+D133*B133/12,IF('Input Data'!$C$23="FRM",-PMT($B$3/12,'Input Data'!$E$23*12,$D$3),IF($A133,-PMT(B133/12,('Input Data'!$E$23*12)-C133+1,D133),E132)))))</f>
        <v>65094.431363418102</v>
      </c>
      <c r="F133" s="18">
        <f t="shared" si="11"/>
        <v>7377527.7386746462</v>
      </c>
      <c r="G133" s="18">
        <f>IF(C133&gt;'Input Data'!$B$23*12,0,D133*B133/12)</f>
        <v>37213.110850190315</v>
      </c>
      <c r="H133" s="18">
        <f t="shared" si="10"/>
        <v>27881.320513227787</v>
      </c>
      <c r="I133" s="18">
        <f t="shared" si="12"/>
        <v>7414740.8495248361</v>
      </c>
    </row>
    <row r="134" spans="1:9" x14ac:dyDescent="0.25">
      <c r="A134" t="b">
        <f>IF(('Input Data'!$C$23)="FRM", FALSE, ISNUMBER(MATCH(C134,'Input Data'!$M$18:$M$30,0)))</f>
        <v>0</v>
      </c>
      <c r="B134" s="8">
        <f>IF($A134, _xlfn.XLOOKUP(C134,'Input Data'!$M$17:$M$29,'Input Data'!$N$17:$N$29),$B133)</f>
        <v>0.06</v>
      </c>
      <c r="C134" s="10">
        <f t="shared" si="13"/>
        <v>132</v>
      </c>
      <c r="D134" s="18">
        <f t="shared" si="14"/>
        <v>7414740.8495248361</v>
      </c>
      <c r="E134" s="18">
        <f>IF('Input Data'!$E$23=0,G134,IF(OR(D134&lt;=0,C134&gt;'Input Data'!$B$23*12),0,IF(AND(C134='Input Data'!$B$23*12,'Input Data'!$E$23&gt;'Input Data'!$B$23),D134+D134*B134/12,IF('Input Data'!$C$23="FRM",-PMT($B$3/12,'Input Data'!$E$23*12,$D$3),IF($A134,-PMT(B134/12,('Input Data'!$E$23*12)-C134+1,D134),E133)))))</f>
        <v>65094.431363418102</v>
      </c>
      <c r="F134" s="18">
        <f t="shared" si="11"/>
        <v>7349646.4181614183</v>
      </c>
      <c r="G134" s="18">
        <f>IF(C134&gt;'Input Data'!$B$23*12,0,D134*B134/12)</f>
        <v>37073.704247624177</v>
      </c>
      <c r="H134" s="18">
        <f t="shared" si="10"/>
        <v>28020.727115793925</v>
      </c>
      <c r="I134" s="18">
        <f t="shared" si="12"/>
        <v>7386720.122409042</v>
      </c>
    </row>
    <row r="135" spans="1:9" x14ac:dyDescent="0.25">
      <c r="A135" t="b">
        <f>IF(('Input Data'!$C$23)="FRM", FALSE, ISNUMBER(MATCH(C135,'Input Data'!$M$18:$M$30,0)))</f>
        <v>0</v>
      </c>
      <c r="B135" s="8">
        <f>IF($A135, _xlfn.XLOOKUP(C135,'Input Data'!$M$17:$M$29,'Input Data'!$N$17:$N$29),$B134)</f>
        <v>0.06</v>
      </c>
      <c r="C135" s="10">
        <f t="shared" si="13"/>
        <v>133</v>
      </c>
      <c r="D135" s="18">
        <f t="shared" si="14"/>
        <v>7386720.122409042</v>
      </c>
      <c r="E135" s="18">
        <f>IF('Input Data'!$E$23=0,G135,IF(OR(D135&lt;=0,C135&gt;'Input Data'!$B$23*12),0,IF(AND(C135='Input Data'!$B$23*12,'Input Data'!$E$23&gt;'Input Data'!$B$23),D135+D135*B135/12,IF('Input Data'!$C$23="FRM",-PMT($B$3/12,'Input Data'!$E$23*12,$D$3),IF($A135,-PMT(B135/12,('Input Data'!$E$23*12)-C135+1,D135),E134)))))</f>
        <v>65094.431363418102</v>
      </c>
      <c r="F135" s="18">
        <f t="shared" si="11"/>
        <v>7321625.6910456242</v>
      </c>
      <c r="G135" s="18">
        <f>IF(C135&gt;'Input Data'!$B$23*12,0,D135*B135/12)</f>
        <v>36933.600612045208</v>
      </c>
      <c r="H135" s="18">
        <f t="shared" si="10"/>
        <v>28160.830751372894</v>
      </c>
      <c r="I135" s="18">
        <f t="shared" si="12"/>
        <v>7358559.2916576695</v>
      </c>
    </row>
    <row r="136" spans="1:9" x14ac:dyDescent="0.25">
      <c r="A136" t="b">
        <f>IF(('Input Data'!$C$23)="FRM", FALSE, ISNUMBER(MATCH(C136,'Input Data'!$M$18:$M$30,0)))</f>
        <v>0</v>
      </c>
      <c r="B136" s="8">
        <f>IF($A136, _xlfn.XLOOKUP(C136,'Input Data'!$M$17:$M$29,'Input Data'!$N$17:$N$29),$B135)</f>
        <v>0.06</v>
      </c>
      <c r="C136" s="10">
        <f t="shared" si="13"/>
        <v>134</v>
      </c>
      <c r="D136" s="18">
        <f t="shared" si="14"/>
        <v>7358559.2916576695</v>
      </c>
      <c r="E136" s="18">
        <f>IF('Input Data'!$E$23=0,G136,IF(OR(D136&lt;=0,C136&gt;'Input Data'!$B$23*12),0,IF(AND(C136='Input Data'!$B$23*12,'Input Data'!$E$23&gt;'Input Data'!$B$23),D136+D136*B136/12,IF('Input Data'!$C$23="FRM",-PMT($B$3/12,'Input Data'!$E$23*12,$D$3),IF($A136,-PMT(B136/12,('Input Data'!$E$23*12)-C136+1,D136),E135)))))</f>
        <v>65094.431363418102</v>
      </c>
      <c r="F136" s="18">
        <f t="shared" si="11"/>
        <v>7293464.8602942517</v>
      </c>
      <c r="G136" s="18">
        <f>IF(C136&gt;'Input Data'!$B$23*12,0,D136*B136/12)</f>
        <v>36792.796458288351</v>
      </c>
      <c r="H136" s="18">
        <f t="shared" si="10"/>
        <v>28301.634905129751</v>
      </c>
      <c r="I136" s="18">
        <f t="shared" si="12"/>
        <v>7330257.6567525398</v>
      </c>
    </row>
    <row r="137" spans="1:9" x14ac:dyDescent="0.25">
      <c r="A137" t="b">
        <f>IF(('Input Data'!$C$23)="FRM", FALSE, ISNUMBER(MATCH(C137,'Input Data'!$M$18:$M$30,0)))</f>
        <v>0</v>
      </c>
      <c r="B137" s="8">
        <f>IF($A137, _xlfn.XLOOKUP(C137,'Input Data'!$M$17:$M$29,'Input Data'!$N$17:$N$29),$B136)</f>
        <v>0.06</v>
      </c>
      <c r="C137" s="10">
        <f t="shared" si="13"/>
        <v>135</v>
      </c>
      <c r="D137" s="18">
        <f t="shared" si="14"/>
        <v>7330257.6567525398</v>
      </c>
      <c r="E137" s="18">
        <f>IF('Input Data'!$E$23=0,G137,IF(OR(D137&lt;=0,C137&gt;'Input Data'!$B$23*12),0,IF(AND(C137='Input Data'!$B$23*12,'Input Data'!$E$23&gt;'Input Data'!$B$23),D137+D137*B137/12,IF('Input Data'!$C$23="FRM",-PMT($B$3/12,'Input Data'!$E$23*12,$D$3),IF($A137,-PMT(B137/12,('Input Data'!$E$23*12)-C137+1,D137),E136)))))</f>
        <v>65094.431363418102</v>
      </c>
      <c r="F137" s="18">
        <f t="shared" si="11"/>
        <v>7265163.225389122</v>
      </c>
      <c r="G137" s="18">
        <f>IF(C137&gt;'Input Data'!$B$23*12,0,D137*B137/12)</f>
        <v>36651.288283762697</v>
      </c>
      <c r="H137" s="18">
        <f t="shared" si="10"/>
        <v>28443.143079655405</v>
      </c>
      <c r="I137" s="18">
        <f t="shared" si="12"/>
        <v>7301814.5136728846</v>
      </c>
    </row>
    <row r="138" spans="1:9" x14ac:dyDescent="0.25">
      <c r="A138" t="b">
        <f>IF(('Input Data'!$C$23)="FRM", FALSE, ISNUMBER(MATCH(C138,'Input Data'!$M$18:$M$30,0)))</f>
        <v>0</v>
      </c>
      <c r="B138" s="8">
        <f>IF($A138, _xlfn.XLOOKUP(C138,'Input Data'!$M$17:$M$29,'Input Data'!$N$17:$N$29),$B137)</f>
        <v>0.06</v>
      </c>
      <c r="C138" s="10">
        <f t="shared" si="13"/>
        <v>136</v>
      </c>
      <c r="D138" s="18">
        <f t="shared" si="14"/>
        <v>7301814.5136728846</v>
      </c>
      <c r="E138" s="18">
        <f>IF('Input Data'!$E$23=0,G138,IF(OR(D138&lt;=0,C138&gt;'Input Data'!$B$23*12),0,IF(AND(C138='Input Data'!$B$23*12,'Input Data'!$E$23&gt;'Input Data'!$B$23),D138+D138*B138/12,IF('Input Data'!$C$23="FRM",-PMT($B$3/12,'Input Data'!$E$23*12,$D$3),IF($A138,-PMT(B138/12,('Input Data'!$E$23*12)-C138+1,D138),E137)))))</f>
        <v>65094.431363418102</v>
      </c>
      <c r="F138" s="18">
        <f t="shared" si="11"/>
        <v>7236720.0823094668</v>
      </c>
      <c r="G138" s="18">
        <f>IF(C138&gt;'Input Data'!$B$23*12,0,D138*B138/12)</f>
        <v>36509.07256836442</v>
      </c>
      <c r="H138" s="18">
        <f t="shared" si="10"/>
        <v>28585.358795053682</v>
      </c>
      <c r="I138" s="18">
        <f t="shared" si="12"/>
        <v>7273229.1548778312</v>
      </c>
    </row>
    <row r="139" spans="1:9" x14ac:dyDescent="0.25">
      <c r="A139" t="b">
        <f>IF(('Input Data'!$C$23)="FRM", FALSE, ISNUMBER(MATCH(C139,'Input Data'!$M$18:$M$30,0)))</f>
        <v>0</v>
      </c>
      <c r="B139" s="8">
        <f>IF($A139, _xlfn.XLOOKUP(C139,'Input Data'!$M$17:$M$29,'Input Data'!$N$17:$N$29),$B138)</f>
        <v>0.06</v>
      </c>
      <c r="C139" s="10">
        <f t="shared" si="13"/>
        <v>137</v>
      </c>
      <c r="D139" s="18">
        <f t="shared" si="14"/>
        <v>7273229.1548778312</v>
      </c>
      <c r="E139" s="18">
        <f>IF('Input Data'!$E$23=0,G139,IF(OR(D139&lt;=0,C139&gt;'Input Data'!$B$23*12),0,IF(AND(C139='Input Data'!$B$23*12,'Input Data'!$E$23&gt;'Input Data'!$B$23),D139+D139*B139/12,IF('Input Data'!$C$23="FRM",-PMT($B$3/12,'Input Data'!$E$23*12,$D$3),IF($A139,-PMT(B139/12,('Input Data'!$E$23*12)-C139+1,D139),E138)))))</f>
        <v>65094.431363418102</v>
      </c>
      <c r="F139" s="18">
        <f t="shared" si="11"/>
        <v>7208134.7235144135</v>
      </c>
      <c r="G139" s="18">
        <f>IF(C139&gt;'Input Data'!$B$23*12,0,D139*B139/12)</f>
        <v>36366.145774389159</v>
      </c>
      <c r="H139" s="18">
        <f t="shared" si="10"/>
        <v>28728.285589028943</v>
      </c>
      <c r="I139" s="18">
        <f t="shared" si="12"/>
        <v>7244500.8692888021</v>
      </c>
    </row>
    <row r="140" spans="1:9" x14ac:dyDescent="0.25">
      <c r="A140" t="b">
        <f>IF(('Input Data'!$C$23)="FRM", FALSE, ISNUMBER(MATCH(C140,'Input Data'!$M$18:$M$30,0)))</f>
        <v>0</v>
      </c>
      <c r="B140" s="8">
        <f>IF($A140, _xlfn.XLOOKUP(C140,'Input Data'!$M$17:$M$29,'Input Data'!$N$17:$N$29),$B139)</f>
        <v>0.06</v>
      </c>
      <c r="C140" s="10">
        <f t="shared" si="13"/>
        <v>138</v>
      </c>
      <c r="D140" s="18">
        <f t="shared" si="14"/>
        <v>7244500.8692888021</v>
      </c>
      <c r="E140" s="18">
        <f>IF('Input Data'!$E$23=0,G140,IF(OR(D140&lt;=0,C140&gt;'Input Data'!$B$23*12),0,IF(AND(C140='Input Data'!$B$23*12,'Input Data'!$E$23&gt;'Input Data'!$B$23),D140+D140*B140/12,IF('Input Data'!$C$23="FRM",-PMT($B$3/12,'Input Data'!$E$23*12,$D$3),IF($A140,-PMT(B140/12,('Input Data'!$E$23*12)-C140+1,D140),E139)))))</f>
        <v>65094.431363418102</v>
      </c>
      <c r="F140" s="18">
        <f t="shared" si="11"/>
        <v>7179406.4379253844</v>
      </c>
      <c r="G140" s="18">
        <f>IF(C140&gt;'Input Data'!$B$23*12,0,D140*B140/12)</f>
        <v>36222.50434644401</v>
      </c>
      <c r="H140" s="18">
        <f t="shared" si="10"/>
        <v>28871.927016974092</v>
      </c>
      <c r="I140" s="18">
        <f t="shared" si="12"/>
        <v>7215628.9422718277</v>
      </c>
    </row>
    <row r="141" spans="1:9" x14ac:dyDescent="0.25">
      <c r="A141" t="b">
        <f>IF(('Input Data'!$C$23)="FRM", FALSE, ISNUMBER(MATCH(C141,'Input Data'!$M$18:$M$30,0)))</f>
        <v>0</v>
      </c>
      <c r="B141" s="8">
        <f>IF($A141, _xlfn.XLOOKUP(C141,'Input Data'!$M$17:$M$29,'Input Data'!$N$17:$N$29),$B140)</f>
        <v>0.06</v>
      </c>
      <c r="C141" s="10">
        <f t="shared" si="13"/>
        <v>139</v>
      </c>
      <c r="D141" s="18">
        <f t="shared" si="14"/>
        <v>7215628.9422718277</v>
      </c>
      <c r="E141" s="18">
        <f>IF('Input Data'!$E$23=0,G141,IF(OR(D141&lt;=0,C141&gt;'Input Data'!$B$23*12),0,IF(AND(C141='Input Data'!$B$23*12,'Input Data'!$E$23&gt;'Input Data'!$B$23),D141+D141*B141/12,IF('Input Data'!$C$23="FRM",-PMT($B$3/12,'Input Data'!$E$23*12,$D$3),IF($A141,-PMT(B141/12,('Input Data'!$E$23*12)-C141+1,D141),E140)))))</f>
        <v>65094.431363418102</v>
      </c>
      <c r="F141" s="18">
        <f t="shared" si="11"/>
        <v>7150534.51090841</v>
      </c>
      <c r="G141" s="18">
        <f>IF(C141&gt;'Input Data'!$B$23*12,0,D141*B141/12)</f>
        <v>36078.144711359135</v>
      </c>
      <c r="H141" s="18">
        <f t="shared" si="10"/>
        <v>29016.286652058967</v>
      </c>
      <c r="I141" s="18">
        <f t="shared" si="12"/>
        <v>7186612.6556197684</v>
      </c>
    </row>
    <row r="142" spans="1:9" x14ac:dyDescent="0.25">
      <c r="A142" t="b">
        <f>IF(('Input Data'!$C$23)="FRM", FALSE, ISNUMBER(MATCH(C142,'Input Data'!$M$18:$M$30,0)))</f>
        <v>0</v>
      </c>
      <c r="B142" s="8">
        <f>IF($A142, _xlfn.XLOOKUP(C142,'Input Data'!$M$17:$M$29,'Input Data'!$N$17:$N$29),$B141)</f>
        <v>0.06</v>
      </c>
      <c r="C142" s="10">
        <f t="shared" si="13"/>
        <v>140</v>
      </c>
      <c r="D142" s="18">
        <f t="shared" si="14"/>
        <v>7186612.6556197684</v>
      </c>
      <c r="E142" s="18">
        <f>IF('Input Data'!$E$23=0,G142,IF(OR(D142&lt;=0,C142&gt;'Input Data'!$B$23*12),0,IF(AND(C142='Input Data'!$B$23*12,'Input Data'!$E$23&gt;'Input Data'!$B$23),D142+D142*B142/12,IF('Input Data'!$C$23="FRM",-PMT($B$3/12,'Input Data'!$E$23*12,$D$3),IF($A142,-PMT(B142/12,('Input Data'!$E$23*12)-C142+1,D142),E141)))))</f>
        <v>65094.431363418102</v>
      </c>
      <c r="F142" s="18">
        <f t="shared" si="11"/>
        <v>7121518.2242563507</v>
      </c>
      <c r="G142" s="18">
        <f>IF(C142&gt;'Input Data'!$B$23*12,0,D142*B142/12)</f>
        <v>35933.063278098845</v>
      </c>
      <c r="H142" s="18">
        <f t="shared" si="10"/>
        <v>29161.368085319256</v>
      </c>
      <c r="I142" s="18">
        <f t="shared" si="12"/>
        <v>7157451.2875344492</v>
      </c>
    </row>
    <row r="143" spans="1:9" x14ac:dyDescent="0.25">
      <c r="A143" t="b">
        <f>IF(('Input Data'!$C$23)="FRM", FALSE, ISNUMBER(MATCH(C143,'Input Data'!$M$18:$M$30,0)))</f>
        <v>0</v>
      </c>
      <c r="B143" s="8">
        <f>IF($A143, _xlfn.XLOOKUP(C143,'Input Data'!$M$17:$M$29,'Input Data'!$N$17:$N$29),$B142)</f>
        <v>0.06</v>
      </c>
      <c r="C143" s="10">
        <f t="shared" si="13"/>
        <v>141</v>
      </c>
      <c r="D143" s="18">
        <f t="shared" si="14"/>
        <v>7157451.2875344492</v>
      </c>
      <c r="E143" s="18">
        <f>IF('Input Data'!$E$23=0,G143,IF(OR(D143&lt;=0,C143&gt;'Input Data'!$B$23*12),0,IF(AND(C143='Input Data'!$B$23*12,'Input Data'!$E$23&gt;'Input Data'!$B$23),D143+D143*B143/12,IF('Input Data'!$C$23="FRM",-PMT($B$3/12,'Input Data'!$E$23*12,$D$3),IF($A143,-PMT(B143/12,('Input Data'!$E$23*12)-C143+1,D143),E142)))))</f>
        <v>65094.431363418102</v>
      </c>
      <c r="F143" s="18">
        <f t="shared" si="11"/>
        <v>7092356.8561710315</v>
      </c>
      <c r="G143" s="18">
        <f>IF(C143&gt;'Input Data'!$B$23*12,0,D143*B143/12)</f>
        <v>35787.256437672244</v>
      </c>
      <c r="H143" s="18">
        <f t="shared" si="10"/>
        <v>29307.174925745858</v>
      </c>
      <c r="I143" s="18">
        <f t="shared" si="12"/>
        <v>7128144.1126087038</v>
      </c>
    </row>
    <row r="144" spans="1:9" x14ac:dyDescent="0.25">
      <c r="A144" t="b">
        <f>IF(('Input Data'!$C$23)="FRM", FALSE, ISNUMBER(MATCH(C144,'Input Data'!$M$18:$M$30,0)))</f>
        <v>0</v>
      </c>
      <c r="B144" s="8">
        <f>IF($A144, _xlfn.XLOOKUP(C144,'Input Data'!$M$17:$M$29,'Input Data'!$N$17:$N$29),$B143)</f>
        <v>0.06</v>
      </c>
      <c r="C144" s="10">
        <f t="shared" si="13"/>
        <v>142</v>
      </c>
      <c r="D144" s="18">
        <f t="shared" si="14"/>
        <v>7128144.1126087038</v>
      </c>
      <c r="E144" s="18">
        <f>IF('Input Data'!$E$23=0,G144,IF(OR(D144&lt;=0,C144&gt;'Input Data'!$B$23*12),0,IF(AND(C144='Input Data'!$B$23*12,'Input Data'!$E$23&gt;'Input Data'!$B$23),D144+D144*B144/12,IF('Input Data'!$C$23="FRM",-PMT($B$3/12,'Input Data'!$E$23*12,$D$3),IF($A144,-PMT(B144/12,('Input Data'!$E$23*12)-C144+1,D144),E143)))))</f>
        <v>65094.431363418102</v>
      </c>
      <c r="F144" s="18">
        <f t="shared" si="11"/>
        <v>7063049.681245286</v>
      </c>
      <c r="G144" s="18">
        <f>IF(C144&gt;'Input Data'!$B$23*12,0,D144*B144/12)</f>
        <v>35640.720563043513</v>
      </c>
      <c r="H144" s="18">
        <f t="shared" si="10"/>
        <v>29453.710800374589</v>
      </c>
      <c r="I144" s="18">
        <f t="shared" si="12"/>
        <v>7098690.4018083289</v>
      </c>
    </row>
    <row r="145" spans="1:9" x14ac:dyDescent="0.25">
      <c r="A145" t="b">
        <f>IF(('Input Data'!$C$23)="FRM", FALSE, ISNUMBER(MATCH(C145,'Input Data'!$M$18:$M$30,0)))</f>
        <v>0</v>
      </c>
      <c r="B145" s="8">
        <f>IF($A145, _xlfn.XLOOKUP(C145,'Input Data'!$M$17:$M$29,'Input Data'!$N$17:$N$29),$B144)</f>
        <v>0.06</v>
      </c>
      <c r="C145" s="10">
        <f t="shared" si="13"/>
        <v>143</v>
      </c>
      <c r="D145" s="18">
        <f t="shared" si="14"/>
        <v>7098690.4018083289</v>
      </c>
      <c r="E145" s="18">
        <f>IF('Input Data'!$E$23=0,G145,IF(OR(D145&lt;=0,C145&gt;'Input Data'!$B$23*12),0,IF(AND(C145='Input Data'!$B$23*12,'Input Data'!$E$23&gt;'Input Data'!$B$23),D145+D145*B145/12,IF('Input Data'!$C$23="FRM",-PMT($B$3/12,'Input Data'!$E$23*12,$D$3),IF($A145,-PMT(B145/12,('Input Data'!$E$23*12)-C145+1,D145),E144)))))</f>
        <v>65094.431363418102</v>
      </c>
      <c r="F145" s="18">
        <f t="shared" si="11"/>
        <v>7033595.9704449112</v>
      </c>
      <c r="G145" s="18">
        <f>IF(C145&gt;'Input Data'!$B$23*12,0,D145*B145/12)</f>
        <v>35493.452009041641</v>
      </c>
      <c r="H145" s="18">
        <f t="shared" si="10"/>
        <v>29600.979354376461</v>
      </c>
      <c r="I145" s="18">
        <f t="shared" si="12"/>
        <v>7069089.422453952</v>
      </c>
    </row>
    <row r="146" spans="1:9" x14ac:dyDescent="0.25">
      <c r="A146" t="b">
        <f>IF(('Input Data'!$C$23)="FRM", FALSE, ISNUMBER(MATCH(C146,'Input Data'!$M$18:$M$30,0)))</f>
        <v>0</v>
      </c>
      <c r="B146" s="8">
        <f>IF($A146, _xlfn.XLOOKUP(C146,'Input Data'!$M$17:$M$29,'Input Data'!$N$17:$N$29),$B145)</f>
        <v>0.06</v>
      </c>
      <c r="C146" s="10">
        <f t="shared" si="13"/>
        <v>144</v>
      </c>
      <c r="D146" s="18">
        <f t="shared" si="14"/>
        <v>7069089.422453952</v>
      </c>
      <c r="E146" s="18">
        <f>IF('Input Data'!$E$23=0,G146,IF(OR(D146&lt;=0,C146&gt;'Input Data'!$B$23*12),0,IF(AND(C146='Input Data'!$B$23*12,'Input Data'!$E$23&gt;'Input Data'!$B$23),D146+D146*B146/12,IF('Input Data'!$C$23="FRM",-PMT($B$3/12,'Input Data'!$E$23*12,$D$3),IF($A146,-PMT(B146/12,('Input Data'!$E$23*12)-C146+1,D146),E145)))))</f>
        <v>65094.431363418102</v>
      </c>
      <c r="F146" s="18">
        <f t="shared" si="11"/>
        <v>7003994.9910905343</v>
      </c>
      <c r="G146" s="18">
        <f>IF(C146&gt;'Input Data'!$B$23*12,0,D146*B146/12)</f>
        <v>35345.447112269758</v>
      </c>
      <c r="H146" s="18">
        <f t="shared" si="10"/>
        <v>29748.984251148344</v>
      </c>
      <c r="I146" s="18">
        <f t="shared" si="12"/>
        <v>7039340.438202804</v>
      </c>
    </row>
    <row r="147" spans="1:9" x14ac:dyDescent="0.25">
      <c r="A147" t="b">
        <f>IF(('Input Data'!$C$23)="FRM", FALSE, ISNUMBER(MATCH(C147,'Input Data'!$M$18:$M$30,0)))</f>
        <v>0</v>
      </c>
      <c r="B147" s="8">
        <f>IF($A147, _xlfn.XLOOKUP(C147,'Input Data'!$M$17:$M$29,'Input Data'!$N$17:$N$29),$B146)</f>
        <v>0.06</v>
      </c>
      <c r="C147" s="10">
        <f t="shared" si="13"/>
        <v>145</v>
      </c>
      <c r="D147" s="18">
        <f t="shared" si="14"/>
        <v>7039340.438202804</v>
      </c>
      <c r="E147" s="18">
        <f>IF('Input Data'!$E$23=0,G147,IF(OR(D147&lt;=0,C147&gt;'Input Data'!$B$23*12),0,IF(AND(C147='Input Data'!$B$23*12,'Input Data'!$E$23&gt;'Input Data'!$B$23),D147+D147*B147/12,IF('Input Data'!$C$23="FRM",-PMT($B$3/12,'Input Data'!$E$23*12,$D$3),IF($A147,-PMT(B147/12,('Input Data'!$E$23*12)-C147+1,D147),E146)))))</f>
        <v>65094.431363418102</v>
      </c>
      <c r="F147" s="18">
        <f t="shared" si="11"/>
        <v>6974246.0068393862</v>
      </c>
      <c r="G147" s="18">
        <f>IF(C147&gt;'Input Data'!$B$23*12,0,D147*B147/12)</f>
        <v>35196.702191014017</v>
      </c>
      <c r="H147" s="18">
        <f t="shared" si="10"/>
        <v>29897.729172404084</v>
      </c>
      <c r="I147" s="18">
        <f t="shared" si="12"/>
        <v>7009442.7090304</v>
      </c>
    </row>
    <row r="148" spans="1:9" x14ac:dyDescent="0.25">
      <c r="A148" t="b">
        <f>IF(('Input Data'!$C$23)="FRM", FALSE, ISNUMBER(MATCH(C148,'Input Data'!$M$18:$M$30,0)))</f>
        <v>0</v>
      </c>
      <c r="B148" s="8">
        <f>IF($A148, _xlfn.XLOOKUP(C148,'Input Data'!$M$17:$M$29,'Input Data'!$N$17:$N$29),$B147)</f>
        <v>0.06</v>
      </c>
      <c r="C148" s="10">
        <f t="shared" si="13"/>
        <v>146</v>
      </c>
      <c r="D148" s="18">
        <f t="shared" si="14"/>
        <v>7009442.7090304</v>
      </c>
      <c r="E148" s="18">
        <f>IF('Input Data'!$E$23=0,G148,IF(OR(D148&lt;=0,C148&gt;'Input Data'!$B$23*12),0,IF(AND(C148='Input Data'!$B$23*12,'Input Data'!$E$23&gt;'Input Data'!$B$23),D148+D148*B148/12,IF('Input Data'!$C$23="FRM",-PMT($B$3/12,'Input Data'!$E$23*12,$D$3),IF($A148,-PMT(B148/12,('Input Data'!$E$23*12)-C148+1,D148),E147)))))</f>
        <v>65094.431363418102</v>
      </c>
      <c r="F148" s="18">
        <f t="shared" si="11"/>
        <v>6944348.2776669823</v>
      </c>
      <c r="G148" s="18">
        <f>IF(C148&gt;'Input Data'!$B$23*12,0,D148*B148/12)</f>
        <v>35047.213545152001</v>
      </c>
      <c r="H148" s="18">
        <f t="shared" si="10"/>
        <v>30047.217818266101</v>
      </c>
      <c r="I148" s="18">
        <f t="shared" si="12"/>
        <v>6979395.4912121342</v>
      </c>
    </row>
    <row r="149" spans="1:9" x14ac:dyDescent="0.25">
      <c r="A149" t="b">
        <f>IF(('Input Data'!$C$23)="FRM", FALSE, ISNUMBER(MATCH(C149,'Input Data'!$M$18:$M$30,0)))</f>
        <v>0</v>
      </c>
      <c r="B149" s="8">
        <f>IF($A149, _xlfn.XLOOKUP(C149,'Input Data'!$M$17:$M$29,'Input Data'!$N$17:$N$29),$B148)</f>
        <v>0.06</v>
      </c>
      <c r="C149" s="10">
        <f t="shared" si="13"/>
        <v>147</v>
      </c>
      <c r="D149" s="18">
        <f t="shared" si="14"/>
        <v>6979395.4912121342</v>
      </c>
      <c r="E149" s="18">
        <f>IF('Input Data'!$E$23=0,G149,IF(OR(D149&lt;=0,C149&gt;'Input Data'!$B$23*12),0,IF(AND(C149='Input Data'!$B$23*12,'Input Data'!$E$23&gt;'Input Data'!$B$23),D149+D149*B149/12,IF('Input Data'!$C$23="FRM",-PMT($B$3/12,'Input Data'!$E$23*12,$D$3),IF($A149,-PMT(B149/12,('Input Data'!$E$23*12)-C149+1,D149),E148)))))</f>
        <v>65094.431363418102</v>
      </c>
      <c r="F149" s="18">
        <f t="shared" si="11"/>
        <v>6914301.0598487165</v>
      </c>
      <c r="G149" s="18">
        <f>IF(C149&gt;'Input Data'!$B$23*12,0,D149*B149/12)</f>
        <v>34896.977456060667</v>
      </c>
      <c r="H149" s="18">
        <f t="shared" si="10"/>
        <v>30197.453907357434</v>
      </c>
      <c r="I149" s="18">
        <f t="shared" si="12"/>
        <v>6949198.0373047767</v>
      </c>
    </row>
    <row r="150" spans="1:9" x14ac:dyDescent="0.25">
      <c r="A150" t="b">
        <f>IF(('Input Data'!$C$23)="FRM", FALSE, ISNUMBER(MATCH(C150,'Input Data'!$M$18:$M$30,0)))</f>
        <v>0</v>
      </c>
      <c r="B150" s="8">
        <f>IF($A150, _xlfn.XLOOKUP(C150,'Input Data'!$M$17:$M$29,'Input Data'!$N$17:$N$29),$B149)</f>
        <v>0.06</v>
      </c>
      <c r="C150" s="10">
        <f t="shared" si="13"/>
        <v>148</v>
      </c>
      <c r="D150" s="18">
        <f t="shared" si="14"/>
        <v>6949198.0373047767</v>
      </c>
      <c r="E150" s="18">
        <f>IF('Input Data'!$E$23=0,G150,IF(OR(D150&lt;=0,C150&gt;'Input Data'!$B$23*12),0,IF(AND(C150='Input Data'!$B$23*12,'Input Data'!$E$23&gt;'Input Data'!$B$23),D150+D150*B150/12,IF('Input Data'!$C$23="FRM",-PMT($B$3/12,'Input Data'!$E$23*12,$D$3),IF($A150,-PMT(B150/12,('Input Data'!$E$23*12)-C150+1,D150),E149)))))</f>
        <v>65094.431363418102</v>
      </c>
      <c r="F150" s="18">
        <f t="shared" si="11"/>
        <v>6884103.605941359</v>
      </c>
      <c r="G150" s="18">
        <f>IF(C150&gt;'Input Data'!$B$23*12,0,D150*B150/12)</f>
        <v>34745.990186523886</v>
      </c>
      <c r="H150" s="18">
        <f t="shared" si="10"/>
        <v>30348.441176894215</v>
      </c>
      <c r="I150" s="18">
        <f t="shared" si="12"/>
        <v>6918849.5961278826</v>
      </c>
    </row>
    <row r="151" spans="1:9" x14ac:dyDescent="0.25">
      <c r="A151" t="b">
        <f>IF(('Input Data'!$C$23)="FRM", FALSE, ISNUMBER(MATCH(C151,'Input Data'!$M$18:$M$30,0)))</f>
        <v>0</v>
      </c>
      <c r="B151" s="8">
        <f>IF($A151, _xlfn.XLOOKUP(C151,'Input Data'!$M$17:$M$29,'Input Data'!$N$17:$N$29),$B150)</f>
        <v>0.06</v>
      </c>
      <c r="C151" s="10">
        <f t="shared" si="13"/>
        <v>149</v>
      </c>
      <c r="D151" s="18">
        <f t="shared" si="14"/>
        <v>6918849.5961278826</v>
      </c>
      <c r="E151" s="18">
        <f>IF('Input Data'!$E$23=0,G151,IF(OR(D151&lt;=0,C151&gt;'Input Data'!$B$23*12),0,IF(AND(C151='Input Data'!$B$23*12,'Input Data'!$E$23&gt;'Input Data'!$B$23),D151+D151*B151/12,IF('Input Data'!$C$23="FRM",-PMT($B$3/12,'Input Data'!$E$23*12,$D$3),IF($A151,-PMT(B151/12,('Input Data'!$E$23*12)-C151+1,D151),E150)))))</f>
        <v>65094.431363418102</v>
      </c>
      <c r="F151" s="18">
        <f t="shared" si="11"/>
        <v>6853755.1647644648</v>
      </c>
      <c r="G151" s="18">
        <f>IF(C151&gt;'Input Data'!$B$23*12,0,D151*B151/12)</f>
        <v>34594.247980639411</v>
      </c>
      <c r="H151" s="18">
        <f t="shared" si="10"/>
        <v>30500.18338277869</v>
      </c>
      <c r="I151" s="18">
        <f t="shared" si="12"/>
        <v>6888349.4127451042</v>
      </c>
    </row>
    <row r="152" spans="1:9" x14ac:dyDescent="0.25">
      <c r="A152" t="b">
        <f>IF(('Input Data'!$C$23)="FRM", FALSE, ISNUMBER(MATCH(C152,'Input Data'!$M$18:$M$30,0)))</f>
        <v>0</v>
      </c>
      <c r="B152" s="8">
        <f>IF($A152, _xlfn.XLOOKUP(C152,'Input Data'!$M$17:$M$29,'Input Data'!$N$17:$N$29),$B151)</f>
        <v>0.06</v>
      </c>
      <c r="C152" s="10">
        <f t="shared" si="13"/>
        <v>150</v>
      </c>
      <c r="D152" s="18">
        <f t="shared" si="14"/>
        <v>6888349.4127451042</v>
      </c>
      <c r="E152" s="18">
        <f>IF('Input Data'!$E$23=0,G152,IF(OR(D152&lt;=0,C152&gt;'Input Data'!$B$23*12),0,IF(AND(C152='Input Data'!$B$23*12,'Input Data'!$E$23&gt;'Input Data'!$B$23),D152+D152*B152/12,IF('Input Data'!$C$23="FRM",-PMT($B$3/12,'Input Data'!$E$23*12,$D$3),IF($A152,-PMT(B152/12,('Input Data'!$E$23*12)-C152+1,D152),E151)))))</f>
        <v>65094.431363418102</v>
      </c>
      <c r="F152" s="18">
        <f t="shared" si="11"/>
        <v>6823254.9813816864</v>
      </c>
      <c r="G152" s="18">
        <f>IF(C152&gt;'Input Data'!$B$23*12,0,D152*B152/12)</f>
        <v>34441.747063725517</v>
      </c>
      <c r="H152" s="18">
        <f t="shared" si="10"/>
        <v>30652.684299692584</v>
      </c>
      <c r="I152" s="18">
        <f t="shared" si="12"/>
        <v>6857696.7284454117</v>
      </c>
    </row>
    <row r="153" spans="1:9" x14ac:dyDescent="0.25">
      <c r="A153" t="b">
        <f>IF(('Input Data'!$C$23)="FRM", FALSE, ISNUMBER(MATCH(C153,'Input Data'!$M$18:$M$30,0)))</f>
        <v>0</v>
      </c>
      <c r="B153" s="8">
        <f>IF($A153, _xlfn.XLOOKUP(C153,'Input Data'!$M$17:$M$29,'Input Data'!$N$17:$N$29),$B152)</f>
        <v>0.06</v>
      </c>
      <c r="C153" s="10">
        <f t="shared" si="13"/>
        <v>151</v>
      </c>
      <c r="D153" s="18">
        <f t="shared" si="14"/>
        <v>6857696.7284454117</v>
      </c>
      <c r="E153" s="18">
        <f>IF('Input Data'!$E$23=0,G153,IF(OR(D153&lt;=0,C153&gt;'Input Data'!$B$23*12),0,IF(AND(C153='Input Data'!$B$23*12,'Input Data'!$E$23&gt;'Input Data'!$B$23),D153+D153*B153/12,IF('Input Data'!$C$23="FRM",-PMT($B$3/12,'Input Data'!$E$23*12,$D$3),IF($A153,-PMT(B153/12,('Input Data'!$E$23*12)-C153+1,D153),E152)))))</f>
        <v>65094.431363418102</v>
      </c>
      <c r="F153" s="18">
        <f t="shared" si="11"/>
        <v>6792602.2970819939</v>
      </c>
      <c r="G153" s="18">
        <f>IF(C153&gt;'Input Data'!$B$23*12,0,D153*B153/12)</f>
        <v>34288.483642227053</v>
      </c>
      <c r="H153" s="18">
        <f t="shared" si="10"/>
        <v>30805.947721191049</v>
      </c>
      <c r="I153" s="18">
        <f t="shared" si="12"/>
        <v>6826890.7807242209</v>
      </c>
    </row>
    <row r="154" spans="1:9" x14ac:dyDescent="0.25">
      <c r="A154" t="b">
        <f>IF(('Input Data'!$C$23)="FRM", FALSE, ISNUMBER(MATCH(C154,'Input Data'!$M$18:$M$30,0)))</f>
        <v>0</v>
      </c>
      <c r="B154" s="8">
        <f>IF($A154, _xlfn.XLOOKUP(C154,'Input Data'!$M$17:$M$29,'Input Data'!$N$17:$N$29),$B153)</f>
        <v>0.06</v>
      </c>
      <c r="C154" s="10">
        <f t="shared" si="13"/>
        <v>152</v>
      </c>
      <c r="D154" s="18">
        <f t="shared" si="14"/>
        <v>6826890.7807242209</v>
      </c>
      <c r="E154" s="18">
        <f>IF('Input Data'!$E$23=0,G154,IF(OR(D154&lt;=0,C154&gt;'Input Data'!$B$23*12),0,IF(AND(C154='Input Data'!$B$23*12,'Input Data'!$E$23&gt;'Input Data'!$B$23),D154+D154*B154/12,IF('Input Data'!$C$23="FRM",-PMT($B$3/12,'Input Data'!$E$23*12,$D$3),IF($A154,-PMT(B154/12,('Input Data'!$E$23*12)-C154+1,D154),E153)))))</f>
        <v>65094.431363418102</v>
      </c>
      <c r="F154" s="18">
        <f t="shared" si="11"/>
        <v>6761796.3493608031</v>
      </c>
      <c r="G154" s="18">
        <f>IF(C154&gt;'Input Data'!$B$23*12,0,D154*B154/12)</f>
        <v>34134.453903621099</v>
      </c>
      <c r="H154" s="18">
        <f t="shared" si="10"/>
        <v>30959.977459797003</v>
      </c>
      <c r="I154" s="18">
        <f t="shared" si="12"/>
        <v>6795930.8032644242</v>
      </c>
    </row>
    <row r="155" spans="1:9" x14ac:dyDescent="0.25">
      <c r="A155" t="b">
        <f>IF(('Input Data'!$C$23)="FRM", FALSE, ISNUMBER(MATCH(C155,'Input Data'!$M$18:$M$30,0)))</f>
        <v>0</v>
      </c>
      <c r="B155" s="8">
        <f>IF($A155, _xlfn.XLOOKUP(C155,'Input Data'!$M$17:$M$29,'Input Data'!$N$17:$N$29),$B154)</f>
        <v>0.06</v>
      </c>
      <c r="C155" s="10">
        <f t="shared" si="13"/>
        <v>153</v>
      </c>
      <c r="D155" s="18">
        <f t="shared" si="14"/>
        <v>6795930.8032644242</v>
      </c>
      <c r="E155" s="18">
        <f>IF('Input Data'!$E$23=0,G155,IF(OR(D155&lt;=0,C155&gt;'Input Data'!$B$23*12),0,IF(AND(C155='Input Data'!$B$23*12,'Input Data'!$E$23&gt;'Input Data'!$B$23),D155+D155*B155/12,IF('Input Data'!$C$23="FRM",-PMT($B$3/12,'Input Data'!$E$23*12,$D$3),IF($A155,-PMT(B155/12,('Input Data'!$E$23*12)-C155+1,D155),E154)))))</f>
        <v>65094.431363418102</v>
      </c>
      <c r="F155" s="18">
        <f t="shared" si="11"/>
        <v>6730836.3719010064</v>
      </c>
      <c r="G155" s="18">
        <f>IF(C155&gt;'Input Data'!$B$23*12,0,D155*B155/12)</f>
        <v>33979.654016322122</v>
      </c>
      <c r="H155" s="18">
        <f t="shared" si="10"/>
        <v>31114.77734709598</v>
      </c>
      <c r="I155" s="18">
        <f t="shared" si="12"/>
        <v>6764816.025917328</v>
      </c>
    </row>
    <row r="156" spans="1:9" x14ac:dyDescent="0.25">
      <c r="A156" t="b">
        <f>IF(('Input Data'!$C$23)="FRM", FALSE, ISNUMBER(MATCH(C156,'Input Data'!$M$18:$M$30,0)))</f>
        <v>0</v>
      </c>
      <c r="B156" s="8">
        <f>IF($A156, _xlfn.XLOOKUP(C156,'Input Data'!$M$17:$M$29,'Input Data'!$N$17:$N$29),$B155)</f>
        <v>0.06</v>
      </c>
      <c r="C156" s="10">
        <f t="shared" si="13"/>
        <v>154</v>
      </c>
      <c r="D156" s="18">
        <f t="shared" si="14"/>
        <v>6764816.025917328</v>
      </c>
      <c r="E156" s="18">
        <f>IF('Input Data'!$E$23=0,G156,IF(OR(D156&lt;=0,C156&gt;'Input Data'!$B$23*12),0,IF(AND(C156='Input Data'!$B$23*12,'Input Data'!$E$23&gt;'Input Data'!$B$23),D156+D156*B156/12,IF('Input Data'!$C$23="FRM",-PMT($B$3/12,'Input Data'!$E$23*12,$D$3),IF($A156,-PMT(B156/12,('Input Data'!$E$23*12)-C156+1,D156),E155)))))</f>
        <v>65094.431363418102</v>
      </c>
      <c r="F156" s="18">
        <f t="shared" si="11"/>
        <v>6699721.5945539102</v>
      </c>
      <c r="G156" s="18">
        <f>IF(C156&gt;'Input Data'!$B$23*12,0,D156*B156/12)</f>
        <v>33824.08012958664</v>
      </c>
      <c r="H156" s="18">
        <f t="shared" si="10"/>
        <v>31270.351233831461</v>
      </c>
      <c r="I156" s="18">
        <f t="shared" si="12"/>
        <v>6733545.6746834964</v>
      </c>
    </row>
    <row r="157" spans="1:9" x14ac:dyDescent="0.25">
      <c r="A157" t="b">
        <f>IF(('Input Data'!$C$23)="FRM", FALSE, ISNUMBER(MATCH(C157,'Input Data'!$M$18:$M$30,0)))</f>
        <v>0</v>
      </c>
      <c r="B157" s="8">
        <f>IF($A157, _xlfn.XLOOKUP(C157,'Input Data'!$M$17:$M$29,'Input Data'!$N$17:$N$29),$B156)</f>
        <v>0.06</v>
      </c>
      <c r="C157" s="10">
        <f t="shared" si="13"/>
        <v>155</v>
      </c>
      <c r="D157" s="18">
        <f t="shared" si="14"/>
        <v>6733545.6746834964</v>
      </c>
      <c r="E157" s="18">
        <f>IF('Input Data'!$E$23=0,G157,IF(OR(D157&lt;=0,C157&gt;'Input Data'!$B$23*12),0,IF(AND(C157='Input Data'!$B$23*12,'Input Data'!$E$23&gt;'Input Data'!$B$23),D157+D157*B157/12,IF('Input Data'!$C$23="FRM",-PMT($B$3/12,'Input Data'!$E$23*12,$D$3),IF($A157,-PMT(B157/12,('Input Data'!$E$23*12)-C157+1,D157),E156)))))</f>
        <v>65094.431363418102</v>
      </c>
      <c r="F157" s="18">
        <f t="shared" si="11"/>
        <v>6668451.2433200786</v>
      </c>
      <c r="G157" s="18">
        <f>IF(C157&gt;'Input Data'!$B$23*12,0,D157*B157/12)</f>
        <v>33667.728373417478</v>
      </c>
      <c r="H157" s="18">
        <f t="shared" si="10"/>
        <v>31426.702990000624</v>
      </c>
      <c r="I157" s="18">
        <f t="shared" si="12"/>
        <v>6702118.9716934953</v>
      </c>
    </row>
    <row r="158" spans="1:9" x14ac:dyDescent="0.25">
      <c r="A158" t="b">
        <f>IF(('Input Data'!$C$23)="FRM", FALSE, ISNUMBER(MATCH(C158,'Input Data'!$M$18:$M$30,0)))</f>
        <v>0</v>
      </c>
      <c r="B158" s="8">
        <f>IF($A158, _xlfn.XLOOKUP(C158,'Input Data'!$M$17:$M$29,'Input Data'!$N$17:$N$29),$B157)</f>
        <v>0.06</v>
      </c>
      <c r="C158" s="10">
        <f t="shared" si="13"/>
        <v>156</v>
      </c>
      <c r="D158" s="18">
        <f t="shared" si="14"/>
        <v>6702118.9716934953</v>
      </c>
      <c r="E158" s="18">
        <f>IF('Input Data'!$E$23=0,G158,IF(OR(D158&lt;=0,C158&gt;'Input Data'!$B$23*12),0,IF(AND(C158='Input Data'!$B$23*12,'Input Data'!$E$23&gt;'Input Data'!$B$23),D158+D158*B158/12,IF('Input Data'!$C$23="FRM",-PMT($B$3/12,'Input Data'!$E$23*12,$D$3),IF($A158,-PMT(B158/12,('Input Data'!$E$23*12)-C158+1,D158),E157)))))</f>
        <v>65094.431363418102</v>
      </c>
      <c r="F158" s="18">
        <f t="shared" si="11"/>
        <v>6637024.5403300775</v>
      </c>
      <c r="G158" s="18">
        <f>IF(C158&gt;'Input Data'!$B$23*12,0,D158*B158/12)</f>
        <v>33510.594858467477</v>
      </c>
      <c r="H158" s="18">
        <f t="shared" si="10"/>
        <v>31583.836504950625</v>
      </c>
      <c r="I158" s="18">
        <f t="shared" si="12"/>
        <v>6670535.1351885451</v>
      </c>
    </row>
    <row r="159" spans="1:9" x14ac:dyDescent="0.25">
      <c r="A159" t="b">
        <f>IF(('Input Data'!$C$23)="FRM", FALSE, ISNUMBER(MATCH(C159,'Input Data'!$M$18:$M$30,0)))</f>
        <v>0</v>
      </c>
      <c r="B159" s="8">
        <f>IF($A159, _xlfn.XLOOKUP(C159,'Input Data'!$M$17:$M$29,'Input Data'!$N$17:$N$29),$B158)</f>
        <v>0.06</v>
      </c>
      <c r="C159" s="10">
        <f t="shared" si="13"/>
        <v>157</v>
      </c>
      <c r="D159" s="18">
        <f t="shared" si="14"/>
        <v>6670535.1351885451</v>
      </c>
      <c r="E159" s="18">
        <f>IF('Input Data'!$E$23=0,G159,IF(OR(D159&lt;=0,C159&gt;'Input Data'!$B$23*12),0,IF(AND(C159='Input Data'!$B$23*12,'Input Data'!$E$23&gt;'Input Data'!$B$23),D159+D159*B159/12,IF('Input Data'!$C$23="FRM",-PMT($B$3/12,'Input Data'!$E$23*12,$D$3),IF($A159,-PMT(B159/12,('Input Data'!$E$23*12)-C159+1,D159),E158)))))</f>
        <v>65094.431363418102</v>
      </c>
      <c r="F159" s="18">
        <f t="shared" si="11"/>
        <v>6605440.7038251273</v>
      </c>
      <c r="G159" s="18">
        <f>IF(C159&gt;'Input Data'!$B$23*12,0,D159*B159/12)</f>
        <v>33352.675675942723</v>
      </c>
      <c r="H159" s="18">
        <f t="shared" si="10"/>
        <v>31741.755687475379</v>
      </c>
      <c r="I159" s="18">
        <f t="shared" si="12"/>
        <v>6638793.3795010699</v>
      </c>
    </row>
    <row r="160" spans="1:9" x14ac:dyDescent="0.25">
      <c r="A160" t="b">
        <f>IF(('Input Data'!$C$23)="FRM", FALSE, ISNUMBER(MATCH(C160,'Input Data'!$M$18:$M$30,0)))</f>
        <v>0</v>
      </c>
      <c r="B160" s="8">
        <f>IF($A160, _xlfn.XLOOKUP(C160,'Input Data'!$M$17:$M$29,'Input Data'!$N$17:$N$29),$B159)</f>
        <v>0.06</v>
      </c>
      <c r="C160" s="10">
        <f t="shared" si="13"/>
        <v>158</v>
      </c>
      <c r="D160" s="18">
        <f t="shared" si="14"/>
        <v>6638793.3795010699</v>
      </c>
      <c r="E160" s="18">
        <f>IF('Input Data'!$E$23=0,G160,IF(OR(D160&lt;=0,C160&gt;'Input Data'!$B$23*12),0,IF(AND(C160='Input Data'!$B$23*12,'Input Data'!$E$23&gt;'Input Data'!$B$23),D160+D160*B160/12,IF('Input Data'!$C$23="FRM",-PMT($B$3/12,'Input Data'!$E$23*12,$D$3),IF($A160,-PMT(B160/12,('Input Data'!$E$23*12)-C160+1,D160),E159)))))</f>
        <v>65094.431363418102</v>
      </c>
      <c r="F160" s="18">
        <f t="shared" si="11"/>
        <v>6573698.9481376521</v>
      </c>
      <c r="G160" s="18">
        <f>IF(C160&gt;'Input Data'!$B$23*12,0,D160*B160/12)</f>
        <v>33193.96689750535</v>
      </c>
      <c r="H160" s="18">
        <f t="shared" si="10"/>
        <v>31900.464465912752</v>
      </c>
      <c r="I160" s="18">
        <f t="shared" si="12"/>
        <v>6606892.9150351575</v>
      </c>
    </row>
    <row r="161" spans="1:9" x14ac:dyDescent="0.25">
      <c r="A161" t="b">
        <f>IF(('Input Data'!$C$23)="FRM", FALSE, ISNUMBER(MATCH(C161,'Input Data'!$M$18:$M$30,0)))</f>
        <v>0</v>
      </c>
      <c r="B161" s="8">
        <f>IF($A161, _xlfn.XLOOKUP(C161,'Input Data'!$M$17:$M$29,'Input Data'!$N$17:$N$29),$B160)</f>
        <v>0.06</v>
      </c>
      <c r="C161" s="10">
        <f t="shared" si="13"/>
        <v>159</v>
      </c>
      <c r="D161" s="18">
        <f t="shared" si="14"/>
        <v>6606892.9150351575</v>
      </c>
      <c r="E161" s="18">
        <f>IF('Input Data'!$E$23=0,G161,IF(OR(D161&lt;=0,C161&gt;'Input Data'!$B$23*12),0,IF(AND(C161='Input Data'!$B$23*12,'Input Data'!$E$23&gt;'Input Data'!$B$23),D161+D161*B161/12,IF('Input Data'!$C$23="FRM",-PMT($B$3/12,'Input Data'!$E$23*12,$D$3),IF($A161,-PMT(B161/12,('Input Data'!$E$23*12)-C161+1,D161),E160)))))</f>
        <v>65094.431363418102</v>
      </c>
      <c r="F161" s="18">
        <f t="shared" si="11"/>
        <v>6541798.4836717397</v>
      </c>
      <c r="G161" s="18">
        <f>IF(C161&gt;'Input Data'!$B$23*12,0,D161*B161/12)</f>
        <v>33034.464575175785</v>
      </c>
      <c r="H161" s="18">
        <f t="shared" si="10"/>
        <v>32059.966788242316</v>
      </c>
      <c r="I161" s="18">
        <f t="shared" si="12"/>
        <v>6574832.9482469149</v>
      </c>
    </row>
    <row r="162" spans="1:9" x14ac:dyDescent="0.25">
      <c r="A162" t="b">
        <f>IF(('Input Data'!$C$23)="FRM", FALSE, ISNUMBER(MATCH(C162,'Input Data'!$M$18:$M$30,0)))</f>
        <v>0</v>
      </c>
      <c r="B162" s="8">
        <f>IF($A162, _xlfn.XLOOKUP(C162,'Input Data'!$M$17:$M$29,'Input Data'!$N$17:$N$29),$B161)</f>
        <v>0.06</v>
      </c>
      <c r="C162" s="10">
        <f t="shared" si="13"/>
        <v>160</v>
      </c>
      <c r="D162" s="18">
        <f t="shared" si="14"/>
        <v>6574832.9482469149</v>
      </c>
      <c r="E162" s="18">
        <f>IF('Input Data'!$E$23=0,G162,IF(OR(D162&lt;=0,C162&gt;'Input Data'!$B$23*12),0,IF(AND(C162='Input Data'!$B$23*12,'Input Data'!$E$23&gt;'Input Data'!$B$23),D162+D162*B162/12,IF('Input Data'!$C$23="FRM",-PMT($B$3/12,'Input Data'!$E$23*12,$D$3),IF($A162,-PMT(B162/12,('Input Data'!$E$23*12)-C162+1,D162),E161)))))</f>
        <v>65094.431363418102</v>
      </c>
      <c r="F162" s="18">
        <f t="shared" si="11"/>
        <v>6509738.5168834971</v>
      </c>
      <c r="G162" s="18">
        <f>IF(C162&gt;'Input Data'!$B$23*12,0,D162*B162/12)</f>
        <v>32874.16474123457</v>
      </c>
      <c r="H162" s="18">
        <f t="shared" si="10"/>
        <v>32220.266622183532</v>
      </c>
      <c r="I162" s="18">
        <f t="shared" si="12"/>
        <v>6542612.681624731</v>
      </c>
    </row>
    <row r="163" spans="1:9" x14ac:dyDescent="0.25">
      <c r="A163" t="b">
        <f>IF(('Input Data'!$C$23)="FRM", FALSE, ISNUMBER(MATCH(C163,'Input Data'!$M$18:$M$30,0)))</f>
        <v>0</v>
      </c>
      <c r="B163" s="8">
        <f>IF($A163, _xlfn.XLOOKUP(C163,'Input Data'!$M$17:$M$29,'Input Data'!$N$17:$N$29),$B162)</f>
        <v>0.06</v>
      </c>
      <c r="C163" s="10">
        <f t="shared" si="13"/>
        <v>161</v>
      </c>
      <c r="D163" s="18">
        <f t="shared" si="14"/>
        <v>6542612.681624731</v>
      </c>
      <c r="E163" s="18">
        <f>IF('Input Data'!$E$23=0,G163,IF(OR(D163&lt;=0,C163&gt;'Input Data'!$B$23*12),0,IF(AND(C163='Input Data'!$B$23*12,'Input Data'!$E$23&gt;'Input Data'!$B$23),D163+D163*B163/12,IF('Input Data'!$C$23="FRM",-PMT($B$3/12,'Input Data'!$E$23*12,$D$3),IF($A163,-PMT(B163/12,('Input Data'!$E$23*12)-C163+1,D163),E162)))))</f>
        <v>65094.431363418102</v>
      </c>
      <c r="F163" s="18">
        <f t="shared" si="11"/>
        <v>6477518.2502613133</v>
      </c>
      <c r="G163" s="18">
        <f>IF(C163&gt;'Input Data'!$B$23*12,0,D163*B163/12)</f>
        <v>32713.063408123653</v>
      </c>
      <c r="H163" s="18">
        <f t="shared" si="10"/>
        <v>32381.367955294449</v>
      </c>
      <c r="I163" s="18">
        <f t="shared" si="12"/>
        <v>6510231.3136694366</v>
      </c>
    </row>
    <row r="164" spans="1:9" x14ac:dyDescent="0.25">
      <c r="A164" t="b">
        <f>IF(('Input Data'!$C$23)="FRM", FALSE, ISNUMBER(MATCH(C164,'Input Data'!$M$18:$M$30,0)))</f>
        <v>0</v>
      </c>
      <c r="B164" s="8">
        <f>IF($A164, _xlfn.XLOOKUP(C164,'Input Data'!$M$17:$M$29,'Input Data'!$N$17:$N$29),$B163)</f>
        <v>0.06</v>
      </c>
      <c r="C164" s="10">
        <f t="shared" si="13"/>
        <v>162</v>
      </c>
      <c r="D164" s="18">
        <f t="shared" si="14"/>
        <v>6510231.3136694366</v>
      </c>
      <c r="E164" s="18">
        <f>IF('Input Data'!$E$23=0,G164,IF(OR(D164&lt;=0,C164&gt;'Input Data'!$B$23*12),0,IF(AND(C164='Input Data'!$B$23*12,'Input Data'!$E$23&gt;'Input Data'!$B$23),D164+D164*B164/12,IF('Input Data'!$C$23="FRM",-PMT($B$3/12,'Input Data'!$E$23*12,$D$3),IF($A164,-PMT(B164/12,('Input Data'!$E$23*12)-C164+1,D164),E163)))))</f>
        <v>65094.431363418102</v>
      </c>
      <c r="F164" s="18">
        <f t="shared" si="11"/>
        <v>6445136.8823060188</v>
      </c>
      <c r="G164" s="18">
        <f>IF(C164&gt;'Input Data'!$B$23*12,0,D164*B164/12)</f>
        <v>32551.156568347182</v>
      </c>
      <c r="H164" s="18">
        <f t="shared" si="10"/>
        <v>32543.27479507092</v>
      </c>
      <c r="I164" s="18">
        <f t="shared" si="12"/>
        <v>6477688.0388743654</v>
      </c>
    </row>
    <row r="165" spans="1:9" x14ac:dyDescent="0.25">
      <c r="A165" t="b">
        <f>IF(('Input Data'!$C$23)="FRM", FALSE, ISNUMBER(MATCH(C165,'Input Data'!$M$18:$M$30,0)))</f>
        <v>0</v>
      </c>
      <c r="B165" s="8">
        <f>IF($A165, _xlfn.XLOOKUP(C165,'Input Data'!$M$17:$M$29,'Input Data'!$N$17:$N$29),$B164)</f>
        <v>0.06</v>
      </c>
      <c r="C165" s="10">
        <f t="shared" si="13"/>
        <v>163</v>
      </c>
      <c r="D165" s="18">
        <f t="shared" si="14"/>
        <v>6477688.0388743654</v>
      </c>
      <c r="E165" s="18">
        <f>IF('Input Data'!$E$23=0,G165,IF(OR(D165&lt;=0,C165&gt;'Input Data'!$B$23*12),0,IF(AND(C165='Input Data'!$B$23*12,'Input Data'!$E$23&gt;'Input Data'!$B$23),D165+D165*B165/12,IF('Input Data'!$C$23="FRM",-PMT($B$3/12,'Input Data'!$E$23*12,$D$3),IF($A165,-PMT(B165/12,('Input Data'!$E$23*12)-C165+1,D165),E164)))))</f>
        <v>65094.431363418102</v>
      </c>
      <c r="F165" s="18">
        <f t="shared" si="11"/>
        <v>6412593.6075109476</v>
      </c>
      <c r="G165" s="18">
        <f>IF(C165&gt;'Input Data'!$B$23*12,0,D165*B165/12)</f>
        <v>32388.440194371826</v>
      </c>
      <c r="H165" s="18">
        <f t="shared" si="10"/>
        <v>32705.991169046276</v>
      </c>
      <c r="I165" s="18">
        <f t="shared" si="12"/>
        <v>6444982.0477053188</v>
      </c>
    </row>
    <row r="166" spans="1:9" x14ac:dyDescent="0.25">
      <c r="A166" t="b">
        <f>IF(('Input Data'!$C$23)="FRM", FALSE, ISNUMBER(MATCH(C166,'Input Data'!$M$18:$M$30,0)))</f>
        <v>0</v>
      </c>
      <c r="B166" s="8">
        <f>IF($A166, _xlfn.XLOOKUP(C166,'Input Data'!$M$17:$M$29,'Input Data'!$N$17:$N$29),$B165)</f>
        <v>0.06</v>
      </c>
      <c r="C166" s="10">
        <f t="shared" si="13"/>
        <v>164</v>
      </c>
      <c r="D166" s="18">
        <f t="shared" si="14"/>
        <v>6444982.0477053188</v>
      </c>
      <c r="E166" s="18">
        <f>IF('Input Data'!$E$23=0,G166,IF(OR(D166&lt;=0,C166&gt;'Input Data'!$B$23*12),0,IF(AND(C166='Input Data'!$B$23*12,'Input Data'!$E$23&gt;'Input Data'!$B$23),D166+D166*B166/12,IF('Input Data'!$C$23="FRM",-PMT($B$3/12,'Input Data'!$E$23*12,$D$3),IF($A166,-PMT(B166/12,('Input Data'!$E$23*12)-C166+1,D166),E165)))))</f>
        <v>65094.431363418102</v>
      </c>
      <c r="F166" s="18">
        <f t="shared" si="11"/>
        <v>6379887.616341901</v>
      </c>
      <c r="G166" s="18">
        <f>IF(C166&gt;'Input Data'!$B$23*12,0,D166*B166/12)</f>
        <v>32224.910238526591</v>
      </c>
      <c r="H166" s="18">
        <f t="shared" si="10"/>
        <v>32869.521124891515</v>
      </c>
      <c r="I166" s="18">
        <f t="shared" si="12"/>
        <v>6412112.5265804268</v>
      </c>
    </row>
    <row r="167" spans="1:9" x14ac:dyDescent="0.25">
      <c r="A167" t="b">
        <f>IF(('Input Data'!$C$23)="FRM", FALSE, ISNUMBER(MATCH(C167,'Input Data'!$M$18:$M$30,0)))</f>
        <v>0</v>
      </c>
      <c r="B167" s="8">
        <f>IF($A167, _xlfn.XLOOKUP(C167,'Input Data'!$M$17:$M$29,'Input Data'!$N$17:$N$29),$B166)</f>
        <v>0.06</v>
      </c>
      <c r="C167" s="10">
        <f t="shared" si="13"/>
        <v>165</v>
      </c>
      <c r="D167" s="18">
        <f t="shared" si="14"/>
        <v>6412112.5265804268</v>
      </c>
      <c r="E167" s="18">
        <f>IF('Input Data'!$E$23=0,G167,IF(OR(D167&lt;=0,C167&gt;'Input Data'!$B$23*12),0,IF(AND(C167='Input Data'!$B$23*12,'Input Data'!$E$23&gt;'Input Data'!$B$23),D167+D167*B167/12,IF('Input Data'!$C$23="FRM",-PMT($B$3/12,'Input Data'!$E$23*12,$D$3),IF($A167,-PMT(B167/12,('Input Data'!$E$23*12)-C167+1,D167),E166)))))</f>
        <v>65094.431363418102</v>
      </c>
      <c r="F167" s="18">
        <f t="shared" si="11"/>
        <v>6347018.0952170091</v>
      </c>
      <c r="G167" s="18">
        <f>IF(C167&gt;'Input Data'!$B$23*12,0,D167*B167/12)</f>
        <v>32060.562632902132</v>
      </c>
      <c r="H167" s="18">
        <f t="shared" si="10"/>
        <v>33033.868730515969</v>
      </c>
      <c r="I167" s="18">
        <f t="shared" si="12"/>
        <v>6379078.6578499107</v>
      </c>
    </row>
    <row r="168" spans="1:9" x14ac:dyDescent="0.25">
      <c r="A168" t="b">
        <f>IF(('Input Data'!$C$23)="FRM", FALSE, ISNUMBER(MATCH(C168,'Input Data'!$M$18:$M$30,0)))</f>
        <v>0</v>
      </c>
      <c r="B168" s="8">
        <f>IF($A168, _xlfn.XLOOKUP(C168,'Input Data'!$M$17:$M$29,'Input Data'!$N$17:$N$29),$B167)</f>
        <v>0.06</v>
      </c>
      <c r="C168" s="10">
        <f t="shared" si="13"/>
        <v>166</v>
      </c>
      <c r="D168" s="18">
        <f t="shared" si="14"/>
        <v>6379078.6578499107</v>
      </c>
      <c r="E168" s="18">
        <f>IF('Input Data'!$E$23=0,G168,IF(OR(D168&lt;=0,C168&gt;'Input Data'!$B$23*12),0,IF(AND(C168='Input Data'!$B$23*12,'Input Data'!$E$23&gt;'Input Data'!$B$23),D168+D168*B168/12,IF('Input Data'!$C$23="FRM",-PMT($B$3/12,'Input Data'!$E$23*12,$D$3),IF($A168,-PMT(B168/12,('Input Data'!$E$23*12)-C168+1,D168),E167)))))</f>
        <v>65094.431363418102</v>
      </c>
      <c r="F168" s="18">
        <f t="shared" si="11"/>
        <v>6313984.2264864929</v>
      </c>
      <c r="G168" s="18">
        <f>IF(C168&gt;'Input Data'!$B$23*12,0,D168*B168/12)</f>
        <v>31895.39328924955</v>
      </c>
      <c r="H168" s="18">
        <f t="shared" si="10"/>
        <v>33199.038074168551</v>
      </c>
      <c r="I168" s="18">
        <f t="shared" si="12"/>
        <v>6345879.6197757423</v>
      </c>
    </row>
    <row r="169" spans="1:9" x14ac:dyDescent="0.25">
      <c r="A169" t="b">
        <f>IF(('Input Data'!$C$23)="FRM", FALSE, ISNUMBER(MATCH(C169,'Input Data'!$M$18:$M$30,0)))</f>
        <v>0</v>
      </c>
      <c r="B169" s="8">
        <f>IF($A169, _xlfn.XLOOKUP(C169,'Input Data'!$M$17:$M$29,'Input Data'!$N$17:$N$29),$B168)</f>
        <v>0.06</v>
      </c>
      <c r="C169" s="10">
        <f t="shared" si="13"/>
        <v>167</v>
      </c>
      <c r="D169" s="18">
        <f t="shared" si="14"/>
        <v>6345879.6197757423</v>
      </c>
      <c r="E169" s="18">
        <f>IF('Input Data'!$E$23=0,G169,IF(OR(D169&lt;=0,C169&gt;'Input Data'!$B$23*12),0,IF(AND(C169='Input Data'!$B$23*12,'Input Data'!$E$23&gt;'Input Data'!$B$23),D169+D169*B169/12,IF('Input Data'!$C$23="FRM",-PMT($B$3/12,'Input Data'!$E$23*12,$D$3),IF($A169,-PMT(B169/12,('Input Data'!$E$23*12)-C169+1,D169),E168)))))</f>
        <v>65094.431363418102</v>
      </c>
      <c r="F169" s="18">
        <f t="shared" si="11"/>
        <v>6280785.1884123245</v>
      </c>
      <c r="G169" s="18">
        <f>IF(C169&gt;'Input Data'!$B$23*12,0,D169*B169/12)</f>
        <v>31729.398098878708</v>
      </c>
      <c r="H169" s="18">
        <f t="shared" si="10"/>
        <v>33365.033264539394</v>
      </c>
      <c r="I169" s="18">
        <f t="shared" si="12"/>
        <v>6312514.5865112031</v>
      </c>
    </row>
    <row r="170" spans="1:9" x14ac:dyDescent="0.25">
      <c r="A170" t="b">
        <f>IF(('Input Data'!$C$23)="FRM", FALSE, ISNUMBER(MATCH(C170,'Input Data'!$M$18:$M$30,0)))</f>
        <v>0</v>
      </c>
      <c r="B170" s="8">
        <f>IF($A170, _xlfn.XLOOKUP(C170,'Input Data'!$M$17:$M$29,'Input Data'!$N$17:$N$29),$B169)</f>
        <v>0.06</v>
      </c>
      <c r="C170" s="10">
        <f t="shared" si="13"/>
        <v>168</v>
      </c>
      <c r="D170" s="18">
        <f t="shared" si="14"/>
        <v>6312514.5865112031</v>
      </c>
      <c r="E170" s="18">
        <f>IF('Input Data'!$E$23=0,G170,IF(OR(D170&lt;=0,C170&gt;'Input Data'!$B$23*12),0,IF(AND(C170='Input Data'!$B$23*12,'Input Data'!$E$23&gt;'Input Data'!$B$23),D170+D170*B170/12,IF('Input Data'!$C$23="FRM",-PMT($B$3/12,'Input Data'!$E$23*12,$D$3),IF($A170,-PMT(B170/12,('Input Data'!$E$23*12)-C170+1,D170),E169)))))</f>
        <v>65094.431363418102</v>
      </c>
      <c r="F170" s="18">
        <f t="shared" si="11"/>
        <v>6247420.1551477853</v>
      </c>
      <c r="G170" s="18">
        <f>IF(C170&gt;'Input Data'!$B$23*12,0,D170*B170/12)</f>
        <v>31562.572932556013</v>
      </c>
      <c r="H170" s="18">
        <f t="shared" si="10"/>
        <v>33531.858430862092</v>
      </c>
      <c r="I170" s="18">
        <f t="shared" si="12"/>
        <v>6278982.7280803407</v>
      </c>
    </row>
    <row r="171" spans="1:9" x14ac:dyDescent="0.25">
      <c r="A171" t="b">
        <f>IF(('Input Data'!$C$23)="FRM", FALSE, ISNUMBER(MATCH(C171,'Input Data'!$M$18:$M$30,0)))</f>
        <v>0</v>
      </c>
      <c r="B171" s="8">
        <f>IF($A171, _xlfn.XLOOKUP(C171,'Input Data'!$M$17:$M$29,'Input Data'!$N$17:$N$29),$B170)</f>
        <v>0.06</v>
      </c>
      <c r="C171" s="10">
        <f t="shared" si="13"/>
        <v>169</v>
      </c>
      <c r="D171" s="18">
        <f t="shared" si="14"/>
        <v>6278982.7280803407</v>
      </c>
      <c r="E171" s="18">
        <f>IF('Input Data'!$E$23=0,G171,IF(OR(D171&lt;=0,C171&gt;'Input Data'!$B$23*12),0,IF(AND(C171='Input Data'!$B$23*12,'Input Data'!$E$23&gt;'Input Data'!$B$23),D171+D171*B171/12,IF('Input Data'!$C$23="FRM",-PMT($B$3/12,'Input Data'!$E$23*12,$D$3),IF($A171,-PMT(B171/12,('Input Data'!$E$23*12)-C171+1,D171),E170)))))</f>
        <v>65094.431363418102</v>
      </c>
      <c r="F171" s="18">
        <f t="shared" si="11"/>
        <v>6213888.2967169229</v>
      </c>
      <c r="G171" s="18">
        <f>IF(C171&gt;'Input Data'!$B$23*12,0,D171*B171/12)</f>
        <v>31394.913640401704</v>
      </c>
      <c r="H171" s="18">
        <f t="shared" si="10"/>
        <v>33699.517723016397</v>
      </c>
      <c r="I171" s="18">
        <f t="shared" si="12"/>
        <v>6245283.2103573242</v>
      </c>
    </row>
    <row r="172" spans="1:9" x14ac:dyDescent="0.25">
      <c r="A172" t="b">
        <f>IF(('Input Data'!$C$23)="FRM", FALSE, ISNUMBER(MATCH(C172,'Input Data'!$M$18:$M$30,0)))</f>
        <v>0</v>
      </c>
      <c r="B172" s="8">
        <f>IF($A172, _xlfn.XLOOKUP(C172,'Input Data'!$M$17:$M$29,'Input Data'!$N$17:$N$29),$B171)</f>
        <v>0.06</v>
      </c>
      <c r="C172" s="10">
        <f t="shared" si="13"/>
        <v>170</v>
      </c>
      <c r="D172" s="18">
        <f t="shared" si="14"/>
        <v>6245283.2103573242</v>
      </c>
      <c r="E172" s="18">
        <f>IF('Input Data'!$E$23=0,G172,IF(OR(D172&lt;=0,C172&gt;'Input Data'!$B$23*12),0,IF(AND(C172='Input Data'!$B$23*12,'Input Data'!$E$23&gt;'Input Data'!$B$23),D172+D172*B172/12,IF('Input Data'!$C$23="FRM",-PMT($B$3/12,'Input Data'!$E$23*12,$D$3),IF($A172,-PMT(B172/12,('Input Data'!$E$23*12)-C172+1,D172),E171)))))</f>
        <v>65094.431363418102</v>
      </c>
      <c r="F172" s="18">
        <f t="shared" si="11"/>
        <v>6180188.7789939065</v>
      </c>
      <c r="G172" s="18">
        <f>IF(C172&gt;'Input Data'!$B$23*12,0,D172*B172/12)</f>
        <v>31226.416051786622</v>
      </c>
      <c r="H172" s="18">
        <f t="shared" si="10"/>
        <v>33868.015311631476</v>
      </c>
      <c r="I172" s="18">
        <f t="shared" si="12"/>
        <v>6211415.1950456928</v>
      </c>
    </row>
    <row r="173" spans="1:9" x14ac:dyDescent="0.25">
      <c r="A173" t="b">
        <f>IF(('Input Data'!$C$23)="FRM", FALSE, ISNUMBER(MATCH(C173,'Input Data'!$M$18:$M$30,0)))</f>
        <v>0</v>
      </c>
      <c r="B173" s="8">
        <f>IF($A173, _xlfn.XLOOKUP(C173,'Input Data'!$M$17:$M$29,'Input Data'!$N$17:$N$29),$B172)</f>
        <v>0.06</v>
      </c>
      <c r="C173" s="10">
        <f t="shared" si="13"/>
        <v>171</v>
      </c>
      <c r="D173" s="18">
        <f t="shared" si="14"/>
        <v>6211415.1950456928</v>
      </c>
      <c r="E173" s="18">
        <f>IF('Input Data'!$E$23=0,G173,IF(OR(D173&lt;=0,C173&gt;'Input Data'!$B$23*12),0,IF(AND(C173='Input Data'!$B$23*12,'Input Data'!$E$23&gt;'Input Data'!$B$23),D173+D173*B173/12,IF('Input Data'!$C$23="FRM",-PMT($B$3/12,'Input Data'!$E$23*12,$D$3),IF($A173,-PMT(B173/12,('Input Data'!$E$23*12)-C173+1,D173),E172)))))</f>
        <v>65094.431363418102</v>
      </c>
      <c r="F173" s="18">
        <f t="shared" si="11"/>
        <v>6146320.7636822751</v>
      </c>
      <c r="G173" s="18">
        <f>IF(C173&gt;'Input Data'!$B$23*12,0,D173*B173/12)</f>
        <v>31057.075975228465</v>
      </c>
      <c r="H173" s="18">
        <f t="shared" si="10"/>
        <v>34037.355388189637</v>
      </c>
      <c r="I173" s="18">
        <f t="shared" si="12"/>
        <v>6177377.8396575032</v>
      </c>
    </row>
    <row r="174" spans="1:9" x14ac:dyDescent="0.25">
      <c r="A174" t="b">
        <f>IF(('Input Data'!$C$23)="FRM", FALSE, ISNUMBER(MATCH(C174,'Input Data'!$M$18:$M$30,0)))</f>
        <v>0</v>
      </c>
      <c r="B174" s="8">
        <f>IF($A174, _xlfn.XLOOKUP(C174,'Input Data'!$M$17:$M$29,'Input Data'!$N$17:$N$29),$B173)</f>
        <v>0.06</v>
      </c>
      <c r="C174" s="10">
        <f t="shared" si="13"/>
        <v>172</v>
      </c>
      <c r="D174" s="18">
        <f t="shared" si="14"/>
        <v>6177377.8396575032</v>
      </c>
      <c r="E174" s="18">
        <f>IF('Input Data'!$E$23=0,G174,IF(OR(D174&lt;=0,C174&gt;'Input Data'!$B$23*12),0,IF(AND(C174='Input Data'!$B$23*12,'Input Data'!$E$23&gt;'Input Data'!$B$23),D174+D174*B174/12,IF('Input Data'!$C$23="FRM",-PMT($B$3/12,'Input Data'!$E$23*12,$D$3),IF($A174,-PMT(B174/12,('Input Data'!$E$23*12)-C174+1,D174),E173)))))</f>
        <v>65094.431363418102</v>
      </c>
      <c r="F174" s="18">
        <f t="shared" si="11"/>
        <v>6112283.4082940854</v>
      </c>
      <c r="G174" s="18">
        <f>IF(C174&gt;'Input Data'!$B$23*12,0,D174*B174/12)</f>
        <v>30886.889198287518</v>
      </c>
      <c r="H174" s="18">
        <f t="shared" si="10"/>
        <v>34207.542165130581</v>
      </c>
      <c r="I174" s="18">
        <f t="shared" si="12"/>
        <v>6143170.2974923728</v>
      </c>
    </row>
    <row r="175" spans="1:9" x14ac:dyDescent="0.25">
      <c r="A175" t="b">
        <f>IF(('Input Data'!$C$23)="FRM", FALSE, ISNUMBER(MATCH(C175,'Input Data'!$M$18:$M$30,0)))</f>
        <v>0</v>
      </c>
      <c r="B175" s="8">
        <f>IF($A175, _xlfn.XLOOKUP(C175,'Input Data'!$M$17:$M$29,'Input Data'!$N$17:$N$29),$B174)</f>
        <v>0.06</v>
      </c>
      <c r="C175" s="10">
        <f t="shared" si="13"/>
        <v>173</v>
      </c>
      <c r="D175" s="18">
        <f t="shared" si="14"/>
        <v>6143170.2974923728</v>
      </c>
      <c r="E175" s="18">
        <f>IF('Input Data'!$E$23=0,G175,IF(OR(D175&lt;=0,C175&gt;'Input Data'!$B$23*12),0,IF(AND(C175='Input Data'!$B$23*12,'Input Data'!$E$23&gt;'Input Data'!$B$23),D175+D175*B175/12,IF('Input Data'!$C$23="FRM",-PMT($B$3/12,'Input Data'!$E$23*12,$D$3),IF($A175,-PMT(B175/12,('Input Data'!$E$23*12)-C175+1,D175),E174)))))</f>
        <v>65094.431363418102</v>
      </c>
      <c r="F175" s="18">
        <f t="shared" si="11"/>
        <v>6078075.866128955</v>
      </c>
      <c r="G175" s="18">
        <f>IF(C175&gt;'Input Data'!$B$23*12,0,D175*B175/12)</f>
        <v>30715.85148746186</v>
      </c>
      <c r="H175" s="18">
        <f t="shared" si="10"/>
        <v>34378.579875956246</v>
      </c>
      <c r="I175" s="18">
        <f t="shared" si="12"/>
        <v>6108791.7176164165</v>
      </c>
    </row>
    <row r="176" spans="1:9" x14ac:dyDescent="0.25">
      <c r="A176" t="b">
        <f>IF(('Input Data'!$C$23)="FRM", FALSE, ISNUMBER(MATCH(C176,'Input Data'!$M$18:$M$30,0)))</f>
        <v>0</v>
      </c>
      <c r="B176" s="8">
        <f>IF($A176, _xlfn.XLOOKUP(C176,'Input Data'!$M$17:$M$29,'Input Data'!$N$17:$N$29),$B175)</f>
        <v>0.06</v>
      </c>
      <c r="C176" s="10">
        <f t="shared" si="13"/>
        <v>174</v>
      </c>
      <c r="D176" s="18">
        <f t="shared" si="14"/>
        <v>6108791.7176164165</v>
      </c>
      <c r="E176" s="18">
        <f>IF('Input Data'!$E$23=0,G176,IF(OR(D176&lt;=0,C176&gt;'Input Data'!$B$23*12),0,IF(AND(C176='Input Data'!$B$23*12,'Input Data'!$E$23&gt;'Input Data'!$B$23),D176+D176*B176/12,IF('Input Data'!$C$23="FRM",-PMT($B$3/12,'Input Data'!$E$23*12,$D$3),IF($A176,-PMT(B176/12,('Input Data'!$E$23*12)-C176+1,D176),E175)))))</f>
        <v>65094.431363418102</v>
      </c>
      <c r="F176" s="18">
        <f t="shared" si="11"/>
        <v>6043697.2862529987</v>
      </c>
      <c r="G176" s="18">
        <f>IF(C176&gt;'Input Data'!$B$23*12,0,D176*B176/12)</f>
        <v>30543.958588082081</v>
      </c>
      <c r="H176" s="18">
        <f t="shared" si="10"/>
        <v>34550.47277533602</v>
      </c>
      <c r="I176" s="18">
        <f t="shared" si="12"/>
        <v>6074241.2448410802</v>
      </c>
    </row>
    <row r="177" spans="1:9" x14ac:dyDescent="0.25">
      <c r="A177" t="b">
        <f>IF(('Input Data'!$C$23)="FRM", FALSE, ISNUMBER(MATCH(C177,'Input Data'!$M$18:$M$30,0)))</f>
        <v>0</v>
      </c>
      <c r="B177" s="8">
        <f>IF($A177, _xlfn.XLOOKUP(C177,'Input Data'!$M$17:$M$29,'Input Data'!$N$17:$N$29),$B176)</f>
        <v>0.06</v>
      </c>
      <c r="C177" s="10">
        <f t="shared" si="13"/>
        <v>175</v>
      </c>
      <c r="D177" s="18">
        <f t="shared" si="14"/>
        <v>6074241.2448410802</v>
      </c>
      <c r="E177" s="18">
        <f>IF('Input Data'!$E$23=0,G177,IF(OR(D177&lt;=0,C177&gt;'Input Data'!$B$23*12),0,IF(AND(C177='Input Data'!$B$23*12,'Input Data'!$E$23&gt;'Input Data'!$B$23),D177+D177*B177/12,IF('Input Data'!$C$23="FRM",-PMT($B$3/12,'Input Data'!$E$23*12,$D$3),IF($A177,-PMT(B177/12,('Input Data'!$E$23*12)-C177+1,D177),E176)))))</f>
        <v>65094.431363418102</v>
      </c>
      <c r="F177" s="18">
        <f t="shared" si="11"/>
        <v>6009146.8134776624</v>
      </c>
      <c r="G177" s="18">
        <f>IF(C177&gt;'Input Data'!$B$23*12,0,D177*B177/12)</f>
        <v>30371.206224205398</v>
      </c>
      <c r="H177" s="18">
        <f t="shared" si="10"/>
        <v>34723.225139212707</v>
      </c>
      <c r="I177" s="18">
        <f t="shared" si="12"/>
        <v>6039518.0197018674</v>
      </c>
    </row>
    <row r="178" spans="1:9" x14ac:dyDescent="0.25">
      <c r="A178" t="b">
        <f>IF(('Input Data'!$C$23)="FRM", FALSE, ISNUMBER(MATCH(C178,'Input Data'!$M$18:$M$30,0)))</f>
        <v>0</v>
      </c>
      <c r="B178" s="8">
        <f>IF($A178, _xlfn.XLOOKUP(C178,'Input Data'!$M$17:$M$29,'Input Data'!$N$17:$N$29),$B177)</f>
        <v>0.06</v>
      </c>
      <c r="C178" s="10">
        <f t="shared" si="13"/>
        <v>176</v>
      </c>
      <c r="D178" s="18">
        <f t="shared" si="14"/>
        <v>6039518.0197018674</v>
      </c>
      <c r="E178" s="18">
        <f>IF('Input Data'!$E$23=0,G178,IF(OR(D178&lt;=0,C178&gt;'Input Data'!$B$23*12),0,IF(AND(C178='Input Data'!$B$23*12,'Input Data'!$E$23&gt;'Input Data'!$B$23),D178+D178*B178/12,IF('Input Data'!$C$23="FRM",-PMT($B$3/12,'Input Data'!$E$23*12,$D$3),IF($A178,-PMT(B178/12,('Input Data'!$E$23*12)-C178+1,D178),E177)))))</f>
        <v>65094.431363418102</v>
      </c>
      <c r="F178" s="18">
        <f t="shared" si="11"/>
        <v>5974423.5883384496</v>
      </c>
      <c r="G178" s="18">
        <f>IF(C178&gt;'Input Data'!$B$23*12,0,D178*B178/12)</f>
        <v>30197.590098509336</v>
      </c>
      <c r="H178" s="18">
        <f t="shared" si="10"/>
        <v>34896.84126490877</v>
      </c>
      <c r="I178" s="18">
        <f t="shared" si="12"/>
        <v>6004621.1784369582</v>
      </c>
    </row>
    <row r="179" spans="1:9" x14ac:dyDescent="0.25">
      <c r="A179" t="b">
        <f>IF(('Input Data'!$C$23)="FRM", FALSE, ISNUMBER(MATCH(C179,'Input Data'!$M$18:$M$30,0)))</f>
        <v>0</v>
      </c>
      <c r="B179" s="8">
        <f>IF($A179, _xlfn.XLOOKUP(C179,'Input Data'!$M$17:$M$29,'Input Data'!$N$17:$N$29),$B178)</f>
        <v>0.06</v>
      </c>
      <c r="C179" s="10">
        <f t="shared" si="13"/>
        <v>177</v>
      </c>
      <c r="D179" s="18">
        <f t="shared" si="14"/>
        <v>6004621.1784369582</v>
      </c>
      <c r="E179" s="18">
        <f>IF('Input Data'!$E$23=0,G179,IF(OR(D179&lt;=0,C179&gt;'Input Data'!$B$23*12),0,IF(AND(C179='Input Data'!$B$23*12,'Input Data'!$E$23&gt;'Input Data'!$B$23),D179+D179*B179/12,IF('Input Data'!$C$23="FRM",-PMT($B$3/12,'Input Data'!$E$23*12,$D$3),IF($A179,-PMT(B179/12,('Input Data'!$E$23*12)-C179+1,D179),E178)))))</f>
        <v>65094.431363418102</v>
      </c>
      <c r="F179" s="18">
        <f t="shared" si="11"/>
        <v>5939526.7470735405</v>
      </c>
      <c r="G179" s="18">
        <f>IF(C179&gt;'Input Data'!$B$23*12,0,D179*B179/12)</f>
        <v>30023.105892184791</v>
      </c>
      <c r="H179" s="18">
        <f t="shared" si="10"/>
        <v>35071.325471233315</v>
      </c>
      <c r="I179" s="18">
        <f t="shared" si="12"/>
        <v>5969549.8529657247</v>
      </c>
    </row>
    <row r="180" spans="1:9" x14ac:dyDescent="0.25">
      <c r="A180" t="b">
        <f>IF(('Input Data'!$C$23)="FRM", FALSE, ISNUMBER(MATCH(C180,'Input Data'!$M$18:$M$30,0)))</f>
        <v>0</v>
      </c>
      <c r="B180" s="8">
        <f>IF($A180, _xlfn.XLOOKUP(C180,'Input Data'!$M$17:$M$29,'Input Data'!$N$17:$N$29),$B179)</f>
        <v>0.06</v>
      </c>
      <c r="C180" s="10">
        <f t="shared" si="13"/>
        <v>178</v>
      </c>
      <c r="D180" s="18">
        <f t="shared" si="14"/>
        <v>5969549.8529657247</v>
      </c>
      <c r="E180" s="18">
        <f>IF('Input Data'!$E$23=0,G180,IF(OR(D180&lt;=0,C180&gt;'Input Data'!$B$23*12),0,IF(AND(C180='Input Data'!$B$23*12,'Input Data'!$E$23&gt;'Input Data'!$B$23),D180+D180*B180/12,IF('Input Data'!$C$23="FRM",-PMT($B$3/12,'Input Data'!$E$23*12,$D$3),IF($A180,-PMT(B180/12,('Input Data'!$E$23*12)-C180+1,D180),E179)))))</f>
        <v>65094.431363418102</v>
      </c>
      <c r="F180" s="18">
        <f t="shared" si="11"/>
        <v>5904455.4216023069</v>
      </c>
      <c r="G180" s="18">
        <f>IF(C180&gt;'Input Data'!$B$23*12,0,D180*B180/12)</f>
        <v>29847.749264828624</v>
      </c>
      <c r="H180" s="18">
        <f t="shared" si="10"/>
        <v>35246.682098589474</v>
      </c>
      <c r="I180" s="18">
        <f t="shared" si="12"/>
        <v>5934303.1708671348</v>
      </c>
    </row>
    <row r="181" spans="1:9" x14ac:dyDescent="0.25">
      <c r="A181" t="b">
        <f>IF(('Input Data'!$C$23)="FRM", FALSE, ISNUMBER(MATCH(C181,'Input Data'!$M$18:$M$30,0)))</f>
        <v>0</v>
      </c>
      <c r="B181" s="8">
        <f>IF($A181, _xlfn.XLOOKUP(C181,'Input Data'!$M$17:$M$29,'Input Data'!$N$17:$N$29),$B180)</f>
        <v>0.06</v>
      </c>
      <c r="C181" s="10">
        <f t="shared" si="13"/>
        <v>179</v>
      </c>
      <c r="D181" s="18">
        <f t="shared" si="14"/>
        <v>5934303.1708671348</v>
      </c>
      <c r="E181" s="18">
        <f>IF('Input Data'!$E$23=0,G181,IF(OR(D181&lt;=0,C181&gt;'Input Data'!$B$23*12),0,IF(AND(C181='Input Data'!$B$23*12,'Input Data'!$E$23&gt;'Input Data'!$B$23),D181+D181*B181/12,IF('Input Data'!$C$23="FRM",-PMT($B$3/12,'Input Data'!$E$23*12,$D$3),IF($A181,-PMT(B181/12,('Input Data'!$E$23*12)-C181+1,D181),E180)))))</f>
        <v>65094.431363418102</v>
      </c>
      <c r="F181" s="18">
        <f t="shared" si="11"/>
        <v>5869208.739503717</v>
      </c>
      <c r="G181" s="18">
        <f>IF(C181&gt;'Input Data'!$B$23*12,0,D181*B181/12)</f>
        <v>29671.51585433567</v>
      </c>
      <c r="H181" s="18">
        <f t="shared" si="10"/>
        <v>35422.915509082435</v>
      </c>
      <c r="I181" s="18">
        <f t="shared" si="12"/>
        <v>5898880.2553580524</v>
      </c>
    </row>
    <row r="182" spans="1:9" x14ac:dyDescent="0.25">
      <c r="A182" t="b">
        <f>IF(('Input Data'!$C$23)="FRM", FALSE, ISNUMBER(MATCH(C182,'Input Data'!$M$18:$M$30,0)))</f>
        <v>0</v>
      </c>
      <c r="B182" s="8">
        <f>IF($A182, _xlfn.XLOOKUP(C182,'Input Data'!$M$17:$M$29,'Input Data'!$N$17:$N$29),$B181)</f>
        <v>0.06</v>
      </c>
      <c r="C182" s="10">
        <f t="shared" si="13"/>
        <v>180</v>
      </c>
      <c r="D182" s="18">
        <f>IF(I181&gt;0,I181-J181,0)</f>
        <v>5898880.2553580524</v>
      </c>
      <c r="E182" s="18">
        <f>IF('Input Data'!$E$23=0,G182,IF(OR(D182&lt;=0,C182&gt;'Input Data'!$B$23*12),0,IF(AND(C182='Input Data'!$B$23*12,'Input Data'!$E$23&gt;'Input Data'!$B$23),D182+D182*B182/12,IF('Input Data'!$C$23="FRM",-PMT($B$3/12,'Input Data'!$E$23*12,$D$3),IF($A182,-PMT(B182/12,('Input Data'!$E$23*12)-C182+1,D182),E181)))))</f>
        <v>65094.431363418102</v>
      </c>
      <c r="F182" s="18">
        <f t="shared" si="11"/>
        <v>5833785.8239946347</v>
      </c>
      <c r="G182" s="18">
        <f>IF(C182&gt;'Input Data'!$B$23*12,0,D182*B182/12)</f>
        <v>29494.40127679026</v>
      </c>
      <c r="H182" s="18">
        <f>MIN(E182-G182,D182)</f>
        <v>35600.030086627841</v>
      </c>
      <c r="I182" s="18">
        <f>IF(ROUND(D182-H182,2)=0,0,D182-H182)</f>
        <v>5863280.2252714243</v>
      </c>
    </row>
    <row r="183" spans="1:9" x14ac:dyDescent="0.25">
      <c r="A183" t="b">
        <f>IF(('Input Data'!$C$23)="FRM", FALSE, ISNUMBER(MATCH(C183,'Input Data'!$M$18:$M$30,0)))</f>
        <v>0</v>
      </c>
      <c r="B183" s="8">
        <f>IF($A183, _xlfn.XLOOKUP(C183,'Input Data'!$M$17:$M$29,'Input Data'!$N$17:$N$29),$B182)</f>
        <v>0.06</v>
      </c>
      <c r="C183" s="10">
        <f t="shared" si="13"/>
        <v>181</v>
      </c>
      <c r="D183" s="18">
        <f t="shared" si="14"/>
        <v>5863280.2252714243</v>
      </c>
      <c r="E183" s="18">
        <f>IF('Input Data'!$E$23=0,G183,IF(OR(D183&lt;=0,C183&gt;'Input Data'!$B$23*12),0,IF(AND(C183='Input Data'!$B$23*12,'Input Data'!$E$23&gt;'Input Data'!$B$23),D183+D183*B183/12,IF('Input Data'!$C$23="FRM",-PMT($B$3/12,'Input Data'!$E$23*12,$D$3),IF($A183,-PMT(B183/12,('Input Data'!$E$23*12)-C183+1,D183),E182)))))</f>
        <v>65094.431363418102</v>
      </c>
      <c r="F183" s="18">
        <f t="shared" si="11"/>
        <v>5798185.7939080065</v>
      </c>
      <c r="G183" s="18">
        <f>IF(C183&gt;'Input Data'!$B$23*12,0,D183*B183/12)</f>
        <v>29316.401126357119</v>
      </c>
      <c r="H183" s="18">
        <f t="shared" si="10"/>
        <v>35778.030237060986</v>
      </c>
      <c r="I183" s="18">
        <f t="shared" si="12"/>
        <v>5827502.1950343633</v>
      </c>
    </row>
    <row r="184" spans="1:9" x14ac:dyDescent="0.25">
      <c r="A184" t="b">
        <f>IF(('Input Data'!$C$23)="FRM", FALSE, ISNUMBER(MATCH(C184,'Input Data'!$M$18:$M$30,0)))</f>
        <v>0</v>
      </c>
      <c r="B184" s="8">
        <f>IF($A184, _xlfn.XLOOKUP(C184,'Input Data'!$M$17:$M$29,'Input Data'!$N$17:$N$29),$B183)</f>
        <v>0.06</v>
      </c>
      <c r="C184" s="10">
        <f t="shared" si="13"/>
        <v>182</v>
      </c>
      <c r="D184" s="18">
        <f t="shared" si="14"/>
        <v>5827502.1950343633</v>
      </c>
      <c r="E184" s="18">
        <f>IF('Input Data'!$E$23=0,G184,IF(OR(D184&lt;=0,C184&gt;'Input Data'!$B$23*12),0,IF(AND(C184='Input Data'!$B$23*12,'Input Data'!$E$23&gt;'Input Data'!$B$23),D184+D184*B184/12,IF('Input Data'!$C$23="FRM",-PMT($B$3/12,'Input Data'!$E$23*12,$D$3),IF($A184,-PMT(B184/12,('Input Data'!$E$23*12)-C184+1,D184),E183)))))</f>
        <v>65094.431363418102</v>
      </c>
      <c r="F184" s="18">
        <f t="shared" si="11"/>
        <v>5762407.7636709455</v>
      </c>
      <c r="G184" s="18">
        <f>IF(C184&gt;'Input Data'!$B$23*12,0,D184*B184/12)</f>
        <v>29137.510975171816</v>
      </c>
      <c r="H184" s="18">
        <f t="shared" si="10"/>
        <v>35956.92038824629</v>
      </c>
      <c r="I184" s="18">
        <f t="shared" si="12"/>
        <v>5791545.2746461174</v>
      </c>
    </row>
    <row r="185" spans="1:9" x14ac:dyDescent="0.25">
      <c r="A185" t="b">
        <f>IF(('Input Data'!$C$23)="FRM", FALSE, ISNUMBER(MATCH(C185,'Input Data'!$M$18:$M$30,0)))</f>
        <v>0</v>
      </c>
      <c r="B185" s="8">
        <f>IF($A185, _xlfn.XLOOKUP(C185,'Input Data'!$M$17:$M$29,'Input Data'!$N$17:$N$29),$B184)</f>
        <v>0.06</v>
      </c>
      <c r="C185" s="10">
        <f t="shared" si="13"/>
        <v>183</v>
      </c>
      <c r="D185" s="18">
        <f t="shared" si="14"/>
        <v>5791545.2746461174</v>
      </c>
      <c r="E185" s="18">
        <f>IF('Input Data'!$E$23=0,G185,IF(OR(D185&lt;=0,C185&gt;'Input Data'!$B$23*12),0,IF(AND(C185='Input Data'!$B$23*12,'Input Data'!$E$23&gt;'Input Data'!$B$23),D185+D185*B185/12,IF('Input Data'!$C$23="FRM",-PMT($B$3/12,'Input Data'!$E$23*12,$D$3),IF($A185,-PMT(B185/12,('Input Data'!$E$23*12)-C185+1,D185),E184)))))</f>
        <v>65094.431363418102</v>
      </c>
      <c r="F185" s="18">
        <f t="shared" si="11"/>
        <v>5726450.8432826996</v>
      </c>
      <c r="G185" s="18">
        <f>IF(C185&gt;'Input Data'!$B$23*12,0,D185*B185/12)</f>
        <v>28957.726373230587</v>
      </c>
      <c r="H185" s="18">
        <f t="shared" si="10"/>
        <v>36136.704990187514</v>
      </c>
      <c r="I185" s="18">
        <f t="shared" si="12"/>
        <v>5755408.5696559297</v>
      </c>
    </row>
    <row r="186" spans="1:9" x14ac:dyDescent="0.25">
      <c r="A186" t="b">
        <f>IF(('Input Data'!$C$23)="FRM", FALSE, ISNUMBER(MATCH(C186,'Input Data'!$M$18:$M$30,0)))</f>
        <v>0</v>
      </c>
      <c r="B186" s="8">
        <f>IF($A186, _xlfn.XLOOKUP(C186,'Input Data'!$M$17:$M$29,'Input Data'!$N$17:$N$29),$B185)</f>
        <v>0.06</v>
      </c>
      <c r="C186" s="10">
        <f t="shared" si="13"/>
        <v>184</v>
      </c>
      <c r="D186" s="18">
        <f t="shared" si="14"/>
        <v>5755408.5696559297</v>
      </c>
      <c r="E186" s="18">
        <f>IF('Input Data'!$E$23=0,G186,IF(OR(D186&lt;=0,C186&gt;'Input Data'!$B$23*12),0,IF(AND(C186='Input Data'!$B$23*12,'Input Data'!$E$23&gt;'Input Data'!$B$23),D186+D186*B186/12,IF('Input Data'!$C$23="FRM",-PMT($B$3/12,'Input Data'!$E$23*12,$D$3),IF($A186,-PMT(B186/12,('Input Data'!$E$23*12)-C186+1,D186),E185)))))</f>
        <v>65094.431363418102</v>
      </c>
      <c r="F186" s="18">
        <f t="shared" si="11"/>
        <v>5690314.1382925119</v>
      </c>
      <c r="G186" s="18">
        <f>IF(C186&gt;'Input Data'!$B$23*12,0,D186*B186/12)</f>
        <v>28777.042848279645</v>
      </c>
      <c r="H186" s="18">
        <f t="shared" si="10"/>
        <v>36317.38851513846</v>
      </c>
      <c r="I186" s="18">
        <f t="shared" si="12"/>
        <v>5719091.1811407916</v>
      </c>
    </row>
    <row r="187" spans="1:9" x14ac:dyDescent="0.25">
      <c r="A187" t="b">
        <f>IF(('Input Data'!$C$23)="FRM", FALSE, ISNUMBER(MATCH(C187,'Input Data'!$M$18:$M$30,0)))</f>
        <v>0</v>
      </c>
      <c r="B187" s="8">
        <f>IF($A187, _xlfn.XLOOKUP(C187,'Input Data'!$M$17:$M$29,'Input Data'!$N$17:$N$29),$B186)</f>
        <v>0.06</v>
      </c>
      <c r="C187" s="10">
        <f t="shared" si="13"/>
        <v>185</v>
      </c>
      <c r="D187" s="18">
        <f t="shared" si="14"/>
        <v>5719091.1811407916</v>
      </c>
      <c r="E187" s="18">
        <f>IF('Input Data'!$E$23=0,G187,IF(OR(D187&lt;=0,C187&gt;'Input Data'!$B$23*12),0,IF(AND(C187='Input Data'!$B$23*12,'Input Data'!$E$23&gt;'Input Data'!$B$23),D187+D187*B187/12,IF('Input Data'!$C$23="FRM",-PMT($B$3/12,'Input Data'!$E$23*12,$D$3),IF($A187,-PMT(B187/12,('Input Data'!$E$23*12)-C187+1,D187),E186)))))</f>
        <v>65094.431363418102</v>
      </c>
      <c r="F187" s="18">
        <f t="shared" si="11"/>
        <v>5653996.7497773739</v>
      </c>
      <c r="G187" s="18">
        <f>IF(C187&gt;'Input Data'!$B$23*12,0,D187*B187/12)</f>
        <v>28595.455905703959</v>
      </c>
      <c r="H187" s="18">
        <f t="shared" si="10"/>
        <v>36498.975457714143</v>
      </c>
      <c r="I187" s="18">
        <f t="shared" si="12"/>
        <v>5682592.2056830777</v>
      </c>
    </row>
    <row r="188" spans="1:9" x14ac:dyDescent="0.25">
      <c r="A188" t="b">
        <f>IF(('Input Data'!$C$23)="FRM", FALSE, ISNUMBER(MATCH(C188,'Input Data'!$M$18:$M$30,0)))</f>
        <v>0</v>
      </c>
      <c r="B188" s="8">
        <f>IF($A188, _xlfn.XLOOKUP(C188,'Input Data'!$M$17:$M$29,'Input Data'!$N$17:$N$29),$B187)</f>
        <v>0.06</v>
      </c>
      <c r="C188" s="10">
        <f t="shared" si="13"/>
        <v>186</v>
      </c>
      <c r="D188" s="18">
        <f t="shared" si="14"/>
        <v>5682592.2056830777</v>
      </c>
      <c r="E188" s="18">
        <f>IF('Input Data'!$E$23=0,G188,IF(OR(D188&lt;=0,C188&gt;'Input Data'!$B$23*12),0,IF(AND(C188='Input Data'!$B$23*12,'Input Data'!$E$23&gt;'Input Data'!$B$23),D188+D188*B188/12,IF('Input Data'!$C$23="FRM",-PMT($B$3/12,'Input Data'!$E$23*12,$D$3),IF($A188,-PMT(B188/12,('Input Data'!$E$23*12)-C188+1,D188),E187)))))</f>
        <v>65094.431363418102</v>
      </c>
      <c r="F188" s="18">
        <f t="shared" si="11"/>
        <v>5617497.7743196599</v>
      </c>
      <c r="G188" s="18">
        <f>IF(C188&gt;'Input Data'!$B$23*12,0,D188*B188/12)</f>
        <v>28412.96102841539</v>
      </c>
      <c r="H188" s="18">
        <f t="shared" si="10"/>
        <v>36681.470335002712</v>
      </c>
      <c r="I188" s="18">
        <f t="shared" si="12"/>
        <v>5645910.7353480747</v>
      </c>
    </row>
    <row r="189" spans="1:9" x14ac:dyDescent="0.25">
      <c r="A189" t="b">
        <f>IF(('Input Data'!$C$23)="FRM", FALSE, ISNUMBER(MATCH(C189,'Input Data'!$M$18:$M$30,0)))</f>
        <v>0</v>
      </c>
      <c r="B189" s="8">
        <f>IF($A189, _xlfn.XLOOKUP(C189,'Input Data'!$M$17:$M$29,'Input Data'!$N$17:$N$29),$B188)</f>
        <v>0.06</v>
      </c>
      <c r="C189" s="10">
        <f t="shared" si="13"/>
        <v>187</v>
      </c>
      <c r="D189" s="18">
        <f t="shared" si="14"/>
        <v>5645910.7353480747</v>
      </c>
      <c r="E189" s="18">
        <f>IF('Input Data'!$E$23=0,G189,IF(OR(D189&lt;=0,C189&gt;'Input Data'!$B$23*12),0,IF(AND(C189='Input Data'!$B$23*12,'Input Data'!$E$23&gt;'Input Data'!$B$23),D189+D189*B189/12,IF('Input Data'!$C$23="FRM",-PMT($B$3/12,'Input Data'!$E$23*12,$D$3),IF($A189,-PMT(B189/12,('Input Data'!$E$23*12)-C189+1,D189),E188)))))</f>
        <v>65094.431363418102</v>
      </c>
      <c r="F189" s="18">
        <f t="shared" si="11"/>
        <v>5580816.3039846569</v>
      </c>
      <c r="G189" s="18">
        <f>IF(C189&gt;'Input Data'!$B$23*12,0,D189*B189/12)</f>
        <v>28229.553676740372</v>
      </c>
      <c r="H189" s="18">
        <f t="shared" si="10"/>
        <v>36864.877686677733</v>
      </c>
      <c r="I189" s="18">
        <f t="shared" si="12"/>
        <v>5609045.8576613972</v>
      </c>
    </row>
    <row r="190" spans="1:9" x14ac:dyDescent="0.25">
      <c r="A190" t="b">
        <f>IF(('Input Data'!$C$23)="FRM", FALSE, ISNUMBER(MATCH(C190,'Input Data'!$M$18:$M$30,0)))</f>
        <v>0</v>
      </c>
      <c r="B190" s="8">
        <f>IF($A190, _xlfn.XLOOKUP(C190,'Input Data'!$M$17:$M$29,'Input Data'!$N$17:$N$29),$B189)</f>
        <v>0.06</v>
      </c>
      <c r="C190" s="10">
        <f t="shared" si="13"/>
        <v>188</v>
      </c>
      <c r="D190" s="18">
        <f t="shared" si="14"/>
        <v>5609045.8576613972</v>
      </c>
      <c r="E190" s="18">
        <f>IF('Input Data'!$E$23=0,G190,IF(OR(D190&lt;=0,C190&gt;'Input Data'!$B$23*12),0,IF(AND(C190='Input Data'!$B$23*12,'Input Data'!$E$23&gt;'Input Data'!$B$23),D190+D190*B190/12,IF('Input Data'!$C$23="FRM",-PMT($B$3/12,'Input Data'!$E$23*12,$D$3),IF($A190,-PMT(B190/12,('Input Data'!$E$23*12)-C190+1,D190),E189)))))</f>
        <v>65094.431363418102</v>
      </c>
      <c r="F190" s="18">
        <f t="shared" si="11"/>
        <v>5543951.4262979794</v>
      </c>
      <c r="G190" s="18">
        <f>IF(C190&gt;'Input Data'!$B$23*12,0,D190*B190/12)</f>
        <v>28045.229288306986</v>
      </c>
      <c r="H190" s="18">
        <f t="shared" si="10"/>
        <v>37049.202075111112</v>
      </c>
      <c r="I190" s="18">
        <f t="shared" si="12"/>
        <v>5571996.6555862864</v>
      </c>
    </row>
    <row r="191" spans="1:9" x14ac:dyDescent="0.25">
      <c r="A191" t="b">
        <f>IF(('Input Data'!$C$23)="FRM", FALSE, ISNUMBER(MATCH(C191,'Input Data'!$M$18:$M$30,0)))</f>
        <v>0</v>
      </c>
      <c r="B191" s="8">
        <f>IF($A191, _xlfn.XLOOKUP(C191,'Input Data'!$M$17:$M$29,'Input Data'!$N$17:$N$29),$B190)</f>
        <v>0.06</v>
      </c>
      <c r="C191" s="10">
        <f t="shared" si="13"/>
        <v>189</v>
      </c>
      <c r="D191" s="18">
        <f t="shared" si="14"/>
        <v>5571996.6555862864</v>
      </c>
      <c r="E191" s="18">
        <f>IF('Input Data'!$E$23=0,G191,IF(OR(D191&lt;=0,C191&gt;'Input Data'!$B$23*12),0,IF(AND(C191='Input Data'!$B$23*12,'Input Data'!$E$23&gt;'Input Data'!$B$23),D191+D191*B191/12,IF('Input Data'!$C$23="FRM",-PMT($B$3/12,'Input Data'!$E$23*12,$D$3),IF($A191,-PMT(B191/12,('Input Data'!$E$23*12)-C191+1,D191),E190)))))</f>
        <v>65094.431363418102</v>
      </c>
      <c r="F191" s="18">
        <f t="shared" si="11"/>
        <v>5506902.2242228687</v>
      </c>
      <c r="G191" s="18">
        <f>IF(C191&gt;'Input Data'!$B$23*12,0,D191*B191/12)</f>
        <v>27859.983277931431</v>
      </c>
      <c r="H191" s="18">
        <f t="shared" si="10"/>
        <v>37234.448085486671</v>
      </c>
      <c r="I191" s="18">
        <f t="shared" si="12"/>
        <v>5534762.2075007996</v>
      </c>
    </row>
    <row r="192" spans="1:9" x14ac:dyDescent="0.25">
      <c r="A192" t="b">
        <f>IF(('Input Data'!$C$23)="FRM", FALSE, ISNUMBER(MATCH(C192,'Input Data'!$M$18:$M$30,0)))</f>
        <v>0</v>
      </c>
      <c r="B192" s="8">
        <f>IF($A192, _xlfn.XLOOKUP(C192,'Input Data'!$M$17:$M$29,'Input Data'!$N$17:$N$29),$B191)</f>
        <v>0.06</v>
      </c>
      <c r="C192" s="10">
        <f t="shared" si="13"/>
        <v>190</v>
      </c>
      <c r="D192" s="18">
        <f>IF(I191&gt;0,I191-J191,0)</f>
        <v>5534762.2075007996</v>
      </c>
      <c r="E192" s="18">
        <f>IF('Input Data'!$E$23=0,G192,IF(OR(D192&lt;=0,C192&gt;'Input Data'!$B$23*12),0,IF(AND(C192='Input Data'!$B$23*12,'Input Data'!$E$23&gt;'Input Data'!$B$23),D192+D192*B192/12,IF('Input Data'!$C$23="FRM",-PMT($B$3/12,'Input Data'!$E$23*12,$D$3),IF($A192,-PMT(B192/12,('Input Data'!$E$23*12)-C192+1,D192),E191)))))</f>
        <v>65094.431363418102</v>
      </c>
      <c r="F192" s="18">
        <f t="shared" si="11"/>
        <v>5469667.7761373818</v>
      </c>
      <c r="G192" s="18">
        <f>IF(C192&gt;'Input Data'!$B$23*12,0,D192*B192/12)</f>
        <v>27673.811037503998</v>
      </c>
      <c r="H192" s="18">
        <f t="shared" si="10"/>
        <v>37420.620325914104</v>
      </c>
      <c r="I192" s="18">
        <f t="shared" si="12"/>
        <v>5497341.5871748859</v>
      </c>
    </row>
    <row r="193" spans="1:9" x14ac:dyDescent="0.25">
      <c r="A193" t="b">
        <f>IF(('Input Data'!$C$23)="FRM", FALSE, ISNUMBER(MATCH(C193,'Input Data'!$M$18:$M$30,0)))</f>
        <v>0</v>
      </c>
      <c r="B193" s="8">
        <f>IF($A193, _xlfn.XLOOKUP(C193,'Input Data'!$M$17:$M$29,'Input Data'!$N$17:$N$29),$B192)</f>
        <v>0.06</v>
      </c>
      <c r="C193" s="10">
        <f t="shared" si="13"/>
        <v>191</v>
      </c>
      <c r="D193" s="18">
        <f t="shared" si="14"/>
        <v>5497341.5871748859</v>
      </c>
      <c r="E193" s="18">
        <f>IF('Input Data'!$E$23=0,G193,IF(OR(D193&lt;=0,C193&gt;'Input Data'!$B$23*12),0,IF(AND(C193='Input Data'!$B$23*12,'Input Data'!$E$23&gt;'Input Data'!$B$23),D193+D193*B193/12,IF('Input Data'!$C$23="FRM",-PMT($B$3/12,'Input Data'!$E$23*12,$D$3),IF($A193,-PMT(B193/12,('Input Data'!$E$23*12)-C193+1,D193),E192)))))</f>
        <v>65094.431363418102</v>
      </c>
      <c r="F193" s="18">
        <f t="shared" si="11"/>
        <v>5432247.1558114681</v>
      </c>
      <c r="G193" s="18">
        <f>IF(C193&gt;'Input Data'!$B$23*12,0,D193*B193/12)</f>
        <v>27486.707935874427</v>
      </c>
      <c r="H193" s="18">
        <f t="shared" si="10"/>
        <v>37607.723427543679</v>
      </c>
      <c r="I193" s="18">
        <f t="shared" si="12"/>
        <v>5459733.8637473425</v>
      </c>
    </row>
    <row r="194" spans="1:9" x14ac:dyDescent="0.25">
      <c r="A194" t="b">
        <f>IF(('Input Data'!$C$23)="FRM", FALSE, ISNUMBER(MATCH(C194,'Input Data'!$M$18:$M$30,0)))</f>
        <v>0</v>
      </c>
      <c r="B194" s="8">
        <f>IF($A194, _xlfn.XLOOKUP(C194,'Input Data'!$M$17:$M$29,'Input Data'!$N$17:$N$29),$B193)</f>
        <v>0.06</v>
      </c>
      <c r="C194" s="10">
        <f t="shared" si="13"/>
        <v>192</v>
      </c>
      <c r="D194" s="18">
        <f t="shared" si="14"/>
        <v>5459733.8637473425</v>
      </c>
      <c r="E194" s="18">
        <f>IF('Input Data'!$E$23=0,G194,IF(OR(D194&lt;=0,C194&gt;'Input Data'!$B$23*12),0,IF(AND(C194='Input Data'!$B$23*12,'Input Data'!$E$23&gt;'Input Data'!$B$23),D194+D194*B194/12,IF('Input Data'!$C$23="FRM",-PMT($B$3/12,'Input Data'!$E$23*12,$D$3),IF($A194,-PMT(B194/12,('Input Data'!$E$23*12)-C194+1,D194),E193)))))</f>
        <v>65094.431363418102</v>
      </c>
      <c r="F194" s="18">
        <f t="shared" si="11"/>
        <v>5394639.4323839247</v>
      </c>
      <c r="G194" s="18">
        <f>IF(C194&gt;'Input Data'!$B$23*12,0,D194*B194/12)</f>
        <v>27298.669318736709</v>
      </c>
      <c r="H194" s="18">
        <f t="shared" si="10"/>
        <v>37795.762044681396</v>
      </c>
      <c r="I194" s="18">
        <f t="shared" si="12"/>
        <v>5421938.1017026613</v>
      </c>
    </row>
    <row r="195" spans="1:9" x14ac:dyDescent="0.25">
      <c r="A195" t="b">
        <f>IF(('Input Data'!$C$23)="FRM", FALSE, ISNUMBER(MATCH(C195,'Input Data'!$M$18:$M$30,0)))</f>
        <v>0</v>
      </c>
      <c r="B195" s="8">
        <f>IF($A195, _xlfn.XLOOKUP(C195,'Input Data'!$M$17:$M$29,'Input Data'!$N$17:$N$29),$B194)</f>
        <v>0.06</v>
      </c>
      <c r="C195" s="10">
        <f t="shared" si="13"/>
        <v>193</v>
      </c>
      <c r="D195" s="18">
        <f t="shared" si="14"/>
        <v>5421938.1017026613</v>
      </c>
      <c r="E195" s="18">
        <f>IF('Input Data'!$E$23=0,G195,IF(OR(D195&lt;=0,C195&gt;'Input Data'!$B$23*12),0,IF(AND(C195='Input Data'!$B$23*12,'Input Data'!$E$23&gt;'Input Data'!$B$23),D195+D195*B195/12,IF('Input Data'!$C$23="FRM",-PMT($B$3/12,'Input Data'!$E$23*12,$D$3),IF($A195,-PMT(B195/12,('Input Data'!$E$23*12)-C195+1,D195),E194)))))</f>
        <v>65094.431363418102</v>
      </c>
      <c r="F195" s="18">
        <f t="shared" si="11"/>
        <v>5356843.6703392435</v>
      </c>
      <c r="G195" s="18">
        <f>IF(C195&gt;'Input Data'!$B$23*12,0,D195*B195/12)</f>
        <v>27109.690508513304</v>
      </c>
      <c r="H195" s="18">
        <f t="shared" ref="H195:H258" si="15">MIN(E195-G195,D195)</f>
        <v>37984.740854904798</v>
      </c>
      <c r="I195" s="18">
        <f t="shared" si="12"/>
        <v>5383953.3608477563</v>
      </c>
    </row>
    <row r="196" spans="1:9" x14ac:dyDescent="0.25">
      <c r="A196" t="b">
        <f>IF(('Input Data'!$C$23)="FRM", FALSE, ISNUMBER(MATCH(C196,'Input Data'!$M$18:$M$30,0)))</f>
        <v>0</v>
      </c>
      <c r="B196" s="8">
        <f>IF($A196, _xlfn.XLOOKUP(C196,'Input Data'!$M$17:$M$29,'Input Data'!$N$17:$N$29),$B195)</f>
        <v>0.06</v>
      </c>
      <c r="C196" s="10">
        <f t="shared" si="13"/>
        <v>194</v>
      </c>
      <c r="D196" s="18">
        <f t="shared" si="14"/>
        <v>5383953.3608477563</v>
      </c>
      <c r="E196" s="18">
        <f>IF('Input Data'!$E$23=0,G196,IF(OR(D196&lt;=0,C196&gt;'Input Data'!$B$23*12),0,IF(AND(C196='Input Data'!$B$23*12,'Input Data'!$E$23&gt;'Input Data'!$B$23),D196+D196*B196/12,IF('Input Data'!$C$23="FRM",-PMT($B$3/12,'Input Data'!$E$23*12,$D$3),IF($A196,-PMT(B196/12,('Input Data'!$E$23*12)-C196+1,D196),E195)))))</f>
        <v>65094.431363418102</v>
      </c>
      <c r="F196" s="18">
        <f t="shared" ref="F196:F259" si="16">IF(D196-E196&lt;0,0,D196-E196)</f>
        <v>5318858.9294843385</v>
      </c>
      <c r="G196" s="18">
        <f>IF(C196&gt;'Input Data'!$B$23*12,0,D196*B196/12)</f>
        <v>26919.766804238781</v>
      </c>
      <c r="H196" s="18">
        <f t="shared" si="15"/>
        <v>38174.66455917932</v>
      </c>
      <c r="I196" s="18">
        <f t="shared" ref="I196:I259" si="17">IF(ROUND(D196-H196,2)=0,0,D196-H196)</f>
        <v>5345778.6962885773</v>
      </c>
    </row>
    <row r="197" spans="1:9" x14ac:dyDescent="0.25">
      <c r="A197" t="b">
        <f>IF(('Input Data'!$C$23)="FRM", FALSE, ISNUMBER(MATCH(C197,'Input Data'!$M$18:$M$30,0)))</f>
        <v>0</v>
      </c>
      <c r="B197" s="8">
        <f>IF($A197, _xlfn.XLOOKUP(C197,'Input Data'!$M$17:$M$29,'Input Data'!$N$17:$N$29),$B196)</f>
        <v>0.06</v>
      </c>
      <c r="C197" s="10">
        <f t="shared" ref="C197:C260" si="18">C196+1</f>
        <v>195</v>
      </c>
      <c r="D197" s="18">
        <f t="shared" ref="D197:D260" si="19">IF(I196&gt;0,I196-J196,0)</f>
        <v>5345778.6962885773</v>
      </c>
      <c r="E197" s="18">
        <f>IF('Input Data'!$E$23=0,G197,IF(OR(D197&lt;=0,C197&gt;'Input Data'!$B$23*12),0,IF(AND(C197='Input Data'!$B$23*12,'Input Data'!$E$23&gt;'Input Data'!$B$23),D197+D197*B197/12,IF('Input Data'!$C$23="FRM",-PMT($B$3/12,'Input Data'!$E$23*12,$D$3),IF($A197,-PMT(B197/12,('Input Data'!$E$23*12)-C197+1,D197),E196)))))</f>
        <v>65094.431363418102</v>
      </c>
      <c r="F197" s="18">
        <f t="shared" si="16"/>
        <v>5280684.2649251595</v>
      </c>
      <c r="G197" s="18">
        <f>IF(C197&gt;'Input Data'!$B$23*12,0,D197*B197/12)</f>
        <v>26728.893481442883</v>
      </c>
      <c r="H197" s="18">
        <f t="shared" si="15"/>
        <v>38365.537881975222</v>
      </c>
      <c r="I197" s="18">
        <f t="shared" si="17"/>
        <v>5307413.1584066022</v>
      </c>
    </row>
    <row r="198" spans="1:9" x14ac:dyDescent="0.25">
      <c r="A198" t="b">
        <f>IF(('Input Data'!$C$23)="FRM", FALSE, ISNUMBER(MATCH(C198,'Input Data'!$M$18:$M$30,0)))</f>
        <v>0</v>
      </c>
      <c r="B198" s="8">
        <f>IF($A198, _xlfn.XLOOKUP(C198,'Input Data'!$M$17:$M$29,'Input Data'!$N$17:$N$29),$B197)</f>
        <v>0.06</v>
      </c>
      <c r="C198" s="10">
        <f t="shared" si="18"/>
        <v>196</v>
      </c>
      <c r="D198" s="18">
        <f t="shared" si="19"/>
        <v>5307413.1584066022</v>
      </c>
      <c r="E198" s="18">
        <f>IF('Input Data'!$E$23=0,G198,IF(OR(D198&lt;=0,C198&gt;'Input Data'!$B$23*12),0,IF(AND(C198='Input Data'!$B$23*12,'Input Data'!$E$23&gt;'Input Data'!$B$23),D198+D198*B198/12,IF('Input Data'!$C$23="FRM",-PMT($B$3/12,'Input Data'!$E$23*12,$D$3),IF($A198,-PMT(B198/12,('Input Data'!$E$23*12)-C198+1,D198),E197)))))</f>
        <v>65094.431363418102</v>
      </c>
      <c r="F198" s="18">
        <f t="shared" si="16"/>
        <v>5242318.7270431845</v>
      </c>
      <c r="G198" s="18">
        <f>IF(C198&gt;'Input Data'!$B$23*12,0,D198*B198/12)</f>
        <v>26537.065792033012</v>
      </c>
      <c r="H198" s="18">
        <f t="shared" si="15"/>
        <v>38557.365571385089</v>
      </c>
      <c r="I198" s="18">
        <f t="shared" si="17"/>
        <v>5268855.792835217</v>
      </c>
    </row>
    <row r="199" spans="1:9" x14ac:dyDescent="0.25">
      <c r="A199" t="b">
        <f>IF(('Input Data'!$C$23)="FRM", FALSE, ISNUMBER(MATCH(C199,'Input Data'!$M$18:$M$30,0)))</f>
        <v>0</v>
      </c>
      <c r="B199" s="8">
        <f>IF($A199, _xlfn.XLOOKUP(C199,'Input Data'!$M$17:$M$29,'Input Data'!$N$17:$N$29),$B198)</f>
        <v>0.06</v>
      </c>
      <c r="C199" s="10">
        <f t="shared" si="18"/>
        <v>197</v>
      </c>
      <c r="D199" s="18">
        <f t="shared" si="19"/>
        <v>5268855.792835217</v>
      </c>
      <c r="E199" s="18">
        <f>IF('Input Data'!$E$23=0,G199,IF(OR(D199&lt;=0,C199&gt;'Input Data'!$B$23*12),0,IF(AND(C199='Input Data'!$B$23*12,'Input Data'!$E$23&gt;'Input Data'!$B$23),D199+D199*B199/12,IF('Input Data'!$C$23="FRM",-PMT($B$3/12,'Input Data'!$E$23*12,$D$3),IF($A199,-PMT(B199/12,('Input Data'!$E$23*12)-C199+1,D199),E198)))))</f>
        <v>65094.431363418102</v>
      </c>
      <c r="F199" s="18">
        <f t="shared" si="16"/>
        <v>5203761.3614717992</v>
      </c>
      <c r="G199" s="18">
        <f>IF(C199&gt;'Input Data'!$B$23*12,0,D199*B199/12)</f>
        <v>26344.278964176086</v>
      </c>
      <c r="H199" s="18">
        <f t="shared" si="15"/>
        <v>38750.152399242012</v>
      </c>
      <c r="I199" s="18">
        <f t="shared" si="17"/>
        <v>5230105.640435975</v>
      </c>
    </row>
    <row r="200" spans="1:9" x14ac:dyDescent="0.25">
      <c r="A200" t="b">
        <f>IF(('Input Data'!$C$23)="FRM", FALSE, ISNUMBER(MATCH(C200,'Input Data'!$M$18:$M$30,0)))</f>
        <v>0</v>
      </c>
      <c r="B200" s="8">
        <f>IF($A200, _xlfn.XLOOKUP(C200,'Input Data'!$M$17:$M$29,'Input Data'!$N$17:$N$29),$B199)</f>
        <v>0.06</v>
      </c>
      <c r="C200" s="10">
        <f t="shared" si="18"/>
        <v>198</v>
      </c>
      <c r="D200" s="18">
        <f t="shared" si="19"/>
        <v>5230105.640435975</v>
      </c>
      <c r="E200" s="18">
        <f>IF('Input Data'!$E$23=0,G200,IF(OR(D200&lt;=0,C200&gt;'Input Data'!$B$23*12),0,IF(AND(C200='Input Data'!$B$23*12,'Input Data'!$E$23&gt;'Input Data'!$B$23),D200+D200*B200/12,IF('Input Data'!$C$23="FRM",-PMT($B$3/12,'Input Data'!$E$23*12,$D$3),IF($A200,-PMT(B200/12,('Input Data'!$E$23*12)-C200+1,D200),E199)))))</f>
        <v>65094.431363418102</v>
      </c>
      <c r="F200" s="18">
        <f t="shared" si="16"/>
        <v>5165011.2090725573</v>
      </c>
      <c r="G200" s="18">
        <f>IF(C200&gt;'Input Data'!$B$23*12,0,D200*B200/12)</f>
        <v>26150.528202179874</v>
      </c>
      <c r="H200" s="18">
        <f t="shared" si="15"/>
        <v>38943.903161238224</v>
      </c>
      <c r="I200" s="18">
        <f t="shared" si="17"/>
        <v>5191161.7372747371</v>
      </c>
    </row>
    <row r="201" spans="1:9" x14ac:dyDescent="0.25">
      <c r="A201" t="b">
        <f>IF(('Input Data'!$C$23)="FRM", FALSE, ISNUMBER(MATCH(C201,'Input Data'!$M$18:$M$30,0)))</f>
        <v>0</v>
      </c>
      <c r="B201" s="8">
        <f>IF($A201, _xlfn.XLOOKUP(C201,'Input Data'!$M$17:$M$29,'Input Data'!$N$17:$N$29),$B200)</f>
        <v>0.06</v>
      </c>
      <c r="C201" s="10">
        <f t="shared" si="18"/>
        <v>199</v>
      </c>
      <c r="D201" s="18">
        <f t="shared" si="19"/>
        <v>5191161.7372747371</v>
      </c>
      <c r="E201" s="18">
        <f>IF('Input Data'!$E$23=0,G201,IF(OR(D201&lt;=0,C201&gt;'Input Data'!$B$23*12),0,IF(AND(C201='Input Data'!$B$23*12,'Input Data'!$E$23&gt;'Input Data'!$B$23),D201+D201*B201/12,IF('Input Data'!$C$23="FRM",-PMT($B$3/12,'Input Data'!$E$23*12,$D$3),IF($A201,-PMT(B201/12,('Input Data'!$E$23*12)-C201+1,D201),E200)))))</f>
        <v>65094.431363418102</v>
      </c>
      <c r="F201" s="18">
        <f t="shared" si="16"/>
        <v>5126067.3059113193</v>
      </c>
      <c r="G201" s="18">
        <f>IF(C201&gt;'Input Data'!$B$23*12,0,D201*B201/12)</f>
        <v>25955.808686373683</v>
      </c>
      <c r="H201" s="18">
        <f t="shared" si="15"/>
        <v>39138.622677044419</v>
      </c>
      <c r="I201" s="18">
        <f t="shared" si="17"/>
        <v>5152023.1145976931</v>
      </c>
    </row>
    <row r="202" spans="1:9" x14ac:dyDescent="0.25">
      <c r="A202" t="b">
        <f>IF(('Input Data'!$C$23)="FRM", FALSE, ISNUMBER(MATCH(C202,'Input Data'!$M$18:$M$30,0)))</f>
        <v>0</v>
      </c>
      <c r="B202" s="8">
        <f>IF($A202, _xlfn.XLOOKUP(C202,'Input Data'!$M$17:$M$29,'Input Data'!$N$17:$N$29),$B201)</f>
        <v>0.06</v>
      </c>
      <c r="C202" s="10">
        <f t="shared" si="18"/>
        <v>200</v>
      </c>
      <c r="D202" s="18">
        <f t="shared" si="19"/>
        <v>5152023.1145976931</v>
      </c>
      <c r="E202" s="18">
        <f>IF('Input Data'!$E$23=0,G202,IF(OR(D202&lt;=0,C202&gt;'Input Data'!$B$23*12),0,IF(AND(C202='Input Data'!$B$23*12,'Input Data'!$E$23&gt;'Input Data'!$B$23),D202+D202*B202/12,IF('Input Data'!$C$23="FRM",-PMT($B$3/12,'Input Data'!$E$23*12,$D$3),IF($A202,-PMT(B202/12,('Input Data'!$E$23*12)-C202+1,D202),E201)))))</f>
        <v>65094.431363418102</v>
      </c>
      <c r="F202" s="18">
        <f t="shared" si="16"/>
        <v>5086928.6832342753</v>
      </c>
      <c r="G202" s="18">
        <f>IF(C202&gt;'Input Data'!$B$23*12,0,D202*B202/12)</f>
        <v>25760.115572988463</v>
      </c>
      <c r="H202" s="18">
        <f t="shared" si="15"/>
        <v>39334.315790429639</v>
      </c>
      <c r="I202" s="18">
        <f t="shared" si="17"/>
        <v>5112688.7988072634</v>
      </c>
    </row>
    <row r="203" spans="1:9" x14ac:dyDescent="0.25">
      <c r="A203" t="b">
        <f>IF(('Input Data'!$C$23)="FRM", FALSE, ISNUMBER(MATCH(C203,'Input Data'!$M$18:$M$30,0)))</f>
        <v>0</v>
      </c>
      <c r="B203" s="8">
        <f>IF($A203, _xlfn.XLOOKUP(C203,'Input Data'!$M$17:$M$29,'Input Data'!$N$17:$N$29),$B202)</f>
        <v>0.06</v>
      </c>
      <c r="C203" s="10">
        <f t="shared" si="18"/>
        <v>201</v>
      </c>
      <c r="D203" s="18">
        <f t="shared" si="19"/>
        <v>5112688.7988072634</v>
      </c>
      <c r="E203" s="18">
        <f>IF('Input Data'!$E$23=0,G203,IF(OR(D203&lt;=0,C203&gt;'Input Data'!$B$23*12),0,IF(AND(C203='Input Data'!$B$23*12,'Input Data'!$E$23&gt;'Input Data'!$B$23),D203+D203*B203/12,IF('Input Data'!$C$23="FRM",-PMT($B$3/12,'Input Data'!$E$23*12,$D$3),IF($A203,-PMT(B203/12,('Input Data'!$E$23*12)-C203+1,D203),E202)))))</f>
        <v>65094.431363418102</v>
      </c>
      <c r="F203" s="18">
        <f t="shared" si="16"/>
        <v>5047594.3674438456</v>
      </c>
      <c r="G203" s="18">
        <f>IF(C203&gt;'Input Data'!$B$23*12,0,D203*B203/12)</f>
        <v>25563.443994036319</v>
      </c>
      <c r="H203" s="18">
        <f t="shared" si="15"/>
        <v>39530.987369381779</v>
      </c>
      <c r="I203" s="18">
        <f t="shared" si="17"/>
        <v>5073157.8114378816</v>
      </c>
    </row>
    <row r="204" spans="1:9" x14ac:dyDescent="0.25">
      <c r="A204" t="b">
        <f>IF(('Input Data'!$C$23)="FRM", FALSE, ISNUMBER(MATCH(C204,'Input Data'!$M$18:$M$30,0)))</f>
        <v>0</v>
      </c>
      <c r="B204" s="8">
        <f>IF($A204, _xlfn.XLOOKUP(C204,'Input Data'!$M$17:$M$29,'Input Data'!$N$17:$N$29),$B203)</f>
        <v>0.06</v>
      </c>
      <c r="C204" s="10">
        <f t="shared" si="18"/>
        <v>202</v>
      </c>
      <c r="D204" s="18">
        <f t="shared" si="19"/>
        <v>5073157.8114378816</v>
      </c>
      <c r="E204" s="18">
        <f>IF('Input Data'!$E$23=0,G204,IF(OR(D204&lt;=0,C204&gt;'Input Data'!$B$23*12),0,IF(AND(C204='Input Data'!$B$23*12,'Input Data'!$E$23&gt;'Input Data'!$B$23),D204+D204*B204/12,IF('Input Data'!$C$23="FRM",-PMT($B$3/12,'Input Data'!$E$23*12,$D$3),IF($A204,-PMT(B204/12,('Input Data'!$E$23*12)-C204+1,D204),E203)))))</f>
        <v>65094.431363418102</v>
      </c>
      <c r="F204" s="18">
        <f t="shared" si="16"/>
        <v>5008063.3800744638</v>
      </c>
      <c r="G204" s="18">
        <f>IF(C204&gt;'Input Data'!$B$23*12,0,D204*B204/12)</f>
        <v>25365.789057189406</v>
      </c>
      <c r="H204" s="18">
        <f t="shared" si="15"/>
        <v>39728.642306228692</v>
      </c>
      <c r="I204" s="18">
        <f t="shared" si="17"/>
        <v>5033429.1691316525</v>
      </c>
    </row>
    <row r="205" spans="1:9" x14ac:dyDescent="0.25">
      <c r="A205" t="b">
        <f>IF(('Input Data'!$C$23)="FRM", FALSE, ISNUMBER(MATCH(C205,'Input Data'!$M$18:$M$30,0)))</f>
        <v>0</v>
      </c>
      <c r="B205" s="8">
        <f>IF($A205, _xlfn.XLOOKUP(C205,'Input Data'!$M$17:$M$29,'Input Data'!$N$17:$N$29),$B204)</f>
        <v>0.06</v>
      </c>
      <c r="C205" s="10">
        <f t="shared" si="18"/>
        <v>203</v>
      </c>
      <c r="D205" s="18">
        <f t="shared" si="19"/>
        <v>5033429.1691316525</v>
      </c>
      <c r="E205" s="18">
        <f>IF('Input Data'!$E$23=0,G205,IF(OR(D205&lt;=0,C205&gt;'Input Data'!$B$23*12),0,IF(AND(C205='Input Data'!$B$23*12,'Input Data'!$E$23&gt;'Input Data'!$B$23),D205+D205*B205/12,IF('Input Data'!$C$23="FRM",-PMT($B$3/12,'Input Data'!$E$23*12,$D$3),IF($A205,-PMT(B205/12,('Input Data'!$E$23*12)-C205+1,D205),E204)))))</f>
        <v>65094.431363418102</v>
      </c>
      <c r="F205" s="18">
        <f t="shared" si="16"/>
        <v>4968334.7377682347</v>
      </c>
      <c r="G205" s="18">
        <f>IF(C205&gt;'Input Data'!$B$23*12,0,D205*B205/12)</f>
        <v>25167.145845658262</v>
      </c>
      <c r="H205" s="18">
        <f t="shared" si="15"/>
        <v>39927.285517759839</v>
      </c>
      <c r="I205" s="18">
        <f t="shared" si="17"/>
        <v>4993501.8836138928</v>
      </c>
    </row>
    <row r="206" spans="1:9" x14ac:dyDescent="0.25">
      <c r="A206" t="b">
        <f>IF(('Input Data'!$C$23)="FRM", FALSE, ISNUMBER(MATCH(C206,'Input Data'!$M$18:$M$30,0)))</f>
        <v>0</v>
      </c>
      <c r="B206" s="8">
        <f>IF($A206, _xlfn.XLOOKUP(C206,'Input Data'!$M$17:$M$29,'Input Data'!$N$17:$N$29),$B205)</f>
        <v>0.06</v>
      </c>
      <c r="C206" s="10">
        <f t="shared" si="18"/>
        <v>204</v>
      </c>
      <c r="D206" s="18">
        <f t="shared" si="19"/>
        <v>4993501.8836138928</v>
      </c>
      <c r="E206" s="18">
        <f>IF('Input Data'!$E$23=0,G206,IF(OR(D206&lt;=0,C206&gt;'Input Data'!$B$23*12),0,IF(AND(C206='Input Data'!$B$23*12,'Input Data'!$E$23&gt;'Input Data'!$B$23),D206+D206*B206/12,IF('Input Data'!$C$23="FRM",-PMT($B$3/12,'Input Data'!$E$23*12,$D$3),IF($A206,-PMT(B206/12,('Input Data'!$E$23*12)-C206+1,D206),E205)))))</f>
        <v>65094.431363418102</v>
      </c>
      <c r="F206" s="18">
        <f t="shared" si="16"/>
        <v>4928407.4522504751</v>
      </c>
      <c r="G206" s="18">
        <f>IF(C206&gt;'Input Data'!$B$23*12,0,D206*B206/12)</f>
        <v>24967.509418069461</v>
      </c>
      <c r="H206" s="18">
        <f t="shared" si="15"/>
        <v>40126.921945348644</v>
      </c>
      <c r="I206" s="18">
        <f t="shared" si="17"/>
        <v>4953374.9616685444</v>
      </c>
    </row>
    <row r="207" spans="1:9" x14ac:dyDescent="0.25">
      <c r="A207" t="b">
        <f>IF(('Input Data'!$C$23)="FRM", FALSE, ISNUMBER(MATCH(C207,'Input Data'!$M$18:$M$30,0)))</f>
        <v>0</v>
      </c>
      <c r="B207" s="8">
        <f>IF($A207, _xlfn.XLOOKUP(C207,'Input Data'!$M$17:$M$29,'Input Data'!$N$17:$N$29),$B206)</f>
        <v>0.06</v>
      </c>
      <c r="C207" s="10">
        <f t="shared" si="18"/>
        <v>205</v>
      </c>
      <c r="D207" s="18">
        <f t="shared" si="19"/>
        <v>4953374.9616685444</v>
      </c>
      <c r="E207" s="18">
        <f>IF('Input Data'!$E$23=0,G207,IF(OR(D207&lt;=0,C207&gt;'Input Data'!$B$23*12),0,IF(AND(C207='Input Data'!$B$23*12,'Input Data'!$E$23&gt;'Input Data'!$B$23),D207+D207*B207/12,IF('Input Data'!$C$23="FRM",-PMT($B$3/12,'Input Data'!$E$23*12,$D$3),IF($A207,-PMT(B207/12,('Input Data'!$E$23*12)-C207+1,D207),E206)))))</f>
        <v>65094.431363418102</v>
      </c>
      <c r="F207" s="18">
        <f t="shared" si="16"/>
        <v>4888280.5303051267</v>
      </c>
      <c r="G207" s="18">
        <f>IF(C207&gt;'Input Data'!$B$23*12,0,D207*B207/12)</f>
        <v>24766.87480834272</v>
      </c>
      <c r="H207" s="18">
        <f t="shared" si="15"/>
        <v>40327.556555075382</v>
      </c>
      <c r="I207" s="18">
        <f t="shared" si="17"/>
        <v>4913047.4051134689</v>
      </c>
    </row>
    <row r="208" spans="1:9" x14ac:dyDescent="0.25">
      <c r="A208" t="b">
        <f>IF(('Input Data'!$C$23)="FRM", FALSE, ISNUMBER(MATCH(C208,'Input Data'!$M$18:$M$30,0)))</f>
        <v>0</v>
      </c>
      <c r="B208" s="8">
        <f>IF($A208, _xlfn.XLOOKUP(C208,'Input Data'!$M$17:$M$29,'Input Data'!$N$17:$N$29),$B207)</f>
        <v>0.06</v>
      </c>
      <c r="C208" s="10">
        <f t="shared" si="18"/>
        <v>206</v>
      </c>
      <c r="D208" s="18">
        <f t="shared" si="19"/>
        <v>4913047.4051134689</v>
      </c>
      <c r="E208" s="18">
        <f>IF('Input Data'!$E$23=0,G208,IF(OR(D208&lt;=0,C208&gt;'Input Data'!$B$23*12),0,IF(AND(C208='Input Data'!$B$23*12,'Input Data'!$E$23&gt;'Input Data'!$B$23),D208+D208*B208/12,IF('Input Data'!$C$23="FRM",-PMT($B$3/12,'Input Data'!$E$23*12,$D$3),IF($A208,-PMT(B208/12,('Input Data'!$E$23*12)-C208+1,D208),E207)))))</f>
        <v>65094.431363418102</v>
      </c>
      <c r="F208" s="18">
        <f t="shared" si="16"/>
        <v>4847952.9737500511</v>
      </c>
      <c r="G208" s="18">
        <f>IF(C208&gt;'Input Data'!$B$23*12,0,D208*B208/12)</f>
        <v>24565.237025567345</v>
      </c>
      <c r="H208" s="18">
        <f t="shared" si="15"/>
        <v>40529.194337850757</v>
      </c>
      <c r="I208" s="18">
        <f t="shared" si="17"/>
        <v>4872518.2107756184</v>
      </c>
    </row>
    <row r="209" spans="1:9" x14ac:dyDescent="0.25">
      <c r="A209" t="b">
        <f>IF(('Input Data'!$C$23)="FRM", FALSE, ISNUMBER(MATCH(C209,'Input Data'!$M$18:$M$30,0)))</f>
        <v>0</v>
      </c>
      <c r="B209" s="8">
        <f>IF($A209, _xlfn.XLOOKUP(C209,'Input Data'!$M$17:$M$29,'Input Data'!$N$17:$N$29),$B208)</f>
        <v>0.06</v>
      </c>
      <c r="C209" s="10">
        <f t="shared" si="18"/>
        <v>207</v>
      </c>
      <c r="D209" s="18">
        <f t="shared" si="19"/>
        <v>4872518.2107756184</v>
      </c>
      <c r="E209" s="18">
        <f>IF('Input Data'!$E$23=0,G209,IF(OR(D209&lt;=0,C209&gt;'Input Data'!$B$23*12),0,IF(AND(C209='Input Data'!$B$23*12,'Input Data'!$E$23&gt;'Input Data'!$B$23),D209+D209*B209/12,IF('Input Data'!$C$23="FRM",-PMT($B$3/12,'Input Data'!$E$23*12,$D$3),IF($A209,-PMT(B209/12,('Input Data'!$E$23*12)-C209+1,D209),E208)))))</f>
        <v>65094.431363418102</v>
      </c>
      <c r="F209" s="18">
        <f t="shared" si="16"/>
        <v>4807423.7794122007</v>
      </c>
      <c r="G209" s="18">
        <f>IF(C209&gt;'Input Data'!$B$23*12,0,D209*B209/12)</f>
        <v>24362.591053878092</v>
      </c>
      <c r="H209" s="18">
        <f t="shared" si="15"/>
        <v>40731.840309540014</v>
      </c>
      <c r="I209" s="18">
        <f t="shared" si="17"/>
        <v>4831786.3704660786</v>
      </c>
    </row>
    <row r="210" spans="1:9" x14ac:dyDescent="0.25">
      <c r="A210" t="b">
        <f>IF(('Input Data'!$C$23)="FRM", FALSE, ISNUMBER(MATCH(C210,'Input Data'!$M$18:$M$30,0)))</f>
        <v>0</v>
      </c>
      <c r="B210" s="8">
        <f>IF($A210, _xlfn.XLOOKUP(C210,'Input Data'!$M$17:$M$29,'Input Data'!$N$17:$N$29),$B209)</f>
        <v>0.06</v>
      </c>
      <c r="C210" s="10">
        <f t="shared" si="18"/>
        <v>208</v>
      </c>
      <c r="D210" s="18">
        <f t="shared" si="19"/>
        <v>4831786.3704660786</v>
      </c>
      <c r="E210" s="18">
        <f>IF('Input Data'!$E$23=0,G210,IF(OR(D210&lt;=0,C210&gt;'Input Data'!$B$23*12),0,IF(AND(C210='Input Data'!$B$23*12,'Input Data'!$E$23&gt;'Input Data'!$B$23),D210+D210*B210/12,IF('Input Data'!$C$23="FRM",-PMT($B$3/12,'Input Data'!$E$23*12,$D$3),IF($A210,-PMT(B210/12,('Input Data'!$E$23*12)-C210+1,D210),E209)))))</f>
        <v>65094.431363418102</v>
      </c>
      <c r="F210" s="18">
        <f t="shared" si="16"/>
        <v>4766691.9391026609</v>
      </c>
      <c r="G210" s="18">
        <f>IF(C210&gt;'Input Data'!$B$23*12,0,D210*B210/12)</f>
        <v>24158.931852330392</v>
      </c>
      <c r="H210" s="18">
        <f t="shared" si="15"/>
        <v>40935.499511087706</v>
      </c>
      <c r="I210" s="18">
        <f t="shared" si="17"/>
        <v>4790850.8709549913</v>
      </c>
    </row>
    <row r="211" spans="1:9" x14ac:dyDescent="0.25">
      <c r="A211" t="b">
        <f>IF(('Input Data'!$C$23)="FRM", FALSE, ISNUMBER(MATCH(C211,'Input Data'!$M$18:$M$30,0)))</f>
        <v>0</v>
      </c>
      <c r="B211" s="8">
        <f>IF($A211, _xlfn.XLOOKUP(C211,'Input Data'!$M$17:$M$29,'Input Data'!$N$17:$N$29),$B210)</f>
        <v>0.06</v>
      </c>
      <c r="C211" s="10">
        <f t="shared" si="18"/>
        <v>209</v>
      </c>
      <c r="D211" s="18">
        <f t="shared" si="19"/>
        <v>4790850.8709549913</v>
      </c>
      <c r="E211" s="18">
        <f>IF('Input Data'!$E$23=0,G211,IF(OR(D211&lt;=0,C211&gt;'Input Data'!$B$23*12),0,IF(AND(C211='Input Data'!$B$23*12,'Input Data'!$E$23&gt;'Input Data'!$B$23),D211+D211*B211/12,IF('Input Data'!$C$23="FRM",-PMT($B$3/12,'Input Data'!$E$23*12,$D$3),IF($A211,-PMT(B211/12,('Input Data'!$E$23*12)-C211+1,D211),E210)))))</f>
        <v>65094.431363418102</v>
      </c>
      <c r="F211" s="18">
        <f t="shared" si="16"/>
        <v>4725756.4395915736</v>
      </c>
      <c r="G211" s="18">
        <f>IF(C211&gt;'Input Data'!$B$23*12,0,D211*B211/12)</f>
        <v>23954.254354774956</v>
      </c>
      <c r="H211" s="18">
        <f t="shared" si="15"/>
        <v>41140.17700864315</v>
      </c>
      <c r="I211" s="18">
        <f t="shared" si="17"/>
        <v>4749710.6939463485</v>
      </c>
    </row>
    <row r="212" spans="1:9" x14ac:dyDescent="0.25">
      <c r="A212" t="b">
        <f>IF(('Input Data'!$C$23)="FRM", FALSE, ISNUMBER(MATCH(C212,'Input Data'!$M$18:$M$30,0)))</f>
        <v>0</v>
      </c>
      <c r="B212" s="8">
        <f>IF($A212, _xlfn.XLOOKUP(C212,'Input Data'!$M$17:$M$29,'Input Data'!$N$17:$N$29),$B211)</f>
        <v>0.06</v>
      </c>
      <c r="C212" s="10">
        <f t="shared" si="18"/>
        <v>210</v>
      </c>
      <c r="D212" s="18">
        <f t="shared" si="19"/>
        <v>4749710.6939463485</v>
      </c>
      <c r="E212" s="18">
        <f>IF('Input Data'!$E$23=0,G212,IF(OR(D212&lt;=0,C212&gt;'Input Data'!$B$23*12),0,IF(AND(C212='Input Data'!$B$23*12,'Input Data'!$E$23&gt;'Input Data'!$B$23),D212+D212*B212/12,IF('Input Data'!$C$23="FRM",-PMT($B$3/12,'Input Data'!$E$23*12,$D$3),IF($A212,-PMT(B212/12,('Input Data'!$E$23*12)-C212+1,D212),E211)))))</f>
        <v>65094.431363418102</v>
      </c>
      <c r="F212" s="18">
        <f t="shared" si="16"/>
        <v>4684616.2625829307</v>
      </c>
      <c r="G212" s="18">
        <f>IF(C212&gt;'Input Data'!$B$23*12,0,D212*B212/12)</f>
        <v>23748.553469731738</v>
      </c>
      <c r="H212" s="18">
        <f t="shared" si="15"/>
        <v>41345.877893686367</v>
      </c>
      <c r="I212" s="18">
        <f t="shared" si="17"/>
        <v>4708364.8160526622</v>
      </c>
    </row>
    <row r="213" spans="1:9" x14ac:dyDescent="0.25">
      <c r="A213" t="b">
        <f>IF(('Input Data'!$C$23)="FRM", FALSE, ISNUMBER(MATCH(C213,'Input Data'!$M$18:$M$30,0)))</f>
        <v>0</v>
      </c>
      <c r="B213" s="8">
        <f>IF($A213, _xlfn.XLOOKUP(C213,'Input Data'!$M$17:$M$29,'Input Data'!$N$17:$N$29),$B212)</f>
        <v>0.06</v>
      </c>
      <c r="C213" s="10">
        <f t="shared" si="18"/>
        <v>211</v>
      </c>
      <c r="D213" s="18">
        <f t="shared" si="19"/>
        <v>4708364.8160526622</v>
      </c>
      <c r="E213" s="18">
        <f>IF('Input Data'!$E$23=0,G213,IF(OR(D213&lt;=0,C213&gt;'Input Data'!$B$23*12),0,IF(AND(C213='Input Data'!$B$23*12,'Input Data'!$E$23&gt;'Input Data'!$B$23),D213+D213*B213/12,IF('Input Data'!$C$23="FRM",-PMT($B$3/12,'Input Data'!$E$23*12,$D$3),IF($A213,-PMT(B213/12,('Input Data'!$E$23*12)-C213+1,D213),E212)))))</f>
        <v>65094.431363418102</v>
      </c>
      <c r="F213" s="18">
        <f t="shared" si="16"/>
        <v>4643270.3846892444</v>
      </c>
      <c r="G213" s="18">
        <f>IF(C213&gt;'Input Data'!$B$23*12,0,D213*B213/12)</f>
        <v>23541.824080263308</v>
      </c>
      <c r="H213" s="18">
        <f t="shared" si="15"/>
        <v>41552.607283154794</v>
      </c>
      <c r="I213" s="18">
        <f t="shared" si="17"/>
        <v>4666812.2087695077</v>
      </c>
    </row>
    <row r="214" spans="1:9" x14ac:dyDescent="0.25">
      <c r="A214" t="b">
        <f>IF(('Input Data'!$C$23)="FRM", FALSE, ISNUMBER(MATCH(C214,'Input Data'!$M$18:$M$30,0)))</f>
        <v>0</v>
      </c>
      <c r="B214" s="8">
        <f>IF($A214, _xlfn.XLOOKUP(C214,'Input Data'!$M$17:$M$29,'Input Data'!$N$17:$N$29),$B213)</f>
        <v>0.06</v>
      </c>
      <c r="C214" s="10">
        <f t="shared" si="18"/>
        <v>212</v>
      </c>
      <c r="D214" s="18">
        <f t="shared" si="19"/>
        <v>4666812.2087695077</v>
      </c>
      <c r="E214" s="18">
        <f>IF('Input Data'!$E$23=0,G214,IF(OR(D214&lt;=0,C214&gt;'Input Data'!$B$23*12),0,IF(AND(C214='Input Data'!$B$23*12,'Input Data'!$E$23&gt;'Input Data'!$B$23),D214+D214*B214/12,IF('Input Data'!$C$23="FRM",-PMT($B$3/12,'Input Data'!$E$23*12,$D$3),IF($A214,-PMT(B214/12,('Input Data'!$E$23*12)-C214+1,D214),E213)))))</f>
        <v>65094.431363418102</v>
      </c>
      <c r="F214" s="18">
        <f t="shared" si="16"/>
        <v>4601717.7774060899</v>
      </c>
      <c r="G214" s="18">
        <f>IF(C214&gt;'Input Data'!$B$23*12,0,D214*B214/12)</f>
        <v>23334.061043847538</v>
      </c>
      <c r="H214" s="18">
        <f t="shared" si="15"/>
        <v>41760.37031957056</v>
      </c>
      <c r="I214" s="18">
        <f t="shared" si="17"/>
        <v>4625051.8384499373</v>
      </c>
    </row>
    <row r="215" spans="1:9" x14ac:dyDescent="0.25">
      <c r="A215" t="b">
        <f>IF(('Input Data'!$C$23)="FRM", FALSE, ISNUMBER(MATCH(C215,'Input Data'!$M$18:$M$30,0)))</f>
        <v>0</v>
      </c>
      <c r="B215" s="8">
        <f>IF($A215, _xlfn.XLOOKUP(C215,'Input Data'!$M$17:$M$29,'Input Data'!$N$17:$N$29),$B214)</f>
        <v>0.06</v>
      </c>
      <c r="C215" s="10">
        <f t="shared" si="18"/>
        <v>213</v>
      </c>
      <c r="D215" s="18">
        <f t="shared" si="19"/>
        <v>4625051.8384499373</v>
      </c>
      <c r="E215" s="18">
        <f>IF('Input Data'!$E$23=0,G215,IF(OR(D215&lt;=0,C215&gt;'Input Data'!$B$23*12),0,IF(AND(C215='Input Data'!$B$23*12,'Input Data'!$E$23&gt;'Input Data'!$B$23),D215+D215*B215/12,IF('Input Data'!$C$23="FRM",-PMT($B$3/12,'Input Data'!$E$23*12,$D$3),IF($A215,-PMT(B215/12,('Input Data'!$E$23*12)-C215+1,D215),E214)))))</f>
        <v>65094.431363418102</v>
      </c>
      <c r="F215" s="18">
        <f t="shared" si="16"/>
        <v>4559957.4070865195</v>
      </c>
      <c r="G215" s="18">
        <f>IF(C215&gt;'Input Data'!$B$23*12,0,D215*B215/12)</f>
        <v>23125.259192249683</v>
      </c>
      <c r="H215" s="18">
        <f t="shared" si="15"/>
        <v>41969.172171168422</v>
      </c>
      <c r="I215" s="18">
        <f t="shared" si="17"/>
        <v>4583082.6662787693</v>
      </c>
    </row>
    <row r="216" spans="1:9" x14ac:dyDescent="0.25">
      <c r="A216" t="b">
        <f>IF(('Input Data'!$C$23)="FRM", FALSE, ISNUMBER(MATCH(C216,'Input Data'!$M$18:$M$30,0)))</f>
        <v>0</v>
      </c>
      <c r="B216" s="8">
        <f>IF($A216, _xlfn.XLOOKUP(C216,'Input Data'!$M$17:$M$29,'Input Data'!$N$17:$N$29),$B215)</f>
        <v>0.06</v>
      </c>
      <c r="C216" s="10">
        <f t="shared" si="18"/>
        <v>214</v>
      </c>
      <c r="D216" s="18">
        <f t="shared" si="19"/>
        <v>4583082.6662787693</v>
      </c>
      <c r="E216" s="18">
        <f>IF('Input Data'!$E$23=0,G216,IF(OR(D216&lt;=0,C216&gt;'Input Data'!$B$23*12),0,IF(AND(C216='Input Data'!$B$23*12,'Input Data'!$E$23&gt;'Input Data'!$B$23),D216+D216*B216/12,IF('Input Data'!$C$23="FRM",-PMT($B$3/12,'Input Data'!$E$23*12,$D$3),IF($A216,-PMT(B216/12,('Input Data'!$E$23*12)-C216+1,D216),E215)))))</f>
        <v>65094.431363418102</v>
      </c>
      <c r="F216" s="18">
        <f t="shared" si="16"/>
        <v>4517988.2349153515</v>
      </c>
      <c r="G216" s="18">
        <f>IF(C216&gt;'Input Data'!$B$23*12,0,D216*B216/12)</f>
        <v>22915.413331393847</v>
      </c>
      <c r="H216" s="18">
        <f t="shared" si="15"/>
        <v>42179.018032024251</v>
      </c>
      <c r="I216" s="18">
        <f t="shared" si="17"/>
        <v>4540903.6482467446</v>
      </c>
    </row>
    <row r="217" spans="1:9" x14ac:dyDescent="0.25">
      <c r="A217" t="b">
        <f>IF(('Input Data'!$C$23)="FRM", FALSE, ISNUMBER(MATCH(C217,'Input Data'!$M$18:$M$30,0)))</f>
        <v>0</v>
      </c>
      <c r="B217" s="8">
        <f>IF($A217, _xlfn.XLOOKUP(C217,'Input Data'!$M$17:$M$29,'Input Data'!$N$17:$N$29),$B216)</f>
        <v>0.06</v>
      </c>
      <c r="C217" s="10">
        <f t="shared" si="18"/>
        <v>215</v>
      </c>
      <c r="D217" s="18">
        <f t="shared" si="19"/>
        <v>4540903.6482467446</v>
      </c>
      <c r="E217" s="18">
        <f>IF('Input Data'!$E$23=0,G217,IF(OR(D217&lt;=0,C217&gt;'Input Data'!$B$23*12),0,IF(AND(C217='Input Data'!$B$23*12,'Input Data'!$E$23&gt;'Input Data'!$B$23),D217+D217*B217/12,IF('Input Data'!$C$23="FRM",-PMT($B$3/12,'Input Data'!$E$23*12,$D$3),IF($A217,-PMT(B217/12,('Input Data'!$E$23*12)-C217+1,D217),E216)))))</f>
        <v>65094.431363418102</v>
      </c>
      <c r="F217" s="18">
        <f t="shared" si="16"/>
        <v>4475809.2168833269</v>
      </c>
      <c r="G217" s="18">
        <f>IF(C217&gt;'Input Data'!$B$23*12,0,D217*B217/12)</f>
        <v>22704.51824123372</v>
      </c>
      <c r="H217" s="18">
        <f t="shared" si="15"/>
        <v>42389.913122184385</v>
      </c>
      <c r="I217" s="18">
        <f t="shared" si="17"/>
        <v>4498513.7351245601</v>
      </c>
    </row>
    <row r="218" spans="1:9" x14ac:dyDescent="0.25">
      <c r="A218" t="b">
        <f>IF(('Input Data'!$C$23)="FRM", FALSE, ISNUMBER(MATCH(C218,'Input Data'!$M$18:$M$30,0)))</f>
        <v>0</v>
      </c>
      <c r="B218" s="8">
        <f>IF($A218, _xlfn.XLOOKUP(C218,'Input Data'!$M$17:$M$29,'Input Data'!$N$17:$N$29),$B217)</f>
        <v>0.06</v>
      </c>
      <c r="C218" s="10">
        <f t="shared" si="18"/>
        <v>216</v>
      </c>
      <c r="D218" s="18">
        <f t="shared" si="19"/>
        <v>4498513.7351245601</v>
      </c>
      <c r="E218" s="18">
        <f>IF('Input Data'!$E$23=0,G218,IF(OR(D218&lt;=0,C218&gt;'Input Data'!$B$23*12),0,IF(AND(C218='Input Data'!$B$23*12,'Input Data'!$E$23&gt;'Input Data'!$B$23),D218+D218*B218/12,IF('Input Data'!$C$23="FRM",-PMT($B$3/12,'Input Data'!$E$23*12,$D$3),IF($A218,-PMT(B218/12,('Input Data'!$E$23*12)-C218+1,D218),E217)))))</f>
        <v>65094.431363418102</v>
      </c>
      <c r="F218" s="18">
        <f t="shared" si="16"/>
        <v>4433419.3037611423</v>
      </c>
      <c r="G218" s="18">
        <f>IF(C218&gt;'Input Data'!$B$23*12,0,D218*B218/12)</f>
        <v>22492.568675622799</v>
      </c>
      <c r="H218" s="18">
        <f t="shared" si="15"/>
        <v>42601.862687795307</v>
      </c>
      <c r="I218" s="18">
        <f t="shared" si="17"/>
        <v>4455911.8724367647</v>
      </c>
    </row>
    <row r="219" spans="1:9" x14ac:dyDescent="0.25">
      <c r="A219" t="b">
        <f>IF(('Input Data'!$C$23)="FRM", FALSE, ISNUMBER(MATCH(C219,'Input Data'!$M$18:$M$30,0)))</f>
        <v>0</v>
      </c>
      <c r="B219" s="8">
        <f>IF($A219, _xlfn.XLOOKUP(C219,'Input Data'!$M$17:$M$29,'Input Data'!$N$17:$N$29),$B218)</f>
        <v>0.06</v>
      </c>
      <c r="C219" s="10">
        <f t="shared" si="18"/>
        <v>217</v>
      </c>
      <c r="D219" s="18">
        <f t="shared" si="19"/>
        <v>4455911.8724367647</v>
      </c>
      <c r="E219" s="18">
        <f>IF('Input Data'!$E$23=0,G219,IF(OR(D219&lt;=0,C219&gt;'Input Data'!$B$23*12),0,IF(AND(C219='Input Data'!$B$23*12,'Input Data'!$E$23&gt;'Input Data'!$B$23),D219+D219*B219/12,IF('Input Data'!$C$23="FRM",-PMT($B$3/12,'Input Data'!$E$23*12,$D$3),IF($A219,-PMT(B219/12,('Input Data'!$E$23*12)-C219+1,D219),E218)))))</f>
        <v>65094.431363418102</v>
      </c>
      <c r="F219" s="18">
        <f t="shared" si="16"/>
        <v>4390817.4410733469</v>
      </c>
      <c r="G219" s="18">
        <f>IF(C219&gt;'Input Data'!$B$23*12,0,D219*B219/12)</f>
        <v>22279.559362183823</v>
      </c>
      <c r="H219" s="18">
        <f t="shared" si="15"/>
        <v>42814.872001234282</v>
      </c>
      <c r="I219" s="18">
        <f t="shared" si="17"/>
        <v>4413097.0004355302</v>
      </c>
    </row>
    <row r="220" spans="1:9" x14ac:dyDescent="0.25">
      <c r="A220" t="b">
        <f>IF(('Input Data'!$C$23)="FRM", FALSE, ISNUMBER(MATCH(C220,'Input Data'!$M$18:$M$30,0)))</f>
        <v>0</v>
      </c>
      <c r="B220" s="8">
        <f>IF($A220, _xlfn.XLOOKUP(C220,'Input Data'!$M$17:$M$29,'Input Data'!$N$17:$N$29),$B219)</f>
        <v>0.06</v>
      </c>
      <c r="C220" s="10">
        <f t="shared" si="18"/>
        <v>218</v>
      </c>
      <c r="D220" s="18">
        <f t="shared" si="19"/>
        <v>4413097.0004355302</v>
      </c>
      <c r="E220" s="18">
        <f>IF('Input Data'!$E$23=0,G220,IF(OR(D220&lt;=0,C220&gt;'Input Data'!$B$23*12),0,IF(AND(C220='Input Data'!$B$23*12,'Input Data'!$E$23&gt;'Input Data'!$B$23),D220+D220*B220/12,IF('Input Data'!$C$23="FRM",-PMT($B$3/12,'Input Data'!$E$23*12,$D$3),IF($A220,-PMT(B220/12,('Input Data'!$E$23*12)-C220+1,D220),E219)))))</f>
        <v>65094.431363418102</v>
      </c>
      <c r="F220" s="18">
        <f t="shared" si="16"/>
        <v>4348002.5690721124</v>
      </c>
      <c r="G220" s="18">
        <f>IF(C220&gt;'Input Data'!$B$23*12,0,D220*B220/12)</f>
        <v>22065.485002177651</v>
      </c>
      <c r="H220" s="18">
        <f t="shared" si="15"/>
        <v>43028.946361240451</v>
      </c>
      <c r="I220" s="18">
        <f t="shared" si="17"/>
        <v>4370068.0540742902</v>
      </c>
    </row>
    <row r="221" spans="1:9" x14ac:dyDescent="0.25">
      <c r="A221" t="b">
        <f>IF(('Input Data'!$C$23)="FRM", FALSE, ISNUMBER(MATCH(C221,'Input Data'!$M$18:$M$30,0)))</f>
        <v>0</v>
      </c>
      <c r="B221" s="8">
        <f>IF($A221, _xlfn.XLOOKUP(C221,'Input Data'!$M$17:$M$29,'Input Data'!$N$17:$N$29),$B220)</f>
        <v>0.06</v>
      </c>
      <c r="C221" s="10">
        <f t="shared" si="18"/>
        <v>219</v>
      </c>
      <c r="D221" s="18">
        <f t="shared" si="19"/>
        <v>4370068.0540742902</v>
      </c>
      <c r="E221" s="18">
        <f>IF('Input Data'!$E$23=0,G221,IF(OR(D221&lt;=0,C221&gt;'Input Data'!$B$23*12),0,IF(AND(C221='Input Data'!$B$23*12,'Input Data'!$E$23&gt;'Input Data'!$B$23),D221+D221*B221/12,IF('Input Data'!$C$23="FRM",-PMT($B$3/12,'Input Data'!$E$23*12,$D$3),IF($A221,-PMT(B221/12,('Input Data'!$E$23*12)-C221+1,D221),E220)))))</f>
        <v>65094.431363418102</v>
      </c>
      <c r="F221" s="18">
        <f t="shared" si="16"/>
        <v>4304973.6227108724</v>
      </c>
      <c r="G221" s="18">
        <f>IF(C221&gt;'Input Data'!$B$23*12,0,D221*B221/12)</f>
        <v>21850.340270371449</v>
      </c>
      <c r="H221" s="18">
        <f t="shared" si="15"/>
        <v>43244.091093046649</v>
      </c>
      <c r="I221" s="18">
        <f t="shared" si="17"/>
        <v>4326823.9629812436</v>
      </c>
    </row>
    <row r="222" spans="1:9" x14ac:dyDescent="0.25">
      <c r="A222" t="b">
        <f>IF(('Input Data'!$C$23)="FRM", FALSE, ISNUMBER(MATCH(C222,'Input Data'!$M$18:$M$30,0)))</f>
        <v>0</v>
      </c>
      <c r="B222" s="8">
        <f>IF($A222, _xlfn.XLOOKUP(C222,'Input Data'!$M$17:$M$29,'Input Data'!$N$17:$N$29),$B221)</f>
        <v>0.06</v>
      </c>
      <c r="C222" s="10">
        <f t="shared" si="18"/>
        <v>220</v>
      </c>
      <c r="D222" s="18">
        <f t="shared" si="19"/>
        <v>4326823.9629812436</v>
      </c>
      <c r="E222" s="18">
        <f>IF('Input Data'!$E$23=0,G222,IF(OR(D222&lt;=0,C222&gt;'Input Data'!$B$23*12),0,IF(AND(C222='Input Data'!$B$23*12,'Input Data'!$E$23&gt;'Input Data'!$B$23),D222+D222*B222/12,IF('Input Data'!$C$23="FRM",-PMT($B$3/12,'Input Data'!$E$23*12,$D$3),IF($A222,-PMT(B222/12,('Input Data'!$E$23*12)-C222+1,D222),E221)))))</f>
        <v>65094.431363418102</v>
      </c>
      <c r="F222" s="18">
        <f t="shared" si="16"/>
        <v>4261729.5316178259</v>
      </c>
      <c r="G222" s="18">
        <f>IF(C222&gt;'Input Data'!$B$23*12,0,D222*B222/12)</f>
        <v>21634.119814906218</v>
      </c>
      <c r="H222" s="18">
        <f t="shared" si="15"/>
        <v>43460.311548511883</v>
      </c>
      <c r="I222" s="18">
        <f t="shared" si="17"/>
        <v>4283363.6514327321</v>
      </c>
    </row>
    <row r="223" spans="1:9" x14ac:dyDescent="0.25">
      <c r="A223" t="b">
        <f>IF(('Input Data'!$C$23)="FRM", FALSE, ISNUMBER(MATCH(C223,'Input Data'!$M$18:$M$30,0)))</f>
        <v>0</v>
      </c>
      <c r="B223" s="8">
        <f>IF($A223, _xlfn.XLOOKUP(C223,'Input Data'!$M$17:$M$29,'Input Data'!$N$17:$N$29),$B222)</f>
        <v>0.06</v>
      </c>
      <c r="C223" s="10">
        <f t="shared" si="18"/>
        <v>221</v>
      </c>
      <c r="D223" s="18">
        <f t="shared" si="19"/>
        <v>4283363.6514327321</v>
      </c>
      <c r="E223" s="18">
        <f>IF('Input Data'!$E$23=0,G223,IF(OR(D223&lt;=0,C223&gt;'Input Data'!$B$23*12),0,IF(AND(C223='Input Data'!$B$23*12,'Input Data'!$E$23&gt;'Input Data'!$B$23),D223+D223*B223/12,IF('Input Data'!$C$23="FRM",-PMT($B$3/12,'Input Data'!$E$23*12,$D$3),IF($A223,-PMT(B223/12,('Input Data'!$E$23*12)-C223+1,D223),E222)))))</f>
        <v>65094.431363418102</v>
      </c>
      <c r="F223" s="18">
        <f t="shared" si="16"/>
        <v>4218269.2200693144</v>
      </c>
      <c r="G223" s="18">
        <f>IF(C223&gt;'Input Data'!$B$23*12,0,D223*B223/12)</f>
        <v>21416.818257163661</v>
      </c>
      <c r="H223" s="18">
        <f t="shared" si="15"/>
        <v>43677.613106254445</v>
      </c>
      <c r="I223" s="18">
        <f t="shared" si="17"/>
        <v>4239686.0383264776</v>
      </c>
    </row>
    <row r="224" spans="1:9" x14ac:dyDescent="0.25">
      <c r="A224" t="b">
        <f>IF(('Input Data'!$C$23)="FRM", FALSE, ISNUMBER(MATCH(C224,'Input Data'!$M$18:$M$30,0)))</f>
        <v>0</v>
      </c>
      <c r="B224" s="8">
        <f>IF($A224, _xlfn.XLOOKUP(C224,'Input Data'!$M$17:$M$29,'Input Data'!$N$17:$N$29),$B223)</f>
        <v>0.06</v>
      </c>
      <c r="C224" s="10">
        <f t="shared" si="18"/>
        <v>222</v>
      </c>
      <c r="D224" s="18">
        <f t="shared" si="19"/>
        <v>4239686.0383264776</v>
      </c>
      <c r="E224" s="18">
        <f>IF('Input Data'!$E$23=0,G224,IF(OR(D224&lt;=0,C224&gt;'Input Data'!$B$23*12),0,IF(AND(C224='Input Data'!$B$23*12,'Input Data'!$E$23&gt;'Input Data'!$B$23),D224+D224*B224/12,IF('Input Data'!$C$23="FRM",-PMT($B$3/12,'Input Data'!$E$23*12,$D$3),IF($A224,-PMT(B224/12,('Input Data'!$E$23*12)-C224+1,D224),E223)))))</f>
        <v>65094.431363418102</v>
      </c>
      <c r="F224" s="18">
        <f t="shared" si="16"/>
        <v>4174591.6069630594</v>
      </c>
      <c r="G224" s="18">
        <f>IF(C224&gt;'Input Data'!$B$23*12,0,D224*B224/12)</f>
        <v>21198.430191632386</v>
      </c>
      <c r="H224" s="18">
        <f t="shared" si="15"/>
        <v>43896.001171785712</v>
      </c>
      <c r="I224" s="18">
        <f t="shared" si="17"/>
        <v>4195790.0371546922</v>
      </c>
    </row>
    <row r="225" spans="1:9" x14ac:dyDescent="0.25">
      <c r="A225" t="b">
        <f>IF(('Input Data'!$C$23)="FRM", FALSE, ISNUMBER(MATCH(C225,'Input Data'!$M$18:$M$30,0)))</f>
        <v>0</v>
      </c>
      <c r="B225" s="8">
        <f>IF($A225, _xlfn.XLOOKUP(C225,'Input Data'!$M$17:$M$29,'Input Data'!$N$17:$N$29),$B224)</f>
        <v>0.06</v>
      </c>
      <c r="C225" s="10">
        <f t="shared" si="18"/>
        <v>223</v>
      </c>
      <c r="D225" s="18">
        <f t="shared" si="19"/>
        <v>4195790.0371546922</v>
      </c>
      <c r="E225" s="18">
        <f>IF('Input Data'!$E$23=0,G225,IF(OR(D225&lt;=0,C225&gt;'Input Data'!$B$23*12),0,IF(AND(C225='Input Data'!$B$23*12,'Input Data'!$E$23&gt;'Input Data'!$B$23),D225+D225*B225/12,IF('Input Data'!$C$23="FRM",-PMT($B$3/12,'Input Data'!$E$23*12,$D$3),IF($A225,-PMT(B225/12,('Input Data'!$E$23*12)-C225+1,D225),E224)))))</f>
        <v>65094.431363418102</v>
      </c>
      <c r="F225" s="18">
        <f t="shared" si="16"/>
        <v>4130695.605791274</v>
      </c>
      <c r="G225" s="18">
        <f>IF(C225&gt;'Input Data'!$B$23*12,0,D225*B225/12)</f>
        <v>20978.950185773461</v>
      </c>
      <c r="H225" s="18">
        <f t="shared" si="15"/>
        <v>44115.481177644644</v>
      </c>
      <c r="I225" s="18">
        <f t="shared" si="17"/>
        <v>4151674.5559770474</v>
      </c>
    </row>
    <row r="226" spans="1:9" x14ac:dyDescent="0.25">
      <c r="A226" t="b">
        <f>IF(('Input Data'!$C$23)="FRM", FALSE, ISNUMBER(MATCH(C226,'Input Data'!$M$18:$M$30,0)))</f>
        <v>0</v>
      </c>
      <c r="B226" s="8">
        <f>IF($A226, _xlfn.XLOOKUP(C226,'Input Data'!$M$17:$M$29,'Input Data'!$N$17:$N$29),$B225)</f>
        <v>0.06</v>
      </c>
      <c r="C226" s="10">
        <f t="shared" si="18"/>
        <v>224</v>
      </c>
      <c r="D226" s="18">
        <f t="shared" si="19"/>
        <v>4151674.5559770474</v>
      </c>
      <c r="E226" s="18">
        <f>IF('Input Data'!$E$23=0,G226,IF(OR(D226&lt;=0,C226&gt;'Input Data'!$B$23*12),0,IF(AND(C226='Input Data'!$B$23*12,'Input Data'!$E$23&gt;'Input Data'!$B$23),D226+D226*B226/12,IF('Input Data'!$C$23="FRM",-PMT($B$3/12,'Input Data'!$E$23*12,$D$3),IF($A226,-PMT(B226/12,('Input Data'!$E$23*12)-C226+1,D226),E225)))))</f>
        <v>65094.431363418102</v>
      </c>
      <c r="F226" s="18">
        <f t="shared" si="16"/>
        <v>4086580.1246136292</v>
      </c>
      <c r="G226" s="18">
        <f>IF(C226&gt;'Input Data'!$B$23*12,0,D226*B226/12)</f>
        <v>20758.372779885238</v>
      </c>
      <c r="H226" s="18">
        <f t="shared" si="15"/>
        <v>44336.058583532867</v>
      </c>
      <c r="I226" s="18">
        <f t="shared" si="17"/>
        <v>4107338.4973935145</v>
      </c>
    </row>
    <row r="227" spans="1:9" x14ac:dyDescent="0.25">
      <c r="A227" t="b">
        <f>IF(('Input Data'!$C$23)="FRM", FALSE, ISNUMBER(MATCH(C227,'Input Data'!$M$18:$M$30,0)))</f>
        <v>0</v>
      </c>
      <c r="B227" s="8">
        <f>IF($A227, _xlfn.XLOOKUP(C227,'Input Data'!$M$17:$M$29,'Input Data'!$N$17:$N$29),$B226)</f>
        <v>0.06</v>
      </c>
      <c r="C227" s="10">
        <f t="shared" si="18"/>
        <v>225</v>
      </c>
      <c r="D227" s="18">
        <f t="shared" si="19"/>
        <v>4107338.4973935145</v>
      </c>
      <c r="E227" s="18">
        <f>IF('Input Data'!$E$23=0,G227,IF(OR(D227&lt;=0,C227&gt;'Input Data'!$B$23*12),0,IF(AND(C227='Input Data'!$B$23*12,'Input Data'!$E$23&gt;'Input Data'!$B$23),D227+D227*B227/12,IF('Input Data'!$C$23="FRM",-PMT($B$3/12,'Input Data'!$E$23*12,$D$3),IF($A227,-PMT(B227/12,('Input Data'!$E$23*12)-C227+1,D227),E226)))))</f>
        <v>65094.431363418102</v>
      </c>
      <c r="F227" s="18">
        <f t="shared" si="16"/>
        <v>4042244.0660300963</v>
      </c>
      <c r="G227" s="18">
        <f>IF(C227&gt;'Input Data'!$B$23*12,0,D227*B227/12)</f>
        <v>20536.692486967571</v>
      </c>
      <c r="H227" s="18">
        <f t="shared" si="15"/>
        <v>44557.73887645053</v>
      </c>
      <c r="I227" s="18">
        <f t="shared" si="17"/>
        <v>4062780.7585170642</v>
      </c>
    </row>
    <row r="228" spans="1:9" x14ac:dyDescent="0.25">
      <c r="A228" t="b">
        <f>IF(('Input Data'!$C$23)="FRM", FALSE, ISNUMBER(MATCH(C228,'Input Data'!$M$18:$M$30,0)))</f>
        <v>0</v>
      </c>
      <c r="B228" s="8">
        <f>IF($A228, _xlfn.XLOOKUP(C228,'Input Data'!$M$17:$M$29,'Input Data'!$N$17:$N$29),$B227)</f>
        <v>0.06</v>
      </c>
      <c r="C228" s="10">
        <f t="shared" si="18"/>
        <v>226</v>
      </c>
      <c r="D228" s="18">
        <f t="shared" si="19"/>
        <v>4062780.7585170642</v>
      </c>
      <c r="E228" s="18">
        <f>IF('Input Data'!$E$23=0,G228,IF(OR(D228&lt;=0,C228&gt;'Input Data'!$B$23*12),0,IF(AND(C228='Input Data'!$B$23*12,'Input Data'!$E$23&gt;'Input Data'!$B$23),D228+D228*B228/12,IF('Input Data'!$C$23="FRM",-PMT($B$3/12,'Input Data'!$E$23*12,$D$3),IF($A228,-PMT(B228/12,('Input Data'!$E$23*12)-C228+1,D228),E227)))))</f>
        <v>65094.431363418102</v>
      </c>
      <c r="F228" s="18">
        <f t="shared" si="16"/>
        <v>3997686.3271536459</v>
      </c>
      <c r="G228" s="18">
        <f>IF(C228&gt;'Input Data'!$B$23*12,0,D228*B228/12)</f>
        <v>20313.903792585319</v>
      </c>
      <c r="H228" s="18">
        <f t="shared" si="15"/>
        <v>44780.527570832783</v>
      </c>
      <c r="I228" s="18">
        <f t="shared" si="17"/>
        <v>4018000.2309462312</v>
      </c>
    </row>
    <row r="229" spans="1:9" x14ac:dyDescent="0.25">
      <c r="A229" t="b">
        <f>IF(('Input Data'!$C$23)="FRM", FALSE, ISNUMBER(MATCH(C229,'Input Data'!$M$18:$M$30,0)))</f>
        <v>0</v>
      </c>
      <c r="B229" s="8">
        <f>IF($A229, _xlfn.XLOOKUP(C229,'Input Data'!$M$17:$M$29,'Input Data'!$N$17:$N$29),$B228)</f>
        <v>0.06</v>
      </c>
      <c r="C229" s="10">
        <f t="shared" si="18"/>
        <v>227</v>
      </c>
      <c r="D229" s="18">
        <f t="shared" si="19"/>
        <v>4018000.2309462312</v>
      </c>
      <c r="E229" s="18">
        <f>IF('Input Data'!$E$23=0,G229,IF(OR(D229&lt;=0,C229&gt;'Input Data'!$B$23*12),0,IF(AND(C229='Input Data'!$B$23*12,'Input Data'!$E$23&gt;'Input Data'!$B$23),D229+D229*B229/12,IF('Input Data'!$C$23="FRM",-PMT($B$3/12,'Input Data'!$E$23*12,$D$3),IF($A229,-PMT(B229/12,('Input Data'!$E$23*12)-C229+1,D229),E228)))))</f>
        <v>65094.431363418102</v>
      </c>
      <c r="F229" s="18">
        <f t="shared" si="16"/>
        <v>3952905.7995828129</v>
      </c>
      <c r="G229" s="18">
        <f>IF(C229&gt;'Input Data'!$B$23*12,0,D229*B229/12)</f>
        <v>20090.001154731155</v>
      </c>
      <c r="H229" s="18">
        <f t="shared" si="15"/>
        <v>45004.430208686943</v>
      </c>
      <c r="I229" s="18">
        <f t="shared" si="17"/>
        <v>3972995.8007375444</v>
      </c>
    </row>
    <row r="230" spans="1:9" x14ac:dyDescent="0.25">
      <c r="A230" t="b">
        <f>IF(('Input Data'!$C$23)="FRM", FALSE, ISNUMBER(MATCH(C230,'Input Data'!$M$18:$M$30,0)))</f>
        <v>0</v>
      </c>
      <c r="B230" s="8">
        <f>IF($A230, _xlfn.XLOOKUP(C230,'Input Data'!$M$17:$M$29,'Input Data'!$N$17:$N$29),$B229)</f>
        <v>0.06</v>
      </c>
      <c r="C230" s="10">
        <f t="shared" si="18"/>
        <v>228</v>
      </c>
      <c r="D230" s="18">
        <f t="shared" si="19"/>
        <v>3972995.8007375444</v>
      </c>
      <c r="E230" s="18">
        <f>IF('Input Data'!$E$23=0,G230,IF(OR(D230&lt;=0,C230&gt;'Input Data'!$B$23*12),0,IF(AND(C230='Input Data'!$B$23*12,'Input Data'!$E$23&gt;'Input Data'!$B$23),D230+D230*B230/12,IF('Input Data'!$C$23="FRM",-PMT($B$3/12,'Input Data'!$E$23*12,$D$3),IF($A230,-PMT(B230/12,('Input Data'!$E$23*12)-C230+1,D230),E229)))))</f>
        <v>65094.431363418102</v>
      </c>
      <c r="F230" s="18">
        <f t="shared" si="16"/>
        <v>3907901.3693741262</v>
      </c>
      <c r="G230" s="18">
        <f>IF(C230&gt;'Input Data'!$B$23*12,0,D230*B230/12)</f>
        <v>19864.97900368772</v>
      </c>
      <c r="H230" s="18">
        <f t="shared" si="15"/>
        <v>45229.452359730378</v>
      </c>
      <c r="I230" s="18">
        <f t="shared" si="17"/>
        <v>3927766.3483778141</v>
      </c>
    </row>
    <row r="231" spans="1:9" x14ac:dyDescent="0.25">
      <c r="A231" t="b">
        <f>IF(('Input Data'!$C$23)="FRM", FALSE, ISNUMBER(MATCH(C231,'Input Data'!$M$18:$M$30,0)))</f>
        <v>0</v>
      </c>
      <c r="B231" s="8">
        <f>IF($A231, _xlfn.XLOOKUP(C231,'Input Data'!$M$17:$M$29,'Input Data'!$N$17:$N$29),$B230)</f>
        <v>0.06</v>
      </c>
      <c r="C231" s="10">
        <f t="shared" si="18"/>
        <v>229</v>
      </c>
      <c r="D231" s="18">
        <f t="shared" si="19"/>
        <v>3927766.3483778141</v>
      </c>
      <c r="E231" s="18">
        <f>IF('Input Data'!$E$23=0,G231,IF(OR(D231&lt;=0,C231&gt;'Input Data'!$B$23*12),0,IF(AND(C231='Input Data'!$B$23*12,'Input Data'!$E$23&gt;'Input Data'!$B$23),D231+D231*B231/12,IF('Input Data'!$C$23="FRM",-PMT($B$3/12,'Input Data'!$E$23*12,$D$3),IF($A231,-PMT(B231/12,('Input Data'!$E$23*12)-C231+1,D231),E230)))))</f>
        <v>65094.431363418102</v>
      </c>
      <c r="F231" s="18">
        <f t="shared" si="16"/>
        <v>3862671.9170143958</v>
      </c>
      <c r="G231" s="18">
        <f>IF(C231&gt;'Input Data'!$B$23*12,0,D231*B231/12)</f>
        <v>19638.831741889069</v>
      </c>
      <c r="H231" s="18">
        <f t="shared" si="15"/>
        <v>45455.599621529036</v>
      </c>
      <c r="I231" s="18">
        <f t="shared" si="17"/>
        <v>3882310.7487562848</v>
      </c>
    </row>
    <row r="232" spans="1:9" x14ac:dyDescent="0.25">
      <c r="A232" t="b">
        <f>IF(('Input Data'!$C$23)="FRM", FALSE, ISNUMBER(MATCH(C232,'Input Data'!$M$18:$M$30,0)))</f>
        <v>0</v>
      </c>
      <c r="B232" s="8">
        <f>IF($A232, _xlfn.XLOOKUP(C232,'Input Data'!$M$17:$M$29,'Input Data'!$N$17:$N$29),$B231)</f>
        <v>0.06</v>
      </c>
      <c r="C232" s="10">
        <f t="shared" si="18"/>
        <v>230</v>
      </c>
      <c r="D232" s="18">
        <f t="shared" si="19"/>
        <v>3882310.7487562848</v>
      </c>
      <c r="E232" s="18">
        <f>IF('Input Data'!$E$23=0,G232,IF(OR(D232&lt;=0,C232&gt;'Input Data'!$B$23*12),0,IF(AND(C232='Input Data'!$B$23*12,'Input Data'!$E$23&gt;'Input Data'!$B$23),D232+D232*B232/12,IF('Input Data'!$C$23="FRM",-PMT($B$3/12,'Input Data'!$E$23*12,$D$3),IF($A232,-PMT(B232/12,('Input Data'!$E$23*12)-C232+1,D232),E231)))))</f>
        <v>65094.431363418102</v>
      </c>
      <c r="F232" s="18">
        <f t="shared" si="16"/>
        <v>3817216.3173928666</v>
      </c>
      <c r="G232" s="18">
        <f>IF(C232&gt;'Input Data'!$B$23*12,0,D232*B232/12)</f>
        <v>19411.553743781424</v>
      </c>
      <c r="H232" s="18">
        <f t="shared" si="15"/>
        <v>45682.877619636682</v>
      </c>
      <c r="I232" s="18">
        <f t="shared" si="17"/>
        <v>3836627.8711366481</v>
      </c>
    </row>
    <row r="233" spans="1:9" x14ac:dyDescent="0.25">
      <c r="A233" t="b">
        <f>IF(('Input Data'!$C$23)="FRM", FALSE, ISNUMBER(MATCH(C233,'Input Data'!$M$18:$M$30,0)))</f>
        <v>0</v>
      </c>
      <c r="B233" s="8">
        <f>IF($A233, _xlfn.XLOOKUP(C233,'Input Data'!$M$17:$M$29,'Input Data'!$N$17:$N$29),$B232)</f>
        <v>0.06</v>
      </c>
      <c r="C233" s="10">
        <f t="shared" si="18"/>
        <v>231</v>
      </c>
      <c r="D233" s="18">
        <f t="shared" si="19"/>
        <v>3836627.8711366481</v>
      </c>
      <c r="E233" s="18">
        <f>IF('Input Data'!$E$23=0,G233,IF(OR(D233&lt;=0,C233&gt;'Input Data'!$B$23*12),0,IF(AND(C233='Input Data'!$B$23*12,'Input Data'!$E$23&gt;'Input Data'!$B$23),D233+D233*B233/12,IF('Input Data'!$C$23="FRM",-PMT($B$3/12,'Input Data'!$E$23*12,$D$3),IF($A233,-PMT(B233/12,('Input Data'!$E$23*12)-C233+1,D233),E232)))))</f>
        <v>65094.431363418102</v>
      </c>
      <c r="F233" s="18">
        <f t="shared" si="16"/>
        <v>3771533.4397732299</v>
      </c>
      <c r="G233" s="18">
        <f>IF(C233&gt;'Input Data'!$B$23*12,0,D233*B233/12)</f>
        <v>19183.139355683241</v>
      </c>
      <c r="H233" s="18">
        <f t="shared" si="15"/>
        <v>45911.292007734861</v>
      </c>
      <c r="I233" s="18">
        <f t="shared" si="17"/>
        <v>3790716.5791289131</v>
      </c>
    </row>
    <row r="234" spans="1:9" x14ac:dyDescent="0.25">
      <c r="A234" t="b">
        <f>IF(('Input Data'!$C$23)="FRM", FALSE, ISNUMBER(MATCH(C234,'Input Data'!$M$18:$M$30,0)))</f>
        <v>0</v>
      </c>
      <c r="B234" s="8">
        <f>IF($A234, _xlfn.XLOOKUP(C234,'Input Data'!$M$17:$M$29,'Input Data'!$N$17:$N$29),$B233)</f>
        <v>0.06</v>
      </c>
      <c r="C234" s="10">
        <f t="shared" si="18"/>
        <v>232</v>
      </c>
      <c r="D234" s="18">
        <f t="shared" si="19"/>
        <v>3790716.5791289131</v>
      </c>
      <c r="E234" s="18">
        <f>IF('Input Data'!$E$23=0,G234,IF(OR(D234&lt;=0,C234&gt;'Input Data'!$B$23*12),0,IF(AND(C234='Input Data'!$B$23*12,'Input Data'!$E$23&gt;'Input Data'!$B$23),D234+D234*B234/12,IF('Input Data'!$C$23="FRM",-PMT($B$3/12,'Input Data'!$E$23*12,$D$3),IF($A234,-PMT(B234/12,('Input Data'!$E$23*12)-C234+1,D234),E233)))))</f>
        <v>65094.431363418102</v>
      </c>
      <c r="F234" s="18">
        <f t="shared" si="16"/>
        <v>3725622.1477654949</v>
      </c>
      <c r="G234" s="18">
        <f>IF(C234&gt;'Input Data'!$B$23*12,0,D234*B234/12)</f>
        <v>18953.582895644566</v>
      </c>
      <c r="H234" s="18">
        <f t="shared" si="15"/>
        <v>46140.84846777354</v>
      </c>
      <c r="I234" s="18">
        <f t="shared" si="17"/>
        <v>3744575.7306611394</v>
      </c>
    </row>
    <row r="235" spans="1:9" x14ac:dyDescent="0.25">
      <c r="A235" t="b">
        <f>IF(('Input Data'!$C$23)="FRM", FALSE, ISNUMBER(MATCH(C235,'Input Data'!$M$18:$M$30,0)))</f>
        <v>0</v>
      </c>
      <c r="B235" s="8">
        <f>IF($A235, _xlfn.XLOOKUP(C235,'Input Data'!$M$17:$M$29,'Input Data'!$N$17:$N$29),$B234)</f>
        <v>0.06</v>
      </c>
      <c r="C235" s="10">
        <f t="shared" si="18"/>
        <v>233</v>
      </c>
      <c r="D235" s="18">
        <f t="shared" si="19"/>
        <v>3744575.7306611394</v>
      </c>
      <c r="E235" s="18">
        <f>IF('Input Data'!$E$23=0,G235,IF(OR(D235&lt;=0,C235&gt;'Input Data'!$B$23*12),0,IF(AND(C235='Input Data'!$B$23*12,'Input Data'!$E$23&gt;'Input Data'!$B$23),D235+D235*B235/12,IF('Input Data'!$C$23="FRM",-PMT($B$3/12,'Input Data'!$E$23*12,$D$3),IF($A235,-PMT(B235/12,('Input Data'!$E$23*12)-C235+1,D235),E234)))))</f>
        <v>65094.431363418102</v>
      </c>
      <c r="F235" s="18">
        <f t="shared" si="16"/>
        <v>3679481.2992977211</v>
      </c>
      <c r="G235" s="18">
        <f>IF(C235&gt;'Input Data'!$B$23*12,0,D235*B235/12)</f>
        <v>18722.878653305695</v>
      </c>
      <c r="H235" s="18">
        <f t="shared" si="15"/>
        <v>46371.552710112403</v>
      </c>
      <c r="I235" s="18">
        <f t="shared" si="17"/>
        <v>3698204.1779510272</v>
      </c>
    </row>
    <row r="236" spans="1:9" x14ac:dyDescent="0.25">
      <c r="A236" t="b">
        <f>IF(('Input Data'!$C$23)="FRM", FALSE, ISNUMBER(MATCH(C236,'Input Data'!$M$18:$M$30,0)))</f>
        <v>0</v>
      </c>
      <c r="B236" s="8">
        <f>IF($A236, _xlfn.XLOOKUP(C236,'Input Data'!$M$17:$M$29,'Input Data'!$N$17:$N$29),$B235)</f>
        <v>0.06</v>
      </c>
      <c r="C236" s="10">
        <f t="shared" si="18"/>
        <v>234</v>
      </c>
      <c r="D236" s="18">
        <f t="shared" si="19"/>
        <v>3698204.1779510272</v>
      </c>
      <c r="E236" s="18">
        <f>IF('Input Data'!$E$23=0,G236,IF(OR(D236&lt;=0,C236&gt;'Input Data'!$B$23*12),0,IF(AND(C236='Input Data'!$B$23*12,'Input Data'!$E$23&gt;'Input Data'!$B$23),D236+D236*B236/12,IF('Input Data'!$C$23="FRM",-PMT($B$3/12,'Input Data'!$E$23*12,$D$3),IF($A236,-PMT(B236/12,('Input Data'!$E$23*12)-C236+1,D236),E235)))))</f>
        <v>65094.431363418102</v>
      </c>
      <c r="F236" s="18">
        <f t="shared" si="16"/>
        <v>3633109.7465876089</v>
      </c>
      <c r="G236" s="18">
        <f>IF(C236&gt;'Input Data'!$B$23*12,0,D236*B236/12)</f>
        <v>18491.020889755135</v>
      </c>
      <c r="H236" s="18">
        <f t="shared" si="15"/>
        <v>46603.410473662967</v>
      </c>
      <c r="I236" s="18">
        <f t="shared" si="17"/>
        <v>3651600.7674773643</v>
      </c>
    </row>
    <row r="237" spans="1:9" x14ac:dyDescent="0.25">
      <c r="A237" t="b">
        <f>IF(('Input Data'!$C$23)="FRM", FALSE, ISNUMBER(MATCH(C237,'Input Data'!$M$18:$M$30,0)))</f>
        <v>0</v>
      </c>
      <c r="B237" s="8">
        <f>IF($A237, _xlfn.XLOOKUP(C237,'Input Data'!$M$17:$M$29,'Input Data'!$N$17:$N$29),$B236)</f>
        <v>0.06</v>
      </c>
      <c r="C237" s="10">
        <f t="shared" si="18"/>
        <v>235</v>
      </c>
      <c r="D237" s="18">
        <f t="shared" si="19"/>
        <v>3651600.7674773643</v>
      </c>
      <c r="E237" s="18">
        <f>IF('Input Data'!$E$23=0,G237,IF(OR(D237&lt;=0,C237&gt;'Input Data'!$B$23*12),0,IF(AND(C237='Input Data'!$B$23*12,'Input Data'!$E$23&gt;'Input Data'!$B$23),D237+D237*B237/12,IF('Input Data'!$C$23="FRM",-PMT($B$3/12,'Input Data'!$E$23*12,$D$3),IF($A237,-PMT(B237/12,('Input Data'!$E$23*12)-C237+1,D237),E236)))))</f>
        <v>65094.431363418102</v>
      </c>
      <c r="F237" s="18">
        <f t="shared" si="16"/>
        <v>3586506.336113946</v>
      </c>
      <c r="G237" s="18">
        <f>IF(C237&gt;'Input Data'!$B$23*12,0,D237*B237/12)</f>
        <v>18258.003837386819</v>
      </c>
      <c r="H237" s="18">
        <f t="shared" si="15"/>
        <v>46836.427526031286</v>
      </c>
      <c r="I237" s="18">
        <f t="shared" si="17"/>
        <v>3604764.3399513331</v>
      </c>
    </row>
    <row r="238" spans="1:9" x14ac:dyDescent="0.25">
      <c r="A238" t="b">
        <f>IF(('Input Data'!$C$23)="FRM", FALSE, ISNUMBER(MATCH(C238,'Input Data'!$M$18:$M$30,0)))</f>
        <v>0</v>
      </c>
      <c r="B238" s="8">
        <f>IF($A238, _xlfn.XLOOKUP(C238,'Input Data'!$M$17:$M$29,'Input Data'!$N$17:$N$29),$B237)</f>
        <v>0.06</v>
      </c>
      <c r="C238" s="10">
        <f t="shared" si="18"/>
        <v>236</v>
      </c>
      <c r="D238" s="18">
        <f t="shared" si="19"/>
        <v>3604764.3399513331</v>
      </c>
      <c r="E238" s="18">
        <f>IF('Input Data'!$E$23=0,G238,IF(OR(D238&lt;=0,C238&gt;'Input Data'!$B$23*12),0,IF(AND(C238='Input Data'!$B$23*12,'Input Data'!$E$23&gt;'Input Data'!$B$23),D238+D238*B238/12,IF('Input Data'!$C$23="FRM",-PMT($B$3/12,'Input Data'!$E$23*12,$D$3),IF($A238,-PMT(B238/12,('Input Data'!$E$23*12)-C238+1,D238),E237)))))</f>
        <v>65094.431363418102</v>
      </c>
      <c r="F238" s="18">
        <f t="shared" si="16"/>
        <v>3539669.9085879149</v>
      </c>
      <c r="G238" s="18">
        <f>IF(C238&gt;'Input Data'!$B$23*12,0,D238*B238/12)</f>
        <v>18023.821699756667</v>
      </c>
      <c r="H238" s="18">
        <f t="shared" si="15"/>
        <v>47070.609663661438</v>
      </c>
      <c r="I238" s="18">
        <f t="shared" si="17"/>
        <v>3557693.7302876716</v>
      </c>
    </row>
    <row r="239" spans="1:9" x14ac:dyDescent="0.25">
      <c r="A239" t="b">
        <f>IF(('Input Data'!$C$23)="FRM", FALSE, ISNUMBER(MATCH(C239,'Input Data'!$M$18:$M$30,0)))</f>
        <v>0</v>
      </c>
      <c r="B239" s="8">
        <f>IF($A239, _xlfn.XLOOKUP(C239,'Input Data'!$M$17:$M$29,'Input Data'!$N$17:$N$29),$B238)</f>
        <v>0.06</v>
      </c>
      <c r="C239" s="10">
        <f t="shared" si="18"/>
        <v>237</v>
      </c>
      <c r="D239" s="18">
        <f t="shared" si="19"/>
        <v>3557693.7302876716</v>
      </c>
      <c r="E239" s="18">
        <f>IF('Input Data'!$E$23=0,G239,IF(OR(D239&lt;=0,C239&gt;'Input Data'!$B$23*12),0,IF(AND(C239='Input Data'!$B$23*12,'Input Data'!$E$23&gt;'Input Data'!$B$23),D239+D239*B239/12,IF('Input Data'!$C$23="FRM",-PMT($B$3/12,'Input Data'!$E$23*12,$D$3),IF($A239,-PMT(B239/12,('Input Data'!$E$23*12)-C239+1,D239),E238)))))</f>
        <v>65094.431363418102</v>
      </c>
      <c r="F239" s="18">
        <f t="shared" si="16"/>
        <v>3492599.2989242533</v>
      </c>
      <c r="G239" s="18">
        <f>IF(C239&gt;'Input Data'!$B$23*12,0,D239*B239/12)</f>
        <v>17788.468651438357</v>
      </c>
      <c r="H239" s="18">
        <f t="shared" si="15"/>
        <v>47305.962711979744</v>
      </c>
      <c r="I239" s="18">
        <f t="shared" si="17"/>
        <v>3510387.7675756919</v>
      </c>
    </row>
    <row r="240" spans="1:9" x14ac:dyDescent="0.25">
      <c r="A240" t="b">
        <f>IF(('Input Data'!$C$23)="FRM", FALSE, ISNUMBER(MATCH(C240,'Input Data'!$M$18:$M$30,0)))</f>
        <v>0</v>
      </c>
      <c r="B240" s="8">
        <f>IF($A240, _xlfn.XLOOKUP(C240,'Input Data'!$M$17:$M$29,'Input Data'!$N$17:$N$29),$B239)</f>
        <v>0.06</v>
      </c>
      <c r="C240" s="10">
        <f t="shared" si="18"/>
        <v>238</v>
      </c>
      <c r="D240" s="18">
        <f t="shared" si="19"/>
        <v>3510387.7675756919</v>
      </c>
      <c r="E240" s="18">
        <f>IF('Input Data'!$E$23=0,G240,IF(OR(D240&lt;=0,C240&gt;'Input Data'!$B$23*12),0,IF(AND(C240='Input Data'!$B$23*12,'Input Data'!$E$23&gt;'Input Data'!$B$23),D240+D240*B240/12,IF('Input Data'!$C$23="FRM",-PMT($B$3/12,'Input Data'!$E$23*12,$D$3),IF($A240,-PMT(B240/12,('Input Data'!$E$23*12)-C240+1,D240),E239)))))</f>
        <v>65094.431363418102</v>
      </c>
      <c r="F240" s="18">
        <f t="shared" si="16"/>
        <v>3445293.3362122737</v>
      </c>
      <c r="G240" s="18">
        <f>IF(C240&gt;'Input Data'!$B$23*12,0,D240*B240/12)</f>
        <v>17551.938837878461</v>
      </c>
      <c r="H240" s="18">
        <f t="shared" si="15"/>
        <v>47542.492525539637</v>
      </c>
      <c r="I240" s="18">
        <f t="shared" si="17"/>
        <v>3462845.2750501521</v>
      </c>
    </row>
    <row r="241" spans="1:9" x14ac:dyDescent="0.25">
      <c r="A241" t="b">
        <f>IF(('Input Data'!$C$23)="FRM", FALSE, ISNUMBER(MATCH(C241,'Input Data'!$M$18:$M$30,0)))</f>
        <v>0</v>
      </c>
      <c r="B241" s="8">
        <f>IF($A241, _xlfn.XLOOKUP(C241,'Input Data'!$M$17:$M$29,'Input Data'!$N$17:$N$29),$B240)</f>
        <v>0.06</v>
      </c>
      <c r="C241" s="10">
        <f t="shared" si="18"/>
        <v>239</v>
      </c>
      <c r="D241" s="18">
        <f t="shared" si="19"/>
        <v>3462845.2750501521</v>
      </c>
      <c r="E241" s="18">
        <f>IF('Input Data'!$E$23=0,G241,IF(OR(D241&lt;=0,C241&gt;'Input Data'!$B$23*12),0,IF(AND(C241='Input Data'!$B$23*12,'Input Data'!$E$23&gt;'Input Data'!$B$23),D241+D241*B241/12,IF('Input Data'!$C$23="FRM",-PMT($B$3/12,'Input Data'!$E$23*12,$D$3),IF($A241,-PMT(B241/12,('Input Data'!$E$23*12)-C241+1,D241),E240)))))</f>
        <v>65094.431363418102</v>
      </c>
      <c r="F241" s="18">
        <f t="shared" si="16"/>
        <v>3397750.8436867339</v>
      </c>
      <c r="G241" s="18">
        <f>IF(C241&gt;'Input Data'!$B$23*12,0,D241*B241/12)</f>
        <v>17314.226375250761</v>
      </c>
      <c r="H241" s="18">
        <f t="shared" si="15"/>
        <v>47780.204988167345</v>
      </c>
      <c r="I241" s="18">
        <f t="shared" si="17"/>
        <v>3415065.0700619849</v>
      </c>
    </row>
    <row r="242" spans="1:9" x14ac:dyDescent="0.25">
      <c r="A242" t="b">
        <f>IF(('Input Data'!$C$23)="FRM", FALSE, ISNUMBER(MATCH(C242,'Input Data'!$M$18:$M$30,0)))</f>
        <v>0</v>
      </c>
      <c r="B242" s="8">
        <f>IF($A242, _xlfn.XLOOKUP(C242,'Input Data'!$M$17:$M$29,'Input Data'!$N$17:$N$29),$B241)</f>
        <v>0.06</v>
      </c>
      <c r="C242" s="10">
        <f t="shared" si="18"/>
        <v>240</v>
      </c>
      <c r="D242" s="18">
        <f t="shared" si="19"/>
        <v>3415065.0700619849</v>
      </c>
      <c r="E242" s="18">
        <f>IF('Input Data'!$E$23=0,G242,IF(OR(D242&lt;=0,C242&gt;'Input Data'!$B$23*12),0,IF(AND(C242='Input Data'!$B$23*12,'Input Data'!$E$23&gt;'Input Data'!$B$23),D242+D242*B242/12,IF('Input Data'!$C$23="FRM",-PMT($B$3/12,'Input Data'!$E$23*12,$D$3),IF($A242,-PMT(B242/12,('Input Data'!$E$23*12)-C242+1,D242),E241)))))</f>
        <v>65094.431363418102</v>
      </c>
      <c r="F242" s="18">
        <f t="shared" si="16"/>
        <v>3349970.6386985667</v>
      </c>
      <c r="G242" s="18">
        <f>IF(C242&gt;'Input Data'!$B$23*12,0,D242*B242/12)</f>
        <v>17075.325350309922</v>
      </c>
      <c r="H242" s="18">
        <f t="shared" si="15"/>
        <v>48019.106013108176</v>
      </c>
      <c r="I242" s="18">
        <f t="shared" si="17"/>
        <v>3367045.9640488769</v>
      </c>
    </row>
    <row r="243" spans="1:9" x14ac:dyDescent="0.25">
      <c r="A243" t="b">
        <f>IF(('Input Data'!$C$23)="FRM", FALSE, ISNUMBER(MATCH(C243,'Input Data'!$M$18:$M$30,0)))</f>
        <v>0</v>
      </c>
      <c r="B243" s="8">
        <f>IF($A243, _xlfn.XLOOKUP(C243,'Input Data'!$M$17:$M$29,'Input Data'!$N$17:$N$29),$B242)</f>
        <v>0.06</v>
      </c>
      <c r="C243" s="10">
        <f t="shared" si="18"/>
        <v>241</v>
      </c>
      <c r="D243" s="18">
        <f t="shared" si="19"/>
        <v>3367045.9640488769</v>
      </c>
      <c r="E243" s="18">
        <f>IF('Input Data'!$E$23=0,G243,IF(OR(D243&lt;=0,C243&gt;'Input Data'!$B$23*12),0,IF(AND(C243='Input Data'!$B$23*12,'Input Data'!$E$23&gt;'Input Data'!$B$23),D243+D243*B243/12,IF('Input Data'!$C$23="FRM",-PMT($B$3/12,'Input Data'!$E$23*12,$D$3),IF($A243,-PMT(B243/12,('Input Data'!$E$23*12)-C243+1,D243),E242)))))</f>
        <v>65094.431363418102</v>
      </c>
      <c r="F243" s="18">
        <f t="shared" si="16"/>
        <v>3301951.5326854587</v>
      </c>
      <c r="G243" s="18">
        <f>IF(C243&gt;'Input Data'!$B$23*12,0,D243*B243/12)</f>
        <v>16835.229820244382</v>
      </c>
      <c r="H243" s="18">
        <f t="shared" si="15"/>
        <v>48259.201543173724</v>
      </c>
      <c r="I243" s="18">
        <f t="shared" si="17"/>
        <v>3318786.7625057031</v>
      </c>
    </row>
    <row r="244" spans="1:9" x14ac:dyDescent="0.25">
      <c r="A244" t="b">
        <f>IF(('Input Data'!$C$23)="FRM", FALSE, ISNUMBER(MATCH(C244,'Input Data'!$M$18:$M$30,0)))</f>
        <v>0</v>
      </c>
      <c r="B244" s="8">
        <f>IF($A244, _xlfn.XLOOKUP(C244,'Input Data'!$M$17:$M$29,'Input Data'!$N$17:$N$29),$B243)</f>
        <v>0.06</v>
      </c>
      <c r="C244" s="10">
        <f t="shared" si="18"/>
        <v>242</v>
      </c>
      <c r="D244" s="18">
        <f t="shared" si="19"/>
        <v>3318786.7625057031</v>
      </c>
      <c r="E244" s="18">
        <f>IF('Input Data'!$E$23=0,G244,IF(OR(D244&lt;=0,C244&gt;'Input Data'!$B$23*12),0,IF(AND(C244='Input Data'!$B$23*12,'Input Data'!$E$23&gt;'Input Data'!$B$23),D244+D244*B244/12,IF('Input Data'!$C$23="FRM",-PMT($B$3/12,'Input Data'!$E$23*12,$D$3),IF($A244,-PMT(B244/12,('Input Data'!$E$23*12)-C244+1,D244),E243)))))</f>
        <v>65094.431363418102</v>
      </c>
      <c r="F244" s="18">
        <f t="shared" si="16"/>
        <v>3253692.3311422849</v>
      </c>
      <c r="G244" s="18">
        <f>IF(C244&gt;'Input Data'!$B$23*12,0,D244*B244/12)</f>
        <v>16593.933812528514</v>
      </c>
      <c r="H244" s="18">
        <f t="shared" si="15"/>
        <v>48500.497550889588</v>
      </c>
      <c r="I244" s="18">
        <f t="shared" si="17"/>
        <v>3270286.2649548138</v>
      </c>
    </row>
    <row r="245" spans="1:9" x14ac:dyDescent="0.25">
      <c r="A245" t="b">
        <f>IF(('Input Data'!$C$23)="FRM", FALSE, ISNUMBER(MATCH(C245,'Input Data'!$M$18:$M$30,0)))</f>
        <v>0</v>
      </c>
      <c r="B245" s="8">
        <f>IF($A245, _xlfn.XLOOKUP(C245,'Input Data'!$M$17:$M$29,'Input Data'!$N$17:$N$29),$B244)</f>
        <v>0.06</v>
      </c>
      <c r="C245" s="10">
        <f t="shared" si="18"/>
        <v>243</v>
      </c>
      <c r="D245" s="18">
        <f t="shared" si="19"/>
        <v>3270286.2649548138</v>
      </c>
      <c r="E245" s="18">
        <f>IF('Input Data'!$E$23=0,G245,IF(OR(D245&lt;=0,C245&gt;'Input Data'!$B$23*12),0,IF(AND(C245='Input Data'!$B$23*12,'Input Data'!$E$23&gt;'Input Data'!$B$23),D245+D245*B245/12,IF('Input Data'!$C$23="FRM",-PMT($B$3/12,'Input Data'!$E$23*12,$D$3),IF($A245,-PMT(B245/12,('Input Data'!$E$23*12)-C245+1,D245),E244)))))</f>
        <v>65094.431363418102</v>
      </c>
      <c r="F245" s="18">
        <f t="shared" si="16"/>
        <v>3205191.8335913955</v>
      </c>
      <c r="G245" s="18">
        <f>IF(C245&gt;'Input Data'!$B$23*12,0,D245*B245/12)</f>
        <v>16351.431324774067</v>
      </c>
      <c r="H245" s="18">
        <f t="shared" si="15"/>
        <v>48743.000038644037</v>
      </c>
      <c r="I245" s="18">
        <f t="shared" si="17"/>
        <v>3221543.2649161699</v>
      </c>
    </row>
    <row r="246" spans="1:9" x14ac:dyDescent="0.25">
      <c r="A246" t="b">
        <f>IF(('Input Data'!$C$23)="FRM", FALSE, ISNUMBER(MATCH(C246,'Input Data'!$M$18:$M$30,0)))</f>
        <v>0</v>
      </c>
      <c r="B246" s="8">
        <f>IF($A246, _xlfn.XLOOKUP(C246,'Input Data'!$M$17:$M$29,'Input Data'!$N$17:$N$29),$B245)</f>
        <v>0.06</v>
      </c>
      <c r="C246" s="10">
        <f t="shared" si="18"/>
        <v>244</v>
      </c>
      <c r="D246" s="18">
        <f t="shared" si="19"/>
        <v>3221543.2649161699</v>
      </c>
      <c r="E246" s="18">
        <f>IF('Input Data'!$E$23=0,G246,IF(OR(D246&lt;=0,C246&gt;'Input Data'!$B$23*12),0,IF(AND(C246='Input Data'!$B$23*12,'Input Data'!$E$23&gt;'Input Data'!$B$23),D246+D246*B246/12,IF('Input Data'!$C$23="FRM",-PMT($B$3/12,'Input Data'!$E$23*12,$D$3),IF($A246,-PMT(B246/12,('Input Data'!$E$23*12)-C246+1,D246),E245)))))</f>
        <v>65094.431363418102</v>
      </c>
      <c r="F246" s="18">
        <f t="shared" si="16"/>
        <v>3156448.8335527517</v>
      </c>
      <c r="G246" s="18">
        <f>IF(C246&gt;'Input Data'!$B$23*12,0,D246*B246/12)</f>
        <v>16107.716324580848</v>
      </c>
      <c r="H246" s="18">
        <f t="shared" si="15"/>
        <v>48986.715038837254</v>
      </c>
      <c r="I246" s="18">
        <f t="shared" si="17"/>
        <v>3172556.5498773325</v>
      </c>
    </row>
    <row r="247" spans="1:9" x14ac:dyDescent="0.25">
      <c r="A247" t="b">
        <f>IF(('Input Data'!$C$23)="FRM", FALSE, ISNUMBER(MATCH(C247,'Input Data'!$M$18:$M$30,0)))</f>
        <v>0</v>
      </c>
      <c r="B247" s="8">
        <f>IF($A247, _xlfn.XLOOKUP(C247,'Input Data'!$M$17:$M$29,'Input Data'!$N$17:$N$29),$B246)</f>
        <v>0.06</v>
      </c>
      <c r="C247" s="10">
        <f t="shared" si="18"/>
        <v>245</v>
      </c>
      <c r="D247" s="18">
        <f t="shared" si="19"/>
        <v>3172556.5498773325</v>
      </c>
      <c r="E247" s="18">
        <f>IF('Input Data'!$E$23=0,G247,IF(OR(D247&lt;=0,C247&gt;'Input Data'!$B$23*12),0,IF(AND(C247='Input Data'!$B$23*12,'Input Data'!$E$23&gt;'Input Data'!$B$23),D247+D247*B247/12,IF('Input Data'!$C$23="FRM",-PMT($B$3/12,'Input Data'!$E$23*12,$D$3),IF($A247,-PMT(B247/12,('Input Data'!$E$23*12)-C247+1,D247),E246)))))</f>
        <v>65094.431363418102</v>
      </c>
      <c r="F247" s="18">
        <f t="shared" si="16"/>
        <v>3107462.1185139143</v>
      </c>
      <c r="G247" s="18">
        <f>IF(C247&gt;'Input Data'!$B$23*12,0,D247*B247/12)</f>
        <v>15862.782749386663</v>
      </c>
      <c r="H247" s="18">
        <f t="shared" si="15"/>
        <v>49231.648614031437</v>
      </c>
      <c r="I247" s="18">
        <f t="shared" si="17"/>
        <v>3123324.9012633013</v>
      </c>
    </row>
    <row r="248" spans="1:9" x14ac:dyDescent="0.25">
      <c r="A248" t="b">
        <f>IF(('Input Data'!$C$23)="FRM", FALSE, ISNUMBER(MATCH(C248,'Input Data'!$M$18:$M$30,0)))</f>
        <v>0</v>
      </c>
      <c r="B248" s="8">
        <f>IF($A248, _xlfn.XLOOKUP(C248,'Input Data'!$M$17:$M$29,'Input Data'!$N$17:$N$29),$B247)</f>
        <v>0.06</v>
      </c>
      <c r="C248" s="10">
        <f t="shared" si="18"/>
        <v>246</v>
      </c>
      <c r="D248" s="18">
        <f t="shared" si="19"/>
        <v>3123324.9012633013</v>
      </c>
      <c r="E248" s="18">
        <f>IF('Input Data'!$E$23=0,G248,IF(OR(D248&lt;=0,C248&gt;'Input Data'!$B$23*12),0,IF(AND(C248='Input Data'!$B$23*12,'Input Data'!$E$23&gt;'Input Data'!$B$23),D248+D248*B248/12,IF('Input Data'!$C$23="FRM",-PMT($B$3/12,'Input Data'!$E$23*12,$D$3),IF($A248,-PMT(B248/12,('Input Data'!$E$23*12)-C248+1,D248),E247)))))</f>
        <v>65094.431363418102</v>
      </c>
      <c r="F248" s="18">
        <f t="shared" si="16"/>
        <v>3058230.469899883</v>
      </c>
      <c r="G248" s="18">
        <f>IF(C248&gt;'Input Data'!$B$23*12,0,D248*B248/12)</f>
        <v>15616.624506316506</v>
      </c>
      <c r="H248" s="18">
        <f t="shared" si="15"/>
        <v>49477.806857101597</v>
      </c>
      <c r="I248" s="18">
        <f t="shared" si="17"/>
        <v>3073847.0944061996</v>
      </c>
    </row>
    <row r="249" spans="1:9" x14ac:dyDescent="0.25">
      <c r="A249" t="b">
        <f>IF(('Input Data'!$C$23)="FRM", FALSE, ISNUMBER(MATCH(C249,'Input Data'!$M$18:$M$30,0)))</f>
        <v>0</v>
      </c>
      <c r="B249" s="8">
        <f>IF($A249, _xlfn.XLOOKUP(C249,'Input Data'!$M$17:$M$29,'Input Data'!$N$17:$N$29),$B248)</f>
        <v>0.06</v>
      </c>
      <c r="C249" s="10">
        <f t="shared" si="18"/>
        <v>247</v>
      </c>
      <c r="D249" s="18">
        <f t="shared" si="19"/>
        <v>3073847.0944061996</v>
      </c>
      <c r="E249" s="18">
        <f>IF('Input Data'!$E$23=0,G249,IF(OR(D249&lt;=0,C249&gt;'Input Data'!$B$23*12),0,IF(AND(C249='Input Data'!$B$23*12,'Input Data'!$E$23&gt;'Input Data'!$B$23),D249+D249*B249/12,IF('Input Data'!$C$23="FRM",-PMT($B$3/12,'Input Data'!$E$23*12,$D$3),IF($A249,-PMT(B249/12,('Input Data'!$E$23*12)-C249+1,D249),E248)))))</f>
        <v>65094.431363418102</v>
      </c>
      <c r="F249" s="18">
        <f t="shared" si="16"/>
        <v>3008752.6630427814</v>
      </c>
      <c r="G249" s="18">
        <f>IF(C249&gt;'Input Data'!$B$23*12,0,D249*B249/12)</f>
        <v>15369.235472030998</v>
      </c>
      <c r="H249" s="18">
        <f t="shared" si="15"/>
        <v>49725.195891387106</v>
      </c>
      <c r="I249" s="18">
        <f t="shared" si="17"/>
        <v>3024121.8985148123</v>
      </c>
    </row>
    <row r="250" spans="1:9" x14ac:dyDescent="0.25">
      <c r="A250" t="b">
        <f>IF(('Input Data'!$C$23)="FRM", FALSE, ISNUMBER(MATCH(C250,'Input Data'!$M$18:$M$30,0)))</f>
        <v>0</v>
      </c>
      <c r="B250" s="8">
        <f>IF($A250, _xlfn.XLOOKUP(C250,'Input Data'!$M$17:$M$29,'Input Data'!$N$17:$N$29),$B249)</f>
        <v>0.06</v>
      </c>
      <c r="C250" s="10">
        <f t="shared" si="18"/>
        <v>248</v>
      </c>
      <c r="D250" s="18">
        <f t="shared" si="19"/>
        <v>3024121.8985148123</v>
      </c>
      <c r="E250" s="18">
        <f>IF('Input Data'!$E$23=0,G250,IF(OR(D250&lt;=0,C250&gt;'Input Data'!$B$23*12),0,IF(AND(C250='Input Data'!$B$23*12,'Input Data'!$E$23&gt;'Input Data'!$B$23),D250+D250*B250/12,IF('Input Data'!$C$23="FRM",-PMT($B$3/12,'Input Data'!$E$23*12,$D$3),IF($A250,-PMT(B250/12,('Input Data'!$E$23*12)-C250+1,D250),E249)))))</f>
        <v>65094.431363418102</v>
      </c>
      <c r="F250" s="18">
        <f t="shared" si="16"/>
        <v>2959027.4671513941</v>
      </c>
      <c r="G250" s="18">
        <f>IF(C250&gt;'Input Data'!$B$23*12,0,D250*B250/12)</f>
        <v>15120.609492574062</v>
      </c>
      <c r="H250" s="18">
        <f t="shared" si="15"/>
        <v>49973.82187084404</v>
      </c>
      <c r="I250" s="18">
        <f t="shared" si="17"/>
        <v>2974148.0766439685</v>
      </c>
    </row>
    <row r="251" spans="1:9" x14ac:dyDescent="0.25">
      <c r="A251" t="b">
        <f>IF(('Input Data'!$C$23)="FRM", FALSE, ISNUMBER(MATCH(C251,'Input Data'!$M$18:$M$30,0)))</f>
        <v>0</v>
      </c>
      <c r="B251" s="8">
        <f>IF($A251, _xlfn.XLOOKUP(C251,'Input Data'!$M$17:$M$29,'Input Data'!$N$17:$N$29),$B250)</f>
        <v>0.06</v>
      </c>
      <c r="C251" s="10">
        <f t="shared" si="18"/>
        <v>249</v>
      </c>
      <c r="D251" s="18">
        <f t="shared" si="19"/>
        <v>2974148.0766439685</v>
      </c>
      <c r="E251" s="18">
        <f>IF('Input Data'!$E$23=0,G251,IF(OR(D251&lt;=0,C251&gt;'Input Data'!$B$23*12),0,IF(AND(C251='Input Data'!$B$23*12,'Input Data'!$E$23&gt;'Input Data'!$B$23),D251+D251*B251/12,IF('Input Data'!$C$23="FRM",-PMT($B$3/12,'Input Data'!$E$23*12,$D$3),IF($A251,-PMT(B251/12,('Input Data'!$E$23*12)-C251+1,D251),E250)))))</f>
        <v>65094.431363418102</v>
      </c>
      <c r="F251" s="18">
        <f t="shared" si="16"/>
        <v>2909053.6452805502</v>
      </c>
      <c r="G251" s="18">
        <f>IF(C251&gt;'Input Data'!$B$23*12,0,D251*B251/12)</f>
        <v>14870.740383219842</v>
      </c>
      <c r="H251" s="18">
        <f t="shared" si="15"/>
        <v>50223.690980198262</v>
      </c>
      <c r="I251" s="18">
        <f t="shared" si="17"/>
        <v>2923924.3856637701</v>
      </c>
    </row>
    <row r="252" spans="1:9" x14ac:dyDescent="0.25">
      <c r="A252" t="b">
        <f>IF(('Input Data'!$C$23)="FRM", FALSE, ISNUMBER(MATCH(C252,'Input Data'!$M$18:$M$30,0)))</f>
        <v>0</v>
      </c>
      <c r="B252" s="8">
        <f>IF($A252, _xlfn.XLOOKUP(C252,'Input Data'!$M$17:$M$29,'Input Data'!$N$17:$N$29),$B251)</f>
        <v>0.06</v>
      </c>
      <c r="C252" s="10">
        <f t="shared" si="18"/>
        <v>250</v>
      </c>
      <c r="D252" s="18">
        <f t="shared" si="19"/>
        <v>2923924.3856637701</v>
      </c>
      <c r="E252" s="18">
        <f>IF('Input Data'!$E$23=0,G252,IF(OR(D252&lt;=0,C252&gt;'Input Data'!$B$23*12),0,IF(AND(C252='Input Data'!$B$23*12,'Input Data'!$E$23&gt;'Input Data'!$B$23),D252+D252*B252/12,IF('Input Data'!$C$23="FRM",-PMT($B$3/12,'Input Data'!$E$23*12,$D$3),IF($A252,-PMT(B252/12,('Input Data'!$E$23*12)-C252+1,D252),E251)))))</f>
        <v>65094.431363418102</v>
      </c>
      <c r="F252" s="18">
        <f t="shared" si="16"/>
        <v>2858829.9543003519</v>
      </c>
      <c r="G252" s="18">
        <f>IF(C252&gt;'Input Data'!$B$23*12,0,D252*B252/12)</f>
        <v>14619.621928318849</v>
      </c>
      <c r="H252" s="18">
        <f t="shared" si="15"/>
        <v>50474.809435099254</v>
      </c>
      <c r="I252" s="18">
        <f t="shared" si="17"/>
        <v>2873449.5762286708</v>
      </c>
    </row>
    <row r="253" spans="1:9" x14ac:dyDescent="0.25">
      <c r="A253" t="b">
        <f>IF(('Input Data'!$C$23)="FRM", FALSE, ISNUMBER(MATCH(C253,'Input Data'!$M$18:$M$30,0)))</f>
        <v>0</v>
      </c>
      <c r="B253" s="8">
        <f>IF($A253, _xlfn.XLOOKUP(C253,'Input Data'!$M$17:$M$29,'Input Data'!$N$17:$N$29),$B252)</f>
        <v>0.06</v>
      </c>
      <c r="C253" s="10">
        <f t="shared" si="18"/>
        <v>251</v>
      </c>
      <c r="D253" s="18">
        <f t="shared" si="19"/>
        <v>2873449.5762286708</v>
      </c>
      <c r="E253" s="18">
        <f>IF('Input Data'!$E$23=0,G253,IF(OR(D253&lt;=0,C253&gt;'Input Data'!$B$23*12),0,IF(AND(C253='Input Data'!$B$23*12,'Input Data'!$E$23&gt;'Input Data'!$B$23),D253+D253*B253/12,IF('Input Data'!$C$23="FRM",-PMT($B$3/12,'Input Data'!$E$23*12,$D$3),IF($A253,-PMT(B253/12,('Input Data'!$E$23*12)-C253+1,D253),E252)))))</f>
        <v>65094.431363418102</v>
      </c>
      <c r="F253" s="18">
        <f t="shared" si="16"/>
        <v>2808355.1448652525</v>
      </c>
      <c r="G253" s="18">
        <f>IF(C253&gt;'Input Data'!$B$23*12,0,D253*B253/12)</f>
        <v>14367.247881143354</v>
      </c>
      <c r="H253" s="18">
        <f t="shared" si="15"/>
        <v>50727.183482274748</v>
      </c>
      <c r="I253" s="18">
        <f t="shared" si="17"/>
        <v>2822722.3927463959</v>
      </c>
    </row>
    <row r="254" spans="1:9" x14ac:dyDescent="0.25">
      <c r="A254" t="b">
        <f>IF(('Input Data'!$C$23)="FRM", FALSE, ISNUMBER(MATCH(C254,'Input Data'!$M$18:$M$30,0)))</f>
        <v>0</v>
      </c>
      <c r="B254" s="8">
        <f>IF($A254, _xlfn.XLOOKUP(C254,'Input Data'!$M$17:$M$29,'Input Data'!$N$17:$N$29),$B253)</f>
        <v>0.06</v>
      </c>
      <c r="C254" s="10">
        <f t="shared" si="18"/>
        <v>252</v>
      </c>
      <c r="D254" s="18">
        <f t="shared" si="19"/>
        <v>2822722.3927463959</v>
      </c>
      <c r="E254" s="18">
        <f>IF('Input Data'!$E$23=0,G254,IF(OR(D254&lt;=0,C254&gt;'Input Data'!$B$23*12),0,IF(AND(C254='Input Data'!$B$23*12,'Input Data'!$E$23&gt;'Input Data'!$B$23),D254+D254*B254/12,IF('Input Data'!$C$23="FRM",-PMT($B$3/12,'Input Data'!$E$23*12,$D$3),IF($A254,-PMT(B254/12,('Input Data'!$E$23*12)-C254+1,D254),E253)))))</f>
        <v>65094.431363418102</v>
      </c>
      <c r="F254" s="18">
        <f t="shared" si="16"/>
        <v>2757627.9613829777</v>
      </c>
      <c r="G254" s="18">
        <f>IF(C254&gt;'Input Data'!$B$23*12,0,D254*B254/12)</f>
        <v>14113.611963731979</v>
      </c>
      <c r="H254" s="18">
        <f t="shared" si="15"/>
        <v>50980.819399686123</v>
      </c>
      <c r="I254" s="18">
        <f t="shared" si="17"/>
        <v>2771741.5733467098</v>
      </c>
    </row>
    <row r="255" spans="1:9" x14ac:dyDescent="0.25">
      <c r="A255" t="b">
        <f>IF(('Input Data'!$C$23)="FRM", FALSE, ISNUMBER(MATCH(C255,'Input Data'!$M$18:$M$30,0)))</f>
        <v>0</v>
      </c>
      <c r="B255" s="8">
        <f>IF($A255, _xlfn.XLOOKUP(C255,'Input Data'!$M$17:$M$29,'Input Data'!$N$17:$N$29),$B254)</f>
        <v>0.06</v>
      </c>
      <c r="C255" s="10">
        <f t="shared" si="18"/>
        <v>253</v>
      </c>
      <c r="D255" s="18">
        <f t="shared" si="19"/>
        <v>2771741.5733467098</v>
      </c>
      <c r="E255" s="18">
        <f>IF('Input Data'!$E$23=0,G255,IF(OR(D255&lt;=0,C255&gt;'Input Data'!$B$23*12),0,IF(AND(C255='Input Data'!$B$23*12,'Input Data'!$E$23&gt;'Input Data'!$B$23),D255+D255*B255/12,IF('Input Data'!$C$23="FRM",-PMT($B$3/12,'Input Data'!$E$23*12,$D$3),IF($A255,-PMT(B255/12,('Input Data'!$E$23*12)-C255+1,D255),E254)))))</f>
        <v>65094.431363418102</v>
      </c>
      <c r="F255" s="18">
        <f t="shared" si="16"/>
        <v>2706647.1419832916</v>
      </c>
      <c r="G255" s="18">
        <f>IF(C255&gt;'Input Data'!$B$23*12,0,D255*B255/12)</f>
        <v>13858.70786673355</v>
      </c>
      <c r="H255" s="18">
        <f t="shared" si="15"/>
        <v>51235.72349668455</v>
      </c>
      <c r="I255" s="18">
        <f t="shared" si="17"/>
        <v>2720505.8498500255</v>
      </c>
    </row>
    <row r="256" spans="1:9" x14ac:dyDescent="0.25">
      <c r="A256" t="b">
        <f>IF(('Input Data'!$C$23)="FRM", FALSE, ISNUMBER(MATCH(C256,'Input Data'!$M$18:$M$30,0)))</f>
        <v>0</v>
      </c>
      <c r="B256" s="8">
        <f>IF($A256, _xlfn.XLOOKUP(C256,'Input Data'!$M$17:$M$29,'Input Data'!$N$17:$N$29),$B255)</f>
        <v>0.06</v>
      </c>
      <c r="C256" s="10">
        <f t="shared" si="18"/>
        <v>254</v>
      </c>
      <c r="D256" s="18">
        <f t="shared" si="19"/>
        <v>2720505.8498500255</v>
      </c>
      <c r="E256" s="18">
        <f>IF('Input Data'!$E$23=0,G256,IF(OR(D256&lt;=0,C256&gt;'Input Data'!$B$23*12),0,IF(AND(C256='Input Data'!$B$23*12,'Input Data'!$E$23&gt;'Input Data'!$B$23),D256+D256*B256/12,IF('Input Data'!$C$23="FRM",-PMT($B$3/12,'Input Data'!$E$23*12,$D$3),IF($A256,-PMT(B256/12,('Input Data'!$E$23*12)-C256+1,D256),E255)))))</f>
        <v>65094.431363418102</v>
      </c>
      <c r="F256" s="18">
        <f t="shared" si="16"/>
        <v>2655411.4184866073</v>
      </c>
      <c r="G256" s="18">
        <f>IF(C256&gt;'Input Data'!$B$23*12,0,D256*B256/12)</f>
        <v>13602.529249250127</v>
      </c>
      <c r="H256" s="18">
        <f t="shared" si="15"/>
        <v>51491.902114167977</v>
      </c>
      <c r="I256" s="18">
        <f t="shared" si="17"/>
        <v>2669013.9477358577</v>
      </c>
    </row>
    <row r="257" spans="1:9" x14ac:dyDescent="0.25">
      <c r="A257" t="b">
        <f>IF(('Input Data'!$C$23)="FRM", FALSE, ISNUMBER(MATCH(C257,'Input Data'!$M$18:$M$30,0)))</f>
        <v>0</v>
      </c>
      <c r="B257" s="8">
        <f>IF($A257, _xlfn.XLOOKUP(C257,'Input Data'!$M$17:$M$29,'Input Data'!$N$17:$N$29),$B256)</f>
        <v>0.06</v>
      </c>
      <c r="C257" s="10">
        <f t="shared" si="18"/>
        <v>255</v>
      </c>
      <c r="D257" s="18">
        <f t="shared" si="19"/>
        <v>2669013.9477358577</v>
      </c>
      <c r="E257" s="18">
        <f>IF('Input Data'!$E$23=0,G257,IF(OR(D257&lt;=0,C257&gt;'Input Data'!$B$23*12),0,IF(AND(C257='Input Data'!$B$23*12,'Input Data'!$E$23&gt;'Input Data'!$B$23),D257+D257*B257/12,IF('Input Data'!$C$23="FRM",-PMT($B$3/12,'Input Data'!$E$23*12,$D$3),IF($A257,-PMT(B257/12,('Input Data'!$E$23*12)-C257+1,D257),E256)))))</f>
        <v>65094.431363418102</v>
      </c>
      <c r="F257" s="18">
        <f t="shared" si="16"/>
        <v>2603919.5163724395</v>
      </c>
      <c r="G257" s="18">
        <f>IF(C257&gt;'Input Data'!$B$23*12,0,D257*B257/12)</f>
        <v>13345.069738679289</v>
      </c>
      <c r="H257" s="18">
        <f t="shared" si="15"/>
        <v>51749.361624738813</v>
      </c>
      <c r="I257" s="18">
        <f t="shared" si="17"/>
        <v>2617264.586111119</v>
      </c>
    </row>
    <row r="258" spans="1:9" x14ac:dyDescent="0.25">
      <c r="A258" t="b">
        <f>IF(('Input Data'!$C$23)="FRM", FALSE, ISNUMBER(MATCH(C258,'Input Data'!$M$18:$M$30,0)))</f>
        <v>0</v>
      </c>
      <c r="B258" s="8">
        <f>IF($A258, _xlfn.XLOOKUP(C258,'Input Data'!$M$17:$M$29,'Input Data'!$N$17:$N$29),$B257)</f>
        <v>0.06</v>
      </c>
      <c r="C258" s="10">
        <f t="shared" si="18"/>
        <v>256</v>
      </c>
      <c r="D258" s="18">
        <f t="shared" si="19"/>
        <v>2617264.586111119</v>
      </c>
      <c r="E258" s="18">
        <f>IF('Input Data'!$E$23=0,G258,IF(OR(D258&lt;=0,C258&gt;'Input Data'!$B$23*12),0,IF(AND(C258='Input Data'!$B$23*12,'Input Data'!$E$23&gt;'Input Data'!$B$23),D258+D258*B258/12,IF('Input Data'!$C$23="FRM",-PMT($B$3/12,'Input Data'!$E$23*12,$D$3),IF($A258,-PMT(B258/12,('Input Data'!$E$23*12)-C258+1,D258),E257)))))</f>
        <v>65094.431363418102</v>
      </c>
      <c r="F258" s="18">
        <f t="shared" si="16"/>
        <v>2552170.1547477008</v>
      </c>
      <c r="G258" s="18">
        <f>IF(C258&gt;'Input Data'!$B$23*12,0,D258*B258/12)</f>
        <v>13086.322930555594</v>
      </c>
      <c r="H258" s="18">
        <f t="shared" si="15"/>
        <v>52008.108432862507</v>
      </c>
      <c r="I258" s="18">
        <f t="shared" si="17"/>
        <v>2565256.4776782566</v>
      </c>
    </row>
    <row r="259" spans="1:9" x14ac:dyDescent="0.25">
      <c r="A259" t="b">
        <f>IF(('Input Data'!$C$23)="FRM", FALSE, ISNUMBER(MATCH(C259,'Input Data'!$M$18:$M$30,0)))</f>
        <v>0</v>
      </c>
      <c r="B259" s="8">
        <f>IF($A259, _xlfn.XLOOKUP(C259,'Input Data'!$M$17:$M$29,'Input Data'!$N$17:$N$29),$B258)</f>
        <v>0.06</v>
      </c>
      <c r="C259" s="10">
        <f t="shared" si="18"/>
        <v>257</v>
      </c>
      <c r="D259" s="18">
        <f t="shared" si="19"/>
        <v>2565256.4776782566</v>
      </c>
      <c r="E259" s="18">
        <f>IF('Input Data'!$E$23=0,G259,IF(OR(D259&lt;=0,C259&gt;'Input Data'!$B$23*12),0,IF(AND(C259='Input Data'!$B$23*12,'Input Data'!$E$23&gt;'Input Data'!$B$23),D259+D259*B259/12,IF('Input Data'!$C$23="FRM",-PMT($B$3/12,'Input Data'!$E$23*12,$D$3),IF($A259,-PMT(B259/12,('Input Data'!$E$23*12)-C259+1,D259),E258)))))</f>
        <v>65094.431363418102</v>
      </c>
      <c r="F259" s="18">
        <f t="shared" si="16"/>
        <v>2500162.0463148383</v>
      </c>
      <c r="G259" s="18">
        <f>IF(C259&gt;'Input Data'!$B$23*12,0,D259*B259/12)</f>
        <v>12826.282388391281</v>
      </c>
      <c r="H259" s="18">
        <f t="shared" ref="H259:H322" si="20">MIN(E259-G259,D259)</f>
        <v>52268.148975026823</v>
      </c>
      <c r="I259" s="18">
        <f t="shared" si="17"/>
        <v>2512988.3287032298</v>
      </c>
    </row>
    <row r="260" spans="1:9" x14ac:dyDescent="0.25">
      <c r="A260" t="b">
        <f>IF(('Input Data'!$C$23)="FRM", FALSE, ISNUMBER(MATCH(C260,'Input Data'!$M$18:$M$30,0)))</f>
        <v>0</v>
      </c>
      <c r="B260" s="8">
        <f>IF($A260, _xlfn.XLOOKUP(C260,'Input Data'!$M$17:$M$29,'Input Data'!$N$17:$N$29),$B259)</f>
        <v>0.06</v>
      </c>
      <c r="C260" s="10">
        <f t="shared" si="18"/>
        <v>258</v>
      </c>
      <c r="D260" s="18">
        <f t="shared" si="19"/>
        <v>2512988.3287032298</v>
      </c>
      <c r="E260" s="18">
        <f>IF('Input Data'!$E$23=0,G260,IF(OR(D260&lt;=0,C260&gt;'Input Data'!$B$23*12),0,IF(AND(C260='Input Data'!$B$23*12,'Input Data'!$E$23&gt;'Input Data'!$B$23),D260+D260*B260/12,IF('Input Data'!$C$23="FRM",-PMT($B$3/12,'Input Data'!$E$23*12,$D$3),IF($A260,-PMT(B260/12,('Input Data'!$E$23*12)-C260+1,D260),E259)))))</f>
        <v>65094.431363418102</v>
      </c>
      <c r="F260" s="18">
        <f t="shared" ref="F260:F323" si="21">IF(D260-E260&lt;0,0,D260-E260)</f>
        <v>2447893.8973398115</v>
      </c>
      <c r="G260" s="18">
        <f>IF(C260&gt;'Input Data'!$B$23*12,0,D260*B260/12)</f>
        <v>12564.941643516147</v>
      </c>
      <c r="H260" s="18">
        <f t="shared" si="20"/>
        <v>52529.489719901954</v>
      </c>
      <c r="I260" s="18">
        <f t="shared" ref="I260:I323" si="22">IF(ROUND(D260-H260,2)=0,0,D260-H260)</f>
        <v>2460458.8389833276</v>
      </c>
    </row>
    <row r="261" spans="1:9" x14ac:dyDescent="0.25">
      <c r="A261" t="b">
        <f>IF(('Input Data'!$C$23)="FRM", FALSE, ISNUMBER(MATCH(C261,'Input Data'!$M$18:$M$30,0)))</f>
        <v>0</v>
      </c>
      <c r="B261" s="8">
        <f>IF($A261, _xlfn.XLOOKUP(C261,'Input Data'!$M$17:$M$29,'Input Data'!$N$17:$N$29),$B260)</f>
        <v>0.06</v>
      </c>
      <c r="C261" s="10">
        <f t="shared" ref="C261:C324" si="23">C260+1</f>
        <v>259</v>
      </c>
      <c r="D261" s="18">
        <f t="shared" ref="D261:D324" si="24">IF(I260&gt;0,I260-J260,0)</f>
        <v>2460458.8389833276</v>
      </c>
      <c r="E261" s="18">
        <f>IF('Input Data'!$E$23=0,G261,IF(OR(D261&lt;=0,C261&gt;'Input Data'!$B$23*12),0,IF(AND(C261='Input Data'!$B$23*12,'Input Data'!$E$23&gt;'Input Data'!$B$23),D261+D261*B261/12,IF('Input Data'!$C$23="FRM",-PMT($B$3/12,'Input Data'!$E$23*12,$D$3),IF($A261,-PMT(B261/12,('Input Data'!$E$23*12)-C261+1,D261),E260)))))</f>
        <v>65094.431363418102</v>
      </c>
      <c r="F261" s="18">
        <f t="shared" si="21"/>
        <v>2395364.4076199094</v>
      </c>
      <c r="G261" s="18">
        <f>IF(C261&gt;'Input Data'!$B$23*12,0,D261*B261/12)</f>
        <v>12302.294194916636</v>
      </c>
      <c r="H261" s="18">
        <f t="shared" si="20"/>
        <v>52792.137168501467</v>
      </c>
      <c r="I261" s="18">
        <f t="shared" si="22"/>
        <v>2407666.7018148261</v>
      </c>
    </row>
    <row r="262" spans="1:9" x14ac:dyDescent="0.25">
      <c r="A262" t="b">
        <f>IF(('Input Data'!$C$23)="FRM", FALSE, ISNUMBER(MATCH(C262,'Input Data'!$M$18:$M$30,0)))</f>
        <v>0</v>
      </c>
      <c r="B262" s="8">
        <f>IF($A262, _xlfn.XLOOKUP(C262,'Input Data'!$M$17:$M$29,'Input Data'!$N$17:$N$29),$B261)</f>
        <v>0.06</v>
      </c>
      <c r="C262" s="10">
        <f t="shared" si="23"/>
        <v>260</v>
      </c>
      <c r="D262" s="18">
        <f t="shared" si="24"/>
        <v>2407666.7018148261</v>
      </c>
      <c r="E262" s="18">
        <f>IF('Input Data'!$E$23=0,G262,IF(OR(D262&lt;=0,C262&gt;'Input Data'!$B$23*12),0,IF(AND(C262='Input Data'!$B$23*12,'Input Data'!$E$23&gt;'Input Data'!$B$23),D262+D262*B262/12,IF('Input Data'!$C$23="FRM",-PMT($B$3/12,'Input Data'!$E$23*12,$D$3),IF($A262,-PMT(B262/12,('Input Data'!$E$23*12)-C262+1,D262),E261)))))</f>
        <v>65094.431363418102</v>
      </c>
      <c r="F262" s="18">
        <f t="shared" si="21"/>
        <v>2342572.2704514079</v>
      </c>
      <c r="G262" s="18">
        <f>IF(C262&gt;'Input Data'!$B$23*12,0,D262*B262/12)</f>
        <v>12038.333509074131</v>
      </c>
      <c r="H262" s="18">
        <f t="shared" si="20"/>
        <v>53056.097854343971</v>
      </c>
      <c r="I262" s="18">
        <f t="shared" si="22"/>
        <v>2354610.6039604819</v>
      </c>
    </row>
    <row r="263" spans="1:9" x14ac:dyDescent="0.25">
      <c r="A263" t="b">
        <f>IF(('Input Data'!$C$23)="FRM", FALSE, ISNUMBER(MATCH(C263,'Input Data'!$M$18:$M$30,0)))</f>
        <v>0</v>
      </c>
      <c r="B263" s="8">
        <f>IF($A263, _xlfn.XLOOKUP(C263,'Input Data'!$M$17:$M$29,'Input Data'!$N$17:$N$29),$B262)</f>
        <v>0.06</v>
      </c>
      <c r="C263" s="10">
        <f t="shared" si="23"/>
        <v>261</v>
      </c>
      <c r="D263" s="18">
        <f t="shared" si="24"/>
        <v>2354610.6039604819</v>
      </c>
      <c r="E263" s="18">
        <f>IF('Input Data'!$E$23=0,G263,IF(OR(D263&lt;=0,C263&gt;'Input Data'!$B$23*12),0,IF(AND(C263='Input Data'!$B$23*12,'Input Data'!$E$23&gt;'Input Data'!$B$23),D263+D263*B263/12,IF('Input Data'!$C$23="FRM",-PMT($B$3/12,'Input Data'!$E$23*12,$D$3),IF($A263,-PMT(B263/12,('Input Data'!$E$23*12)-C263+1,D263),E262)))))</f>
        <v>65094.431363418102</v>
      </c>
      <c r="F263" s="18">
        <f t="shared" si="21"/>
        <v>2289516.1725970637</v>
      </c>
      <c r="G263" s="18">
        <f>IF(C263&gt;'Input Data'!$B$23*12,0,D263*B263/12)</f>
        <v>11773.053019802408</v>
      </c>
      <c r="H263" s="18">
        <f t="shared" si="20"/>
        <v>53321.378343615695</v>
      </c>
      <c r="I263" s="18">
        <f t="shared" si="22"/>
        <v>2301289.2256168663</v>
      </c>
    </row>
    <row r="264" spans="1:9" x14ac:dyDescent="0.25">
      <c r="A264" t="b">
        <f>IF(('Input Data'!$C$23)="FRM", FALSE, ISNUMBER(MATCH(C264,'Input Data'!$M$18:$M$30,0)))</f>
        <v>0</v>
      </c>
      <c r="B264" s="8">
        <f>IF($A264, _xlfn.XLOOKUP(C264,'Input Data'!$M$17:$M$29,'Input Data'!$N$17:$N$29),$B263)</f>
        <v>0.06</v>
      </c>
      <c r="C264" s="10">
        <f t="shared" si="23"/>
        <v>262</v>
      </c>
      <c r="D264" s="18">
        <f t="shared" si="24"/>
        <v>2301289.2256168663</v>
      </c>
      <c r="E264" s="18">
        <f>IF('Input Data'!$E$23=0,G264,IF(OR(D264&lt;=0,C264&gt;'Input Data'!$B$23*12),0,IF(AND(C264='Input Data'!$B$23*12,'Input Data'!$E$23&gt;'Input Data'!$B$23),D264+D264*B264/12,IF('Input Data'!$C$23="FRM",-PMT($B$3/12,'Input Data'!$E$23*12,$D$3),IF($A264,-PMT(B264/12,('Input Data'!$E$23*12)-C264+1,D264),E263)))))</f>
        <v>65094.431363418102</v>
      </c>
      <c r="F264" s="18">
        <f t="shared" si="21"/>
        <v>2236194.794253448</v>
      </c>
      <c r="G264" s="18">
        <f>IF(C264&gt;'Input Data'!$B$23*12,0,D264*B264/12)</f>
        <v>11506.446128084332</v>
      </c>
      <c r="H264" s="18">
        <f t="shared" si="20"/>
        <v>53587.98523533377</v>
      </c>
      <c r="I264" s="18">
        <f t="shared" si="22"/>
        <v>2247701.2403815323</v>
      </c>
    </row>
    <row r="265" spans="1:9" x14ac:dyDescent="0.25">
      <c r="A265" t="b">
        <f>IF(('Input Data'!$C$23)="FRM", FALSE, ISNUMBER(MATCH(C265,'Input Data'!$M$18:$M$30,0)))</f>
        <v>0</v>
      </c>
      <c r="B265" s="8">
        <f>IF($A265, _xlfn.XLOOKUP(C265,'Input Data'!$M$17:$M$29,'Input Data'!$N$17:$N$29),$B264)</f>
        <v>0.06</v>
      </c>
      <c r="C265" s="10">
        <f t="shared" si="23"/>
        <v>263</v>
      </c>
      <c r="D265" s="18">
        <f t="shared" si="24"/>
        <v>2247701.2403815323</v>
      </c>
      <c r="E265" s="18">
        <f>IF('Input Data'!$E$23=0,G265,IF(OR(D265&lt;=0,C265&gt;'Input Data'!$B$23*12),0,IF(AND(C265='Input Data'!$B$23*12,'Input Data'!$E$23&gt;'Input Data'!$B$23),D265+D265*B265/12,IF('Input Data'!$C$23="FRM",-PMT($B$3/12,'Input Data'!$E$23*12,$D$3),IF($A265,-PMT(B265/12,('Input Data'!$E$23*12)-C265+1,D265),E264)))))</f>
        <v>65094.431363418102</v>
      </c>
      <c r="F265" s="18">
        <f t="shared" si="21"/>
        <v>2182606.8090181141</v>
      </c>
      <c r="G265" s="18">
        <f>IF(C265&gt;'Input Data'!$B$23*12,0,D265*B265/12)</f>
        <v>11238.506201907663</v>
      </c>
      <c r="H265" s="18">
        <f t="shared" si="20"/>
        <v>53855.925161510437</v>
      </c>
      <c r="I265" s="18">
        <f t="shared" si="22"/>
        <v>2193845.3152200221</v>
      </c>
    </row>
    <row r="266" spans="1:9" x14ac:dyDescent="0.25">
      <c r="A266" t="b">
        <f>IF(('Input Data'!$C$23)="FRM", FALSE, ISNUMBER(MATCH(C266,'Input Data'!$M$18:$M$30,0)))</f>
        <v>0</v>
      </c>
      <c r="B266" s="8">
        <f>IF($A266, _xlfn.XLOOKUP(C266,'Input Data'!$M$17:$M$29,'Input Data'!$N$17:$N$29),$B265)</f>
        <v>0.06</v>
      </c>
      <c r="C266" s="10">
        <f t="shared" si="23"/>
        <v>264</v>
      </c>
      <c r="D266" s="18">
        <f t="shared" si="24"/>
        <v>2193845.3152200221</v>
      </c>
      <c r="E266" s="18">
        <f>IF('Input Data'!$E$23=0,G266,IF(OR(D266&lt;=0,C266&gt;'Input Data'!$B$23*12),0,IF(AND(C266='Input Data'!$B$23*12,'Input Data'!$E$23&gt;'Input Data'!$B$23),D266+D266*B266/12,IF('Input Data'!$C$23="FRM",-PMT($B$3/12,'Input Data'!$E$23*12,$D$3),IF($A266,-PMT(B266/12,('Input Data'!$E$23*12)-C266+1,D266),E265)))))</f>
        <v>2204814.5417961222</v>
      </c>
      <c r="F266" s="18">
        <f t="shared" si="21"/>
        <v>0</v>
      </c>
      <c r="G266" s="18">
        <f>IF(C266&gt;'Input Data'!$B$23*12,0,D266*B266/12)</f>
        <v>10969.226576100111</v>
      </c>
      <c r="H266" s="18">
        <f t="shared" si="20"/>
        <v>2193845.3152200221</v>
      </c>
      <c r="I266" s="18">
        <f t="shared" si="22"/>
        <v>0</v>
      </c>
    </row>
    <row r="267" spans="1:9" x14ac:dyDescent="0.25">
      <c r="A267" t="b">
        <f>IF(('Input Data'!$C$23)="FRM", FALSE, ISNUMBER(MATCH(C267,'Input Data'!$M$18:$M$30,0)))</f>
        <v>0</v>
      </c>
      <c r="B267" s="8">
        <f>IF($A267, _xlfn.XLOOKUP(C267,'Input Data'!$M$17:$M$29,'Input Data'!$N$17:$N$29),$B266)</f>
        <v>0.06</v>
      </c>
      <c r="C267" s="10">
        <f t="shared" si="23"/>
        <v>265</v>
      </c>
      <c r="D267" s="18">
        <f t="shared" si="24"/>
        <v>0</v>
      </c>
      <c r="E267" s="18">
        <f>IF('Input Data'!$E$23=0,G267,IF(OR(D267&lt;=0,C267&gt;'Input Data'!$B$23*12),0,IF(AND(C267='Input Data'!$B$23*12,'Input Data'!$E$23&gt;'Input Data'!$B$23),D267+D267*B267/12,IF('Input Data'!$C$23="FRM",-PMT($B$3/12,'Input Data'!$E$23*12,$D$3),IF($A267,-PMT(B267/12,('Input Data'!$E$23*12)-C267+1,D267),E266)))))</f>
        <v>0</v>
      </c>
      <c r="F267" s="18">
        <f t="shared" si="21"/>
        <v>0</v>
      </c>
      <c r="G267" s="18">
        <f>IF(C267&gt;'Input Data'!$B$23*12,0,D267*B267/12)</f>
        <v>0</v>
      </c>
      <c r="H267" s="18">
        <f t="shared" si="20"/>
        <v>0</v>
      </c>
      <c r="I267" s="18">
        <f t="shared" si="22"/>
        <v>0</v>
      </c>
    </row>
    <row r="268" spans="1:9" x14ac:dyDescent="0.25">
      <c r="A268" t="b">
        <f>IF(('Input Data'!$C$23)="FRM", FALSE, ISNUMBER(MATCH(C268,'Input Data'!$M$18:$M$30,0)))</f>
        <v>0</v>
      </c>
      <c r="B268" s="8">
        <f>IF($A268, _xlfn.XLOOKUP(C268,'Input Data'!$M$17:$M$29,'Input Data'!$N$17:$N$29),$B267)</f>
        <v>0.06</v>
      </c>
      <c r="C268" s="10">
        <f t="shared" si="23"/>
        <v>266</v>
      </c>
      <c r="D268" s="18">
        <f t="shared" si="24"/>
        <v>0</v>
      </c>
      <c r="E268" s="18">
        <f>IF('Input Data'!$E$23=0,G268,IF(OR(D268&lt;=0,C268&gt;'Input Data'!$B$23*12),0,IF(AND(C268='Input Data'!$B$23*12,'Input Data'!$E$23&gt;'Input Data'!$B$23),D268+D268*B268/12,IF('Input Data'!$C$23="FRM",-PMT($B$3/12,'Input Data'!$E$23*12,$D$3),IF($A268,-PMT(B268/12,('Input Data'!$E$23*12)-C268+1,D268),E267)))))</f>
        <v>0</v>
      </c>
      <c r="F268" s="18">
        <f t="shared" si="21"/>
        <v>0</v>
      </c>
      <c r="G268" s="18">
        <f>IF(C268&gt;'Input Data'!$B$23*12,0,D268*B268/12)</f>
        <v>0</v>
      </c>
      <c r="H268" s="18">
        <f t="shared" si="20"/>
        <v>0</v>
      </c>
      <c r="I268" s="18">
        <f t="shared" si="22"/>
        <v>0</v>
      </c>
    </row>
    <row r="269" spans="1:9" x14ac:dyDescent="0.25">
      <c r="A269" t="b">
        <f>IF(('Input Data'!$C$23)="FRM", FALSE, ISNUMBER(MATCH(C269,'Input Data'!$M$18:$M$30,0)))</f>
        <v>0</v>
      </c>
      <c r="B269" s="8">
        <f>IF($A269, _xlfn.XLOOKUP(C269,'Input Data'!$M$17:$M$29,'Input Data'!$N$17:$N$29),$B268)</f>
        <v>0.06</v>
      </c>
      <c r="C269" s="10">
        <f t="shared" si="23"/>
        <v>267</v>
      </c>
      <c r="D269" s="18">
        <f t="shared" si="24"/>
        <v>0</v>
      </c>
      <c r="E269" s="18">
        <f>IF('Input Data'!$E$23=0,G269,IF(OR(D269&lt;=0,C269&gt;'Input Data'!$B$23*12),0,IF(AND(C269='Input Data'!$B$23*12,'Input Data'!$E$23&gt;'Input Data'!$B$23),D269+D269*B269/12,IF('Input Data'!$C$23="FRM",-PMT($B$3/12,'Input Data'!$E$23*12,$D$3),IF($A269,-PMT(B269/12,('Input Data'!$E$23*12)-C269+1,D269),E268)))))</f>
        <v>0</v>
      </c>
      <c r="F269" s="18">
        <f t="shared" si="21"/>
        <v>0</v>
      </c>
      <c r="G269" s="18">
        <f>IF(C269&gt;'Input Data'!$B$23*12,0,D269*B269/12)</f>
        <v>0</v>
      </c>
      <c r="H269" s="18">
        <f t="shared" si="20"/>
        <v>0</v>
      </c>
      <c r="I269" s="18">
        <f t="shared" si="22"/>
        <v>0</v>
      </c>
    </row>
    <row r="270" spans="1:9" x14ac:dyDescent="0.25">
      <c r="A270" t="b">
        <f>IF(('Input Data'!$C$23)="FRM", FALSE, ISNUMBER(MATCH(C270,'Input Data'!$M$18:$M$30,0)))</f>
        <v>0</v>
      </c>
      <c r="B270" s="8">
        <f>IF($A270, _xlfn.XLOOKUP(C270,'Input Data'!$M$17:$M$29,'Input Data'!$N$17:$N$29),$B269)</f>
        <v>0.06</v>
      </c>
      <c r="C270" s="10">
        <f t="shared" si="23"/>
        <v>268</v>
      </c>
      <c r="D270" s="18">
        <f t="shared" si="24"/>
        <v>0</v>
      </c>
      <c r="E270" s="18">
        <f>IF('Input Data'!$E$23=0,G270,IF(OR(D270&lt;=0,C270&gt;'Input Data'!$B$23*12),0,IF(AND(C270='Input Data'!$B$23*12,'Input Data'!$E$23&gt;'Input Data'!$B$23),D270+D270*B270/12,IF('Input Data'!$C$23="FRM",-PMT($B$3/12,'Input Data'!$E$23*12,$D$3),IF($A270,-PMT(B270/12,('Input Data'!$E$23*12)-C270+1,D270),E269)))))</f>
        <v>0</v>
      </c>
      <c r="F270" s="18">
        <f t="shared" si="21"/>
        <v>0</v>
      </c>
      <c r="G270" s="18">
        <f>IF(C270&gt;'Input Data'!$B$23*12,0,D270*B270/12)</f>
        <v>0</v>
      </c>
      <c r="H270" s="18">
        <f t="shared" si="20"/>
        <v>0</v>
      </c>
      <c r="I270" s="18">
        <f t="shared" si="22"/>
        <v>0</v>
      </c>
    </row>
    <row r="271" spans="1:9" x14ac:dyDescent="0.25">
      <c r="A271" t="b">
        <f>IF(('Input Data'!$C$23)="FRM", FALSE, ISNUMBER(MATCH(C271,'Input Data'!$M$18:$M$30,0)))</f>
        <v>0</v>
      </c>
      <c r="B271" s="8">
        <f>IF($A271, _xlfn.XLOOKUP(C271,'Input Data'!$M$17:$M$29,'Input Data'!$N$17:$N$29),$B270)</f>
        <v>0.06</v>
      </c>
      <c r="C271" s="10">
        <f t="shared" si="23"/>
        <v>269</v>
      </c>
      <c r="D271" s="18">
        <f t="shared" si="24"/>
        <v>0</v>
      </c>
      <c r="E271" s="18">
        <f>IF('Input Data'!$E$23=0,G271,IF(OR(D271&lt;=0,C271&gt;'Input Data'!$B$23*12),0,IF(AND(C271='Input Data'!$B$23*12,'Input Data'!$E$23&gt;'Input Data'!$B$23),D271+D271*B271/12,IF('Input Data'!$C$23="FRM",-PMT($B$3/12,'Input Data'!$E$23*12,$D$3),IF($A271,-PMT(B271/12,('Input Data'!$E$23*12)-C271+1,D271),E270)))))</f>
        <v>0</v>
      </c>
      <c r="F271" s="18">
        <f t="shared" si="21"/>
        <v>0</v>
      </c>
      <c r="G271" s="18">
        <f>IF(C271&gt;'Input Data'!$B$23*12,0,D271*B271/12)</f>
        <v>0</v>
      </c>
      <c r="H271" s="18">
        <f t="shared" si="20"/>
        <v>0</v>
      </c>
      <c r="I271" s="18">
        <f t="shared" si="22"/>
        <v>0</v>
      </c>
    </row>
    <row r="272" spans="1:9" x14ac:dyDescent="0.25">
      <c r="A272" t="b">
        <f>IF(('Input Data'!$C$23)="FRM", FALSE, ISNUMBER(MATCH(C272,'Input Data'!$M$18:$M$30,0)))</f>
        <v>0</v>
      </c>
      <c r="B272" s="8">
        <f>IF($A272, _xlfn.XLOOKUP(C272,'Input Data'!$M$17:$M$29,'Input Data'!$N$17:$N$29),$B271)</f>
        <v>0.06</v>
      </c>
      <c r="C272" s="10">
        <f t="shared" si="23"/>
        <v>270</v>
      </c>
      <c r="D272" s="18">
        <f t="shared" si="24"/>
        <v>0</v>
      </c>
      <c r="E272" s="18">
        <f>IF('Input Data'!$E$23=0,G272,IF(OR(D272&lt;=0,C272&gt;'Input Data'!$B$23*12),0,IF(AND(C272='Input Data'!$B$23*12,'Input Data'!$E$23&gt;'Input Data'!$B$23),D272+D272*B272/12,IF('Input Data'!$C$23="FRM",-PMT($B$3/12,'Input Data'!$E$23*12,$D$3),IF($A272,-PMT(B272/12,('Input Data'!$E$23*12)-C272+1,D272),E271)))))</f>
        <v>0</v>
      </c>
      <c r="F272" s="18">
        <f t="shared" si="21"/>
        <v>0</v>
      </c>
      <c r="G272" s="18">
        <f>IF(C272&gt;'Input Data'!$B$23*12,0,D272*B272/12)</f>
        <v>0</v>
      </c>
      <c r="H272" s="18">
        <f t="shared" si="20"/>
        <v>0</v>
      </c>
      <c r="I272" s="18">
        <f t="shared" si="22"/>
        <v>0</v>
      </c>
    </row>
    <row r="273" spans="1:9" x14ac:dyDescent="0.25">
      <c r="A273" t="b">
        <f>IF(('Input Data'!$C$23)="FRM", FALSE, ISNUMBER(MATCH(C273,'Input Data'!$M$18:$M$30,0)))</f>
        <v>0</v>
      </c>
      <c r="B273" s="8">
        <f>IF($A273, _xlfn.XLOOKUP(C273,'Input Data'!$M$17:$M$29,'Input Data'!$N$17:$N$29),$B272)</f>
        <v>0.06</v>
      </c>
      <c r="C273" s="10">
        <f t="shared" si="23"/>
        <v>271</v>
      </c>
      <c r="D273" s="18">
        <f t="shared" si="24"/>
        <v>0</v>
      </c>
      <c r="E273" s="18">
        <f>IF('Input Data'!$E$23=0,G273,IF(OR(D273&lt;=0,C273&gt;'Input Data'!$B$23*12),0,IF(AND(C273='Input Data'!$B$23*12,'Input Data'!$E$23&gt;'Input Data'!$B$23),D273+D273*B273/12,IF('Input Data'!$C$23="FRM",-PMT($B$3/12,'Input Data'!$E$23*12,$D$3),IF($A273,-PMT(B273/12,('Input Data'!$E$23*12)-C273+1,D273),E272)))))</f>
        <v>0</v>
      </c>
      <c r="F273" s="18">
        <f t="shared" si="21"/>
        <v>0</v>
      </c>
      <c r="G273" s="18">
        <f>IF(C273&gt;'Input Data'!$B$23*12,0,D273*B273/12)</f>
        <v>0</v>
      </c>
      <c r="H273" s="18">
        <f t="shared" si="20"/>
        <v>0</v>
      </c>
      <c r="I273" s="18">
        <f t="shared" si="22"/>
        <v>0</v>
      </c>
    </row>
    <row r="274" spans="1:9" x14ac:dyDescent="0.25">
      <c r="A274" t="b">
        <f>IF(('Input Data'!$C$23)="FRM", FALSE, ISNUMBER(MATCH(C274,'Input Data'!$M$18:$M$30,0)))</f>
        <v>0</v>
      </c>
      <c r="B274" s="8">
        <f>IF($A274, _xlfn.XLOOKUP(C274,'Input Data'!$M$17:$M$29,'Input Data'!$N$17:$N$29),$B273)</f>
        <v>0.06</v>
      </c>
      <c r="C274" s="10">
        <f t="shared" si="23"/>
        <v>272</v>
      </c>
      <c r="D274" s="18">
        <f t="shared" si="24"/>
        <v>0</v>
      </c>
      <c r="E274" s="18">
        <f>IF('Input Data'!$E$23=0,G274,IF(OR(D274&lt;=0,C274&gt;'Input Data'!$B$23*12),0,IF(AND(C274='Input Data'!$B$23*12,'Input Data'!$E$23&gt;'Input Data'!$B$23),D274+D274*B274/12,IF('Input Data'!$C$23="FRM",-PMT($B$3/12,'Input Data'!$E$23*12,$D$3),IF($A274,-PMT(B274/12,('Input Data'!$E$23*12)-C274+1,D274),E273)))))</f>
        <v>0</v>
      </c>
      <c r="F274" s="18">
        <f t="shared" si="21"/>
        <v>0</v>
      </c>
      <c r="G274" s="18">
        <f>IF(C274&gt;'Input Data'!$B$23*12,0,D274*B274/12)</f>
        <v>0</v>
      </c>
      <c r="H274" s="18">
        <f t="shared" si="20"/>
        <v>0</v>
      </c>
      <c r="I274" s="18">
        <f t="shared" si="22"/>
        <v>0</v>
      </c>
    </row>
    <row r="275" spans="1:9" x14ac:dyDescent="0.25">
      <c r="A275" t="b">
        <f>IF(('Input Data'!$C$23)="FRM", FALSE, ISNUMBER(MATCH(C275,'Input Data'!$M$18:$M$30,0)))</f>
        <v>0</v>
      </c>
      <c r="B275" s="8">
        <f>IF($A275, _xlfn.XLOOKUP(C275,'Input Data'!$M$17:$M$29,'Input Data'!$N$17:$N$29),$B274)</f>
        <v>0.06</v>
      </c>
      <c r="C275" s="10">
        <f t="shared" si="23"/>
        <v>273</v>
      </c>
      <c r="D275" s="18">
        <f t="shared" si="24"/>
        <v>0</v>
      </c>
      <c r="E275" s="18">
        <f>IF('Input Data'!$E$23=0,G275,IF(OR(D275&lt;=0,C275&gt;'Input Data'!$B$23*12),0,IF(AND(C275='Input Data'!$B$23*12,'Input Data'!$E$23&gt;'Input Data'!$B$23),D275+D275*B275/12,IF('Input Data'!$C$23="FRM",-PMT($B$3/12,'Input Data'!$E$23*12,$D$3),IF($A275,-PMT(B275/12,('Input Data'!$E$23*12)-C275+1,D275),E274)))))</f>
        <v>0</v>
      </c>
      <c r="F275" s="18">
        <f t="shared" si="21"/>
        <v>0</v>
      </c>
      <c r="G275" s="18">
        <f>IF(C275&gt;'Input Data'!$B$23*12,0,D275*B275/12)</f>
        <v>0</v>
      </c>
      <c r="H275" s="18">
        <f t="shared" si="20"/>
        <v>0</v>
      </c>
      <c r="I275" s="18">
        <f t="shared" si="22"/>
        <v>0</v>
      </c>
    </row>
    <row r="276" spans="1:9" x14ac:dyDescent="0.25">
      <c r="A276" t="b">
        <f>IF(('Input Data'!$C$23)="FRM", FALSE, ISNUMBER(MATCH(C276,'Input Data'!$M$18:$M$30,0)))</f>
        <v>0</v>
      </c>
      <c r="B276" s="8">
        <f>IF($A276, _xlfn.XLOOKUP(C276,'Input Data'!$M$17:$M$29,'Input Data'!$N$17:$N$29),$B275)</f>
        <v>0.06</v>
      </c>
      <c r="C276" s="10">
        <f t="shared" si="23"/>
        <v>274</v>
      </c>
      <c r="D276" s="18">
        <f t="shared" si="24"/>
        <v>0</v>
      </c>
      <c r="E276" s="18">
        <f>IF('Input Data'!$E$23=0,G276,IF(OR(D276&lt;=0,C276&gt;'Input Data'!$B$23*12),0,IF(AND(C276='Input Data'!$B$23*12,'Input Data'!$E$23&gt;'Input Data'!$B$23),D276+D276*B276/12,IF('Input Data'!$C$23="FRM",-PMT($B$3/12,'Input Data'!$E$23*12,$D$3),IF($A276,-PMT(B276/12,('Input Data'!$E$23*12)-C276+1,D276),E275)))))</f>
        <v>0</v>
      </c>
      <c r="F276" s="18">
        <f t="shared" si="21"/>
        <v>0</v>
      </c>
      <c r="G276" s="18">
        <f>IF(C276&gt;'Input Data'!$B$23*12,0,D276*B276/12)</f>
        <v>0</v>
      </c>
      <c r="H276" s="18">
        <f t="shared" si="20"/>
        <v>0</v>
      </c>
      <c r="I276" s="18">
        <f t="shared" si="22"/>
        <v>0</v>
      </c>
    </row>
    <row r="277" spans="1:9" x14ac:dyDescent="0.25">
      <c r="A277" t="b">
        <f>IF(('Input Data'!$C$23)="FRM", FALSE, ISNUMBER(MATCH(C277,'Input Data'!$M$18:$M$30,0)))</f>
        <v>0</v>
      </c>
      <c r="B277" s="8">
        <f>IF($A277, _xlfn.XLOOKUP(C277,'Input Data'!$M$17:$M$29,'Input Data'!$N$17:$N$29),$B276)</f>
        <v>0.06</v>
      </c>
      <c r="C277" s="10">
        <f t="shared" si="23"/>
        <v>275</v>
      </c>
      <c r="D277" s="18">
        <f t="shared" si="24"/>
        <v>0</v>
      </c>
      <c r="E277" s="18">
        <f>IF('Input Data'!$E$23=0,G277,IF(OR(D277&lt;=0,C277&gt;'Input Data'!$B$23*12),0,IF(AND(C277='Input Data'!$B$23*12,'Input Data'!$E$23&gt;'Input Data'!$B$23),D277+D277*B277/12,IF('Input Data'!$C$23="FRM",-PMT($B$3/12,'Input Data'!$E$23*12,$D$3),IF($A277,-PMT(B277/12,('Input Data'!$E$23*12)-C277+1,D277),E276)))))</f>
        <v>0</v>
      </c>
      <c r="F277" s="18">
        <f t="shared" si="21"/>
        <v>0</v>
      </c>
      <c r="G277" s="18">
        <f>IF(C277&gt;'Input Data'!$B$23*12,0,D277*B277/12)</f>
        <v>0</v>
      </c>
      <c r="H277" s="18">
        <f t="shared" si="20"/>
        <v>0</v>
      </c>
      <c r="I277" s="18">
        <f t="shared" si="22"/>
        <v>0</v>
      </c>
    </row>
    <row r="278" spans="1:9" x14ac:dyDescent="0.25">
      <c r="A278" t="b">
        <f>IF(('Input Data'!$C$23)="FRM", FALSE, ISNUMBER(MATCH(C278,'Input Data'!$M$18:$M$30,0)))</f>
        <v>0</v>
      </c>
      <c r="B278" s="8">
        <f>IF($A278, _xlfn.XLOOKUP(C278,'Input Data'!$M$17:$M$29,'Input Data'!$N$17:$N$29),$B277)</f>
        <v>0.06</v>
      </c>
      <c r="C278" s="10">
        <f t="shared" si="23"/>
        <v>276</v>
      </c>
      <c r="D278" s="18">
        <f t="shared" si="24"/>
        <v>0</v>
      </c>
      <c r="E278" s="18">
        <f>IF('Input Data'!$E$23=0,G278,IF(OR(D278&lt;=0,C278&gt;'Input Data'!$B$23*12),0,IF(AND(C278='Input Data'!$B$23*12,'Input Data'!$E$23&gt;'Input Data'!$B$23),D278+D278*B278/12,IF('Input Data'!$C$23="FRM",-PMT($B$3/12,'Input Data'!$E$23*12,$D$3),IF($A278,-PMT(B278/12,('Input Data'!$E$23*12)-C278+1,D278),E277)))))</f>
        <v>0</v>
      </c>
      <c r="F278" s="18">
        <f t="shared" si="21"/>
        <v>0</v>
      </c>
      <c r="G278" s="18">
        <f>IF(C278&gt;'Input Data'!$B$23*12,0,D278*B278/12)</f>
        <v>0</v>
      </c>
      <c r="H278" s="18">
        <f t="shared" si="20"/>
        <v>0</v>
      </c>
      <c r="I278" s="18">
        <f t="shared" si="22"/>
        <v>0</v>
      </c>
    </row>
    <row r="279" spans="1:9" x14ac:dyDescent="0.25">
      <c r="A279" t="b">
        <f>IF(('Input Data'!$C$23)="FRM", FALSE, ISNUMBER(MATCH(C279,'Input Data'!$M$18:$M$30,0)))</f>
        <v>0</v>
      </c>
      <c r="B279" s="8">
        <f>IF($A279, _xlfn.XLOOKUP(C279,'Input Data'!$M$17:$M$29,'Input Data'!$N$17:$N$29),$B278)</f>
        <v>0.06</v>
      </c>
      <c r="C279" s="10">
        <f t="shared" si="23"/>
        <v>277</v>
      </c>
      <c r="D279" s="18">
        <f t="shared" si="24"/>
        <v>0</v>
      </c>
      <c r="E279" s="18">
        <f>IF('Input Data'!$E$23=0,G279,IF(OR(D279&lt;=0,C279&gt;'Input Data'!$B$23*12),0,IF(AND(C279='Input Data'!$B$23*12,'Input Data'!$E$23&gt;'Input Data'!$B$23),D279+D279*B279/12,IF('Input Data'!$C$23="FRM",-PMT($B$3/12,'Input Data'!$E$23*12,$D$3),IF($A279,-PMT(B279/12,('Input Data'!$E$23*12)-C279+1,D279),E278)))))</f>
        <v>0</v>
      </c>
      <c r="F279" s="18">
        <f t="shared" si="21"/>
        <v>0</v>
      </c>
      <c r="G279" s="18">
        <f>IF(C279&gt;'Input Data'!$B$23*12,0,D279*B279/12)</f>
        <v>0</v>
      </c>
      <c r="H279" s="18">
        <f t="shared" si="20"/>
        <v>0</v>
      </c>
      <c r="I279" s="18">
        <f t="shared" si="22"/>
        <v>0</v>
      </c>
    </row>
    <row r="280" spans="1:9" x14ac:dyDescent="0.25">
      <c r="A280" t="b">
        <f>IF(('Input Data'!$C$23)="FRM", FALSE, ISNUMBER(MATCH(C280,'Input Data'!$M$18:$M$30,0)))</f>
        <v>0</v>
      </c>
      <c r="B280" s="8">
        <f>IF($A280, _xlfn.XLOOKUP(C280,'Input Data'!$M$17:$M$29,'Input Data'!$N$17:$N$29),$B279)</f>
        <v>0.06</v>
      </c>
      <c r="C280" s="10">
        <f t="shared" si="23"/>
        <v>278</v>
      </c>
      <c r="D280" s="18">
        <f t="shared" si="24"/>
        <v>0</v>
      </c>
      <c r="E280" s="18">
        <f>IF('Input Data'!$E$23=0,G280,IF(OR(D280&lt;=0,C280&gt;'Input Data'!$B$23*12),0,IF(AND(C280='Input Data'!$B$23*12,'Input Data'!$E$23&gt;'Input Data'!$B$23),D280+D280*B280/12,IF('Input Data'!$C$23="FRM",-PMT($B$3/12,'Input Data'!$E$23*12,$D$3),IF($A280,-PMT(B280/12,('Input Data'!$E$23*12)-C280+1,D280),E279)))))</f>
        <v>0</v>
      </c>
      <c r="F280" s="18">
        <f t="shared" si="21"/>
        <v>0</v>
      </c>
      <c r="G280" s="18">
        <f>IF(C280&gt;'Input Data'!$B$23*12,0,D280*B280/12)</f>
        <v>0</v>
      </c>
      <c r="H280" s="18">
        <f t="shared" si="20"/>
        <v>0</v>
      </c>
      <c r="I280" s="18">
        <f t="shared" si="22"/>
        <v>0</v>
      </c>
    </row>
    <row r="281" spans="1:9" x14ac:dyDescent="0.25">
      <c r="A281" t="b">
        <f>IF(('Input Data'!$C$23)="FRM", FALSE, ISNUMBER(MATCH(C281,'Input Data'!$M$18:$M$30,0)))</f>
        <v>0</v>
      </c>
      <c r="B281" s="8">
        <f>IF($A281, _xlfn.XLOOKUP(C281,'Input Data'!$M$17:$M$29,'Input Data'!$N$17:$N$29),$B280)</f>
        <v>0.06</v>
      </c>
      <c r="C281" s="10">
        <f t="shared" si="23"/>
        <v>279</v>
      </c>
      <c r="D281" s="18">
        <f t="shared" si="24"/>
        <v>0</v>
      </c>
      <c r="E281" s="18">
        <f>IF('Input Data'!$E$23=0,G281,IF(OR(D281&lt;=0,C281&gt;'Input Data'!$B$23*12),0,IF(AND(C281='Input Data'!$B$23*12,'Input Data'!$E$23&gt;'Input Data'!$B$23),D281+D281*B281/12,IF('Input Data'!$C$23="FRM",-PMT($B$3/12,'Input Data'!$E$23*12,$D$3),IF($A281,-PMT(B281/12,('Input Data'!$E$23*12)-C281+1,D281),E280)))))</f>
        <v>0</v>
      </c>
      <c r="F281" s="18">
        <f t="shared" si="21"/>
        <v>0</v>
      </c>
      <c r="G281" s="18">
        <f>IF(C281&gt;'Input Data'!$B$23*12,0,D281*B281/12)</f>
        <v>0</v>
      </c>
      <c r="H281" s="18">
        <f t="shared" si="20"/>
        <v>0</v>
      </c>
      <c r="I281" s="18">
        <f t="shared" si="22"/>
        <v>0</v>
      </c>
    </row>
    <row r="282" spans="1:9" x14ac:dyDescent="0.25">
      <c r="A282" t="b">
        <f>IF(('Input Data'!$C$23)="FRM", FALSE, ISNUMBER(MATCH(C282,'Input Data'!$M$18:$M$30,0)))</f>
        <v>0</v>
      </c>
      <c r="B282" s="8">
        <f>IF($A282, _xlfn.XLOOKUP(C282,'Input Data'!$M$17:$M$29,'Input Data'!$N$17:$N$29),$B281)</f>
        <v>0.06</v>
      </c>
      <c r="C282" s="10">
        <f t="shared" si="23"/>
        <v>280</v>
      </c>
      <c r="D282" s="18">
        <f t="shared" si="24"/>
        <v>0</v>
      </c>
      <c r="E282" s="18">
        <f>IF('Input Data'!$E$23=0,G282,IF(OR(D282&lt;=0,C282&gt;'Input Data'!$B$23*12),0,IF(AND(C282='Input Data'!$B$23*12,'Input Data'!$E$23&gt;'Input Data'!$B$23),D282+D282*B282/12,IF('Input Data'!$C$23="FRM",-PMT($B$3/12,'Input Data'!$E$23*12,$D$3),IF($A282,-PMT(B282/12,('Input Data'!$E$23*12)-C282+1,D282),E281)))))</f>
        <v>0</v>
      </c>
      <c r="F282" s="18">
        <f t="shared" si="21"/>
        <v>0</v>
      </c>
      <c r="G282" s="18">
        <f>IF(C282&gt;'Input Data'!$B$23*12,0,D282*B282/12)</f>
        <v>0</v>
      </c>
      <c r="H282" s="18">
        <f t="shared" si="20"/>
        <v>0</v>
      </c>
      <c r="I282" s="18">
        <f t="shared" si="22"/>
        <v>0</v>
      </c>
    </row>
    <row r="283" spans="1:9" x14ac:dyDescent="0.25">
      <c r="A283" t="b">
        <f>IF(('Input Data'!$C$23)="FRM", FALSE, ISNUMBER(MATCH(C283,'Input Data'!$M$18:$M$30,0)))</f>
        <v>0</v>
      </c>
      <c r="B283" s="8">
        <f>IF($A283, _xlfn.XLOOKUP(C283,'Input Data'!$M$17:$M$29,'Input Data'!$N$17:$N$29),$B282)</f>
        <v>0.06</v>
      </c>
      <c r="C283" s="10">
        <f t="shared" si="23"/>
        <v>281</v>
      </c>
      <c r="D283" s="18">
        <f t="shared" si="24"/>
        <v>0</v>
      </c>
      <c r="E283" s="18">
        <f>IF('Input Data'!$E$23=0,G283,IF(OR(D283&lt;=0,C283&gt;'Input Data'!$B$23*12),0,IF(AND(C283='Input Data'!$B$23*12,'Input Data'!$E$23&gt;'Input Data'!$B$23),D283+D283*B283/12,IF('Input Data'!$C$23="FRM",-PMT($B$3/12,'Input Data'!$E$23*12,$D$3),IF($A283,-PMT(B283/12,('Input Data'!$E$23*12)-C283+1,D283),E282)))))</f>
        <v>0</v>
      </c>
      <c r="F283" s="18">
        <f t="shared" si="21"/>
        <v>0</v>
      </c>
      <c r="G283" s="18">
        <f>IF(C283&gt;'Input Data'!$B$23*12,0,D283*B283/12)</f>
        <v>0</v>
      </c>
      <c r="H283" s="18">
        <f t="shared" si="20"/>
        <v>0</v>
      </c>
      <c r="I283" s="18">
        <f t="shared" si="22"/>
        <v>0</v>
      </c>
    </row>
    <row r="284" spans="1:9" x14ac:dyDescent="0.25">
      <c r="A284" t="b">
        <f>IF(('Input Data'!$C$23)="FRM", FALSE, ISNUMBER(MATCH(C284,'Input Data'!$M$18:$M$30,0)))</f>
        <v>0</v>
      </c>
      <c r="B284" s="8">
        <f>IF($A284, _xlfn.XLOOKUP(C284,'Input Data'!$M$17:$M$29,'Input Data'!$N$17:$N$29),$B283)</f>
        <v>0.06</v>
      </c>
      <c r="C284" s="10">
        <f t="shared" si="23"/>
        <v>282</v>
      </c>
      <c r="D284" s="18">
        <f t="shared" si="24"/>
        <v>0</v>
      </c>
      <c r="E284" s="18">
        <f>IF('Input Data'!$E$23=0,G284,IF(OR(D284&lt;=0,C284&gt;'Input Data'!$B$23*12),0,IF(AND(C284='Input Data'!$B$23*12,'Input Data'!$E$23&gt;'Input Data'!$B$23),D284+D284*B284/12,IF('Input Data'!$C$23="FRM",-PMT($B$3/12,'Input Data'!$E$23*12,$D$3),IF($A284,-PMT(B284/12,('Input Data'!$E$23*12)-C284+1,D284),E283)))))</f>
        <v>0</v>
      </c>
      <c r="F284" s="18">
        <f t="shared" si="21"/>
        <v>0</v>
      </c>
      <c r="G284" s="18">
        <f>IF(C284&gt;'Input Data'!$B$23*12,0,D284*B284/12)</f>
        <v>0</v>
      </c>
      <c r="H284" s="18">
        <f t="shared" si="20"/>
        <v>0</v>
      </c>
      <c r="I284" s="18">
        <f t="shared" si="22"/>
        <v>0</v>
      </c>
    </row>
    <row r="285" spans="1:9" x14ac:dyDescent="0.25">
      <c r="A285" t="b">
        <f>IF(('Input Data'!$C$23)="FRM", FALSE, ISNUMBER(MATCH(C285,'Input Data'!$M$18:$M$30,0)))</f>
        <v>0</v>
      </c>
      <c r="B285" s="8">
        <f>IF($A285, _xlfn.XLOOKUP(C285,'Input Data'!$M$17:$M$29,'Input Data'!$N$17:$N$29),$B284)</f>
        <v>0.06</v>
      </c>
      <c r="C285" s="10">
        <f t="shared" si="23"/>
        <v>283</v>
      </c>
      <c r="D285" s="18">
        <f t="shared" si="24"/>
        <v>0</v>
      </c>
      <c r="E285" s="18">
        <f>IF('Input Data'!$E$23=0,G285,IF(OR(D285&lt;=0,C285&gt;'Input Data'!$B$23*12),0,IF(AND(C285='Input Data'!$B$23*12,'Input Data'!$E$23&gt;'Input Data'!$B$23),D285+D285*B285/12,IF('Input Data'!$C$23="FRM",-PMT($B$3/12,'Input Data'!$E$23*12,$D$3),IF($A285,-PMT(B285/12,('Input Data'!$E$23*12)-C285+1,D285),E284)))))</f>
        <v>0</v>
      </c>
      <c r="F285" s="18">
        <f t="shared" si="21"/>
        <v>0</v>
      </c>
      <c r="G285" s="18">
        <f>IF(C285&gt;'Input Data'!$B$23*12,0,D285*B285/12)</f>
        <v>0</v>
      </c>
      <c r="H285" s="18">
        <f t="shared" si="20"/>
        <v>0</v>
      </c>
      <c r="I285" s="18">
        <f t="shared" si="22"/>
        <v>0</v>
      </c>
    </row>
    <row r="286" spans="1:9" x14ac:dyDescent="0.25">
      <c r="A286" t="b">
        <f>IF(('Input Data'!$C$23)="FRM", FALSE, ISNUMBER(MATCH(C286,'Input Data'!$M$18:$M$30,0)))</f>
        <v>0</v>
      </c>
      <c r="B286" s="8">
        <f>IF($A286, _xlfn.XLOOKUP(C286,'Input Data'!$M$17:$M$29,'Input Data'!$N$17:$N$29),$B285)</f>
        <v>0.06</v>
      </c>
      <c r="C286" s="10">
        <f t="shared" si="23"/>
        <v>284</v>
      </c>
      <c r="D286" s="18">
        <f t="shared" si="24"/>
        <v>0</v>
      </c>
      <c r="E286" s="18">
        <f>IF('Input Data'!$E$23=0,G286,IF(OR(D286&lt;=0,C286&gt;'Input Data'!$B$23*12),0,IF(AND(C286='Input Data'!$B$23*12,'Input Data'!$E$23&gt;'Input Data'!$B$23),D286+D286*B286/12,IF('Input Data'!$C$23="FRM",-PMT($B$3/12,'Input Data'!$E$23*12,$D$3),IF($A286,-PMT(B286/12,('Input Data'!$E$23*12)-C286+1,D286),E285)))))</f>
        <v>0</v>
      </c>
      <c r="F286" s="18">
        <f t="shared" si="21"/>
        <v>0</v>
      </c>
      <c r="G286" s="18">
        <f>IF(C286&gt;'Input Data'!$B$23*12,0,D286*B286/12)</f>
        <v>0</v>
      </c>
      <c r="H286" s="18">
        <f t="shared" si="20"/>
        <v>0</v>
      </c>
      <c r="I286" s="18">
        <f t="shared" si="22"/>
        <v>0</v>
      </c>
    </row>
    <row r="287" spans="1:9" x14ac:dyDescent="0.25">
      <c r="A287" t="b">
        <f>IF(('Input Data'!$C$23)="FRM", FALSE, ISNUMBER(MATCH(C287,'Input Data'!$M$18:$M$30,0)))</f>
        <v>0</v>
      </c>
      <c r="B287" s="8">
        <f>IF($A287, _xlfn.XLOOKUP(C287,'Input Data'!$M$17:$M$29,'Input Data'!$N$17:$N$29),$B286)</f>
        <v>0.06</v>
      </c>
      <c r="C287" s="10">
        <f t="shared" si="23"/>
        <v>285</v>
      </c>
      <c r="D287" s="18">
        <f t="shared" si="24"/>
        <v>0</v>
      </c>
      <c r="E287" s="18">
        <f>IF('Input Data'!$E$23=0,G287,IF(OR(D287&lt;=0,C287&gt;'Input Data'!$B$23*12),0,IF(AND(C287='Input Data'!$B$23*12,'Input Data'!$E$23&gt;'Input Data'!$B$23),D287+D287*B287/12,IF('Input Data'!$C$23="FRM",-PMT($B$3/12,'Input Data'!$E$23*12,$D$3),IF($A287,-PMT(B287/12,('Input Data'!$E$23*12)-C287+1,D287),E286)))))</f>
        <v>0</v>
      </c>
      <c r="F287" s="18">
        <f t="shared" si="21"/>
        <v>0</v>
      </c>
      <c r="G287" s="18">
        <f>IF(C287&gt;'Input Data'!$B$23*12,0,D287*B287/12)</f>
        <v>0</v>
      </c>
      <c r="H287" s="18">
        <f t="shared" si="20"/>
        <v>0</v>
      </c>
      <c r="I287" s="18">
        <f t="shared" si="22"/>
        <v>0</v>
      </c>
    </row>
    <row r="288" spans="1:9" x14ac:dyDescent="0.25">
      <c r="A288" t="b">
        <f>IF(('Input Data'!$C$23)="FRM", FALSE, ISNUMBER(MATCH(C288,'Input Data'!$M$18:$M$30,0)))</f>
        <v>0</v>
      </c>
      <c r="B288" s="8">
        <f>IF($A288, _xlfn.XLOOKUP(C288,'Input Data'!$M$17:$M$29,'Input Data'!$N$17:$N$29),$B287)</f>
        <v>0.06</v>
      </c>
      <c r="C288" s="10">
        <f t="shared" si="23"/>
        <v>286</v>
      </c>
      <c r="D288" s="18">
        <f t="shared" si="24"/>
        <v>0</v>
      </c>
      <c r="E288" s="18">
        <f>IF('Input Data'!$E$23=0,G288,IF(OR(D288&lt;=0,C288&gt;'Input Data'!$B$23*12),0,IF(AND(C288='Input Data'!$B$23*12,'Input Data'!$E$23&gt;'Input Data'!$B$23),D288+D288*B288/12,IF('Input Data'!$C$23="FRM",-PMT($B$3/12,'Input Data'!$E$23*12,$D$3),IF($A288,-PMT(B288/12,('Input Data'!$E$23*12)-C288+1,D288),E287)))))</f>
        <v>0</v>
      </c>
      <c r="F288" s="18">
        <f t="shared" si="21"/>
        <v>0</v>
      </c>
      <c r="G288" s="18">
        <f>IF(C288&gt;'Input Data'!$B$23*12,0,D288*B288/12)</f>
        <v>0</v>
      </c>
      <c r="H288" s="18">
        <f t="shared" si="20"/>
        <v>0</v>
      </c>
      <c r="I288" s="18">
        <f t="shared" si="22"/>
        <v>0</v>
      </c>
    </row>
    <row r="289" spans="1:9" x14ac:dyDescent="0.25">
      <c r="A289" t="b">
        <f>IF(('Input Data'!$C$23)="FRM", FALSE, ISNUMBER(MATCH(C289,'Input Data'!$M$18:$M$30,0)))</f>
        <v>0</v>
      </c>
      <c r="B289" s="8">
        <f>IF($A289, _xlfn.XLOOKUP(C289,'Input Data'!$M$17:$M$29,'Input Data'!$N$17:$N$29),$B288)</f>
        <v>0.06</v>
      </c>
      <c r="C289" s="10">
        <f t="shared" si="23"/>
        <v>287</v>
      </c>
      <c r="D289" s="18">
        <f t="shared" si="24"/>
        <v>0</v>
      </c>
      <c r="E289" s="18">
        <f>IF('Input Data'!$E$23=0,G289,IF(OR(D289&lt;=0,C289&gt;'Input Data'!$B$23*12),0,IF(AND(C289='Input Data'!$B$23*12,'Input Data'!$E$23&gt;'Input Data'!$B$23),D289+D289*B289/12,IF('Input Data'!$C$23="FRM",-PMT($B$3/12,'Input Data'!$E$23*12,$D$3),IF($A289,-PMT(B289/12,('Input Data'!$E$23*12)-C289+1,D289),E288)))))</f>
        <v>0</v>
      </c>
      <c r="F289" s="18">
        <f t="shared" si="21"/>
        <v>0</v>
      </c>
      <c r="G289" s="18">
        <f>IF(C289&gt;'Input Data'!$B$23*12,0,D289*B289/12)</f>
        <v>0</v>
      </c>
      <c r="H289" s="18">
        <f t="shared" si="20"/>
        <v>0</v>
      </c>
      <c r="I289" s="18">
        <f t="shared" si="22"/>
        <v>0</v>
      </c>
    </row>
    <row r="290" spans="1:9" x14ac:dyDescent="0.25">
      <c r="A290" t="b">
        <f>IF(('Input Data'!$C$23)="FRM", FALSE, ISNUMBER(MATCH(C290,'Input Data'!$M$18:$M$30,0)))</f>
        <v>0</v>
      </c>
      <c r="B290" s="8">
        <f>IF($A290, _xlfn.XLOOKUP(C290,'Input Data'!$M$17:$M$29,'Input Data'!$N$17:$N$29),$B289)</f>
        <v>0.06</v>
      </c>
      <c r="C290" s="10">
        <f t="shared" si="23"/>
        <v>288</v>
      </c>
      <c r="D290" s="18">
        <f t="shared" si="24"/>
        <v>0</v>
      </c>
      <c r="E290" s="18">
        <f>IF('Input Data'!$E$23=0,G290,IF(OR(D290&lt;=0,C290&gt;'Input Data'!$B$23*12),0,IF(AND(C290='Input Data'!$B$23*12,'Input Data'!$E$23&gt;'Input Data'!$B$23),D290+D290*B290/12,IF('Input Data'!$C$23="FRM",-PMT($B$3/12,'Input Data'!$E$23*12,$D$3),IF($A290,-PMT(B290/12,('Input Data'!$E$23*12)-C290+1,D290),E289)))))</f>
        <v>0</v>
      </c>
      <c r="F290" s="18">
        <f t="shared" si="21"/>
        <v>0</v>
      </c>
      <c r="G290" s="18">
        <f>IF(C290&gt;'Input Data'!$B$23*12,0,D290*B290/12)</f>
        <v>0</v>
      </c>
      <c r="H290" s="18">
        <f t="shared" si="20"/>
        <v>0</v>
      </c>
      <c r="I290" s="18">
        <f t="shared" si="22"/>
        <v>0</v>
      </c>
    </row>
    <row r="291" spans="1:9" x14ac:dyDescent="0.25">
      <c r="A291" t="b">
        <f>IF(('Input Data'!$C$23)="FRM", FALSE, ISNUMBER(MATCH(C291,'Input Data'!$M$18:$M$30,0)))</f>
        <v>0</v>
      </c>
      <c r="B291" s="8">
        <f>IF($A291, _xlfn.XLOOKUP(C291,'Input Data'!$M$17:$M$29,'Input Data'!$N$17:$N$29),$B290)</f>
        <v>0.06</v>
      </c>
      <c r="C291" s="10">
        <f t="shared" si="23"/>
        <v>289</v>
      </c>
      <c r="D291" s="18">
        <f t="shared" si="24"/>
        <v>0</v>
      </c>
      <c r="E291" s="18">
        <f>IF('Input Data'!$E$23=0,G291,IF(OR(D291&lt;=0,C291&gt;'Input Data'!$B$23*12),0,IF(AND(C291='Input Data'!$B$23*12,'Input Data'!$E$23&gt;'Input Data'!$B$23),D291+D291*B291/12,IF('Input Data'!$C$23="FRM",-PMT($B$3/12,'Input Data'!$E$23*12,$D$3),IF($A291,-PMT(B291/12,('Input Data'!$E$23*12)-C291+1,D291),E290)))))</f>
        <v>0</v>
      </c>
      <c r="F291" s="18">
        <f t="shared" si="21"/>
        <v>0</v>
      </c>
      <c r="G291" s="18">
        <f>IF(C291&gt;'Input Data'!$B$23*12,0,D291*B291/12)</f>
        <v>0</v>
      </c>
      <c r="H291" s="18">
        <f t="shared" si="20"/>
        <v>0</v>
      </c>
      <c r="I291" s="18">
        <f t="shared" si="22"/>
        <v>0</v>
      </c>
    </row>
    <row r="292" spans="1:9" x14ac:dyDescent="0.25">
      <c r="A292" t="b">
        <f>IF(('Input Data'!$C$23)="FRM", FALSE, ISNUMBER(MATCH(C292,'Input Data'!$M$18:$M$30,0)))</f>
        <v>0</v>
      </c>
      <c r="B292" s="8">
        <f>IF($A292, _xlfn.XLOOKUP(C292,'Input Data'!$M$17:$M$29,'Input Data'!$N$17:$N$29),$B291)</f>
        <v>0.06</v>
      </c>
      <c r="C292" s="10">
        <f t="shared" si="23"/>
        <v>290</v>
      </c>
      <c r="D292" s="18">
        <f t="shared" si="24"/>
        <v>0</v>
      </c>
      <c r="E292" s="18">
        <f>IF('Input Data'!$E$23=0,G292,IF(OR(D292&lt;=0,C292&gt;'Input Data'!$B$23*12),0,IF(AND(C292='Input Data'!$B$23*12,'Input Data'!$E$23&gt;'Input Data'!$B$23),D292+D292*B292/12,IF('Input Data'!$C$23="FRM",-PMT($B$3/12,'Input Data'!$E$23*12,$D$3),IF($A292,-PMT(B292/12,('Input Data'!$E$23*12)-C292+1,D292),E291)))))</f>
        <v>0</v>
      </c>
      <c r="F292" s="18">
        <f t="shared" si="21"/>
        <v>0</v>
      </c>
      <c r="G292" s="18">
        <f>IF(C292&gt;'Input Data'!$B$23*12,0,D292*B292/12)</f>
        <v>0</v>
      </c>
      <c r="H292" s="18">
        <f t="shared" si="20"/>
        <v>0</v>
      </c>
      <c r="I292" s="18">
        <f t="shared" si="22"/>
        <v>0</v>
      </c>
    </row>
    <row r="293" spans="1:9" x14ac:dyDescent="0.25">
      <c r="A293" t="b">
        <f>IF(('Input Data'!$C$23)="FRM", FALSE, ISNUMBER(MATCH(C293,'Input Data'!$M$18:$M$30,0)))</f>
        <v>0</v>
      </c>
      <c r="B293" s="8">
        <f>IF($A293, _xlfn.XLOOKUP(C293,'Input Data'!$M$17:$M$29,'Input Data'!$N$17:$N$29),$B292)</f>
        <v>0.06</v>
      </c>
      <c r="C293" s="10">
        <f t="shared" si="23"/>
        <v>291</v>
      </c>
      <c r="D293" s="18">
        <f t="shared" si="24"/>
        <v>0</v>
      </c>
      <c r="E293" s="18">
        <f>IF('Input Data'!$E$23=0,G293,IF(OR(D293&lt;=0,C293&gt;'Input Data'!$B$23*12),0,IF(AND(C293='Input Data'!$B$23*12,'Input Data'!$E$23&gt;'Input Data'!$B$23),D293+D293*B293/12,IF('Input Data'!$C$23="FRM",-PMT($B$3/12,'Input Data'!$E$23*12,$D$3),IF($A293,-PMT(B293/12,('Input Data'!$E$23*12)-C293+1,D293),E292)))))</f>
        <v>0</v>
      </c>
      <c r="F293" s="18">
        <f t="shared" si="21"/>
        <v>0</v>
      </c>
      <c r="G293" s="18">
        <f>IF(C293&gt;'Input Data'!$B$23*12,0,D293*B293/12)</f>
        <v>0</v>
      </c>
      <c r="H293" s="18">
        <f t="shared" si="20"/>
        <v>0</v>
      </c>
      <c r="I293" s="18">
        <f t="shared" si="22"/>
        <v>0</v>
      </c>
    </row>
    <row r="294" spans="1:9" x14ac:dyDescent="0.25">
      <c r="A294" t="b">
        <f>IF(('Input Data'!$C$23)="FRM", FALSE, ISNUMBER(MATCH(C294,'Input Data'!$M$18:$M$30,0)))</f>
        <v>0</v>
      </c>
      <c r="B294" s="8">
        <f>IF($A294, _xlfn.XLOOKUP(C294,'Input Data'!$M$17:$M$29,'Input Data'!$N$17:$N$29),$B293)</f>
        <v>0.06</v>
      </c>
      <c r="C294" s="10">
        <f t="shared" si="23"/>
        <v>292</v>
      </c>
      <c r="D294" s="18">
        <f t="shared" si="24"/>
        <v>0</v>
      </c>
      <c r="E294" s="18">
        <f>IF('Input Data'!$E$23=0,G294,IF(OR(D294&lt;=0,C294&gt;'Input Data'!$B$23*12),0,IF(AND(C294='Input Data'!$B$23*12,'Input Data'!$E$23&gt;'Input Data'!$B$23),D294+D294*B294/12,IF('Input Data'!$C$23="FRM",-PMT($B$3/12,'Input Data'!$E$23*12,$D$3),IF($A294,-PMT(B294/12,('Input Data'!$E$23*12)-C294+1,D294),E293)))))</f>
        <v>0</v>
      </c>
      <c r="F294" s="18">
        <f t="shared" si="21"/>
        <v>0</v>
      </c>
      <c r="G294" s="18">
        <f>IF(C294&gt;'Input Data'!$B$23*12,0,D294*B294/12)</f>
        <v>0</v>
      </c>
      <c r="H294" s="18">
        <f t="shared" si="20"/>
        <v>0</v>
      </c>
      <c r="I294" s="18">
        <f t="shared" si="22"/>
        <v>0</v>
      </c>
    </row>
    <row r="295" spans="1:9" x14ac:dyDescent="0.25">
      <c r="A295" t="b">
        <f>IF(('Input Data'!$C$23)="FRM", FALSE, ISNUMBER(MATCH(C295,'Input Data'!$M$18:$M$30,0)))</f>
        <v>0</v>
      </c>
      <c r="B295" s="8">
        <f>IF($A295, _xlfn.XLOOKUP(C295,'Input Data'!$M$17:$M$29,'Input Data'!$N$17:$N$29),$B294)</f>
        <v>0.06</v>
      </c>
      <c r="C295" s="10">
        <f t="shared" si="23"/>
        <v>293</v>
      </c>
      <c r="D295" s="18">
        <f t="shared" si="24"/>
        <v>0</v>
      </c>
      <c r="E295" s="18">
        <f>IF('Input Data'!$E$23=0,G295,IF(OR(D295&lt;=0,C295&gt;'Input Data'!$B$23*12),0,IF(AND(C295='Input Data'!$B$23*12,'Input Data'!$E$23&gt;'Input Data'!$B$23),D295+D295*B295/12,IF('Input Data'!$C$23="FRM",-PMT($B$3/12,'Input Data'!$E$23*12,$D$3),IF($A295,-PMT(B295/12,('Input Data'!$E$23*12)-C295+1,D295),E294)))))</f>
        <v>0</v>
      </c>
      <c r="F295" s="18">
        <f t="shared" si="21"/>
        <v>0</v>
      </c>
      <c r="G295" s="18">
        <f>IF(C295&gt;'Input Data'!$B$23*12,0,D295*B295/12)</f>
        <v>0</v>
      </c>
      <c r="H295" s="18">
        <f t="shared" si="20"/>
        <v>0</v>
      </c>
      <c r="I295" s="18">
        <f t="shared" si="22"/>
        <v>0</v>
      </c>
    </row>
    <row r="296" spans="1:9" x14ac:dyDescent="0.25">
      <c r="A296" t="b">
        <f>IF(('Input Data'!$C$23)="FRM", FALSE, ISNUMBER(MATCH(C296,'Input Data'!$M$18:$M$30,0)))</f>
        <v>0</v>
      </c>
      <c r="B296" s="8">
        <f>IF($A296, _xlfn.XLOOKUP(C296,'Input Data'!$M$17:$M$29,'Input Data'!$N$17:$N$29),$B295)</f>
        <v>0.06</v>
      </c>
      <c r="C296" s="10">
        <f t="shared" si="23"/>
        <v>294</v>
      </c>
      <c r="D296" s="18">
        <f t="shared" si="24"/>
        <v>0</v>
      </c>
      <c r="E296" s="18">
        <f>IF('Input Data'!$E$23=0,G296,IF(OR(D296&lt;=0,C296&gt;'Input Data'!$B$23*12),0,IF(AND(C296='Input Data'!$B$23*12,'Input Data'!$E$23&gt;'Input Data'!$B$23),D296+D296*B296/12,IF('Input Data'!$C$23="FRM",-PMT($B$3/12,'Input Data'!$E$23*12,$D$3),IF($A296,-PMT(B296/12,('Input Data'!$E$23*12)-C296+1,D296),E295)))))</f>
        <v>0</v>
      </c>
      <c r="F296" s="18">
        <f t="shared" si="21"/>
        <v>0</v>
      </c>
      <c r="G296" s="18">
        <f>IF(C296&gt;'Input Data'!$B$23*12,0,D296*B296/12)</f>
        <v>0</v>
      </c>
      <c r="H296" s="18">
        <f t="shared" si="20"/>
        <v>0</v>
      </c>
      <c r="I296" s="18">
        <f t="shared" si="22"/>
        <v>0</v>
      </c>
    </row>
    <row r="297" spans="1:9" x14ac:dyDescent="0.25">
      <c r="A297" t="b">
        <f>IF(('Input Data'!$C$23)="FRM", FALSE, ISNUMBER(MATCH(C297,'Input Data'!$M$18:$M$30,0)))</f>
        <v>0</v>
      </c>
      <c r="B297" s="8">
        <f>IF($A297, _xlfn.XLOOKUP(C297,'Input Data'!$M$17:$M$29,'Input Data'!$N$17:$N$29),$B296)</f>
        <v>0.06</v>
      </c>
      <c r="C297" s="10">
        <f t="shared" si="23"/>
        <v>295</v>
      </c>
      <c r="D297" s="18">
        <f t="shared" si="24"/>
        <v>0</v>
      </c>
      <c r="E297" s="18">
        <f>IF('Input Data'!$E$23=0,G297,IF(OR(D297&lt;=0,C297&gt;'Input Data'!$B$23*12),0,IF(AND(C297='Input Data'!$B$23*12,'Input Data'!$E$23&gt;'Input Data'!$B$23),D297+D297*B297/12,IF('Input Data'!$C$23="FRM",-PMT($B$3/12,'Input Data'!$E$23*12,$D$3),IF($A297,-PMT(B297/12,('Input Data'!$E$23*12)-C297+1,D297),E296)))))</f>
        <v>0</v>
      </c>
      <c r="F297" s="18">
        <f t="shared" si="21"/>
        <v>0</v>
      </c>
      <c r="G297" s="18">
        <f>IF(C297&gt;'Input Data'!$B$23*12,0,D297*B297/12)</f>
        <v>0</v>
      </c>
      <c r="H297" s="18">
        <f t="shared" si="20"/>
        <v>0</v>
      </c>
      <c r="I297" s="18">
        <f t="shared" si="22"/>
        <v>0</v>
      </c>
    </row>
    <row r="298" spans="1:9" x14ac:dyDescent="0.25">
      <c r="A298" t="b">
        <f>IF(('Input Data'!$C$23)="FRM", FALSE, ISNUMBER(MATCH(C298,'Input Data'!$M$18:$M$30,0)))</f>
        <v>0</v>
      </c>
      <c r="B298" s="8">
        <f>IF($A298, _xlfn.XLOOKUP(C298,'Input Data'!$M$17:$M$29,'Input Data'!$N$17:$N$29),$B297)</f>
        <v>0.06</v>
      </c>
      <c r="C298" s="10">
        <f t="shared" si="23"/>
        <v>296</v>
      </c>
      <c r="D298" s="18">
        <f t="shared" si="24"/>
        <v>0</v>
      </c>
      <c r="E298" s="18">
        <f>IF('Input Data'!$E$23=0,G298,IF(OR(D298&lt;=0,C298&gt;'Input Data'!$B$23*12),0,IF(AND(C298='Input Data'!$B$23*12,'Input Data'!$E$23&gt;'Input Data'!$B$23),D298+D298*B298/12,IF('Input Data'!$C$23="FRM",-PMT($B$3/12,'Input Data'!$E$23*12,$D$3),IF($A298,-PMT(B298/12,('Input Data'!$E$23*12)-C298+1,D298),E297)))))</f>
        <v>0</v>
      </c>
      <c r="F298" s="18">
        <f t="shared" si="21"/>
        <v>0</v>
      </c>
      <c r="G298" s="18">
        <f>IF(C298&gt;'Input Data'!$B$23*12,0,D298*B298/12)</f>
        <v>0</v>
      </c>
      <c r="H298" s="18">
        <f t="shared" si="20"/>
        <v>0</v>
      </c>
      <c r="I298" s="18">
        <f t="shared" si="22"/>
        <v>0</v>
      </c>
    </row>
    <row r="299" spans="1:9" x14ac:dyDescent="0.25">
      <c r="A299" t="b">
        <f>IF(('Input Data'!$C$23)="FRM", FALSE, ISNUMBER(MATCH(C299,'Input Data'!$M$18:$M$30,0)))</f>
        <v>0</v>
      </c>
      <c r="B299" s="8">
        <f>IF($A299, _xlfn.XLOOKUP(C299,'Input Data'!$M$17:$M$29,'Input Data'!$N$17:$N$29),$B298)</f>
        <v>0.06</v>
      </c>
      <c r="C299" s="10">
        <f t="shared" si="23"/>
        <v>297</v>
      </c>
      <c r="D299" s="18">
        <f t="shared" si="24"/>
        <v>0</v>
      </c>
      <c r="E299" s="18">
        <f>IF('Input Data'!$E$23=0,G299,IF(OR(D299&lt;=0,C299&gt;'Input Data'!$B$23*12),0,IF(AND(C299='Input Data'!$B$23*12,'Input Data'!$E$23&gt;'Input Data'!$B$23),D299+D299*B299/12,IF('Input Data'!$C$23="FRM",-PMT($B$3/12,'Input Data'!$E$23*12,$D$3),IF($A299,-PMT(B299/12,('Input Data'!$E$23*12)-C299+1,D299),E298)))))</f>
        <v>0</v>
      </c>
      <c r="F299" s="18">
        <f t="shared" si="21"/>
        <v>0</v>
      </c>
      <c r="G299" s="18">
        <f>IF(C299&gt;'Input Data'!$B$23*12,0,D299*B299/12)</f>
        <v>0</v>
      </c>
      <c r="H299" s="18">
        <f t="shared" si="20"/>
        <v>0</v>
      </c>
      <c r="I299" s="18">
        <f t="shared" si="22"/>
        <v>0</v>
      </c>
    </row>
    <row r="300" spans="1:9" x14ac:dyDescent="0.25">
      <c r="A300" t="b">
        <f>IF(('Input Data'!$C$23)="FRM", FALSE, ISNUMBER(MATCH(C300,'Input Data'!$M$18:$M$30,0)))</f>
        <v>0</v>
      </c>
      <c r="B300" s="8">
        <f>IF($A300, _xlfn.XLOOKUP(C300,'Input Data'!$M$17:$M$29,'Input Data'!$N$17:$N$29),$B299)</f>
        <v>0.06</v>
      </c>
      <c r="C300" s="10">
        <f t="shared" si="23"/>
        <v>298</v>
      </c>
      <c r="D300" s="18">
        <f t="shared" si="24"/>
        <v>0</v>
      </c>
      <c r="E300" s="18">
        <f>IF('Input Data'!$E$23=0,G300,IF(OR(D300&lt;=0,C300&gt;'Input Data'!$B$23*12),0,IF(AND(C300='Input Data'!$B$23*12,'Input Data'!$E$23&gt;'Input Data'!$B$23),D300+D300*B300/12,IF('Input Data'!$C$23="FRM",-PMT($B$3/12,'Input Data'!$E$23*12,$D$3),IF($A300,-PMT(B300/12,('Input Data'!$E$23*12)-C300+1,D300),E299)))))</f>
        <v>0</v>
      </c>
      <c r="F300" s="18">
        <f t="shared" si="21"/>
        <v>0</v>
      </c>
      <c r="G300" s="18">
        <f>IF(C300&gt;'Input Data'!$B$23*12,0,D300*B300/12)</f>
        <v>0</v>
      </c>
      <c r="H300" s="18">
        <f t="shared" si="20"/>
        <v>0</v>
      </c>
      <c r="I300" s="18">
        <f t="shared" si="22"/>
        <v>0</v>
      </c>
    </row>
    <row r="301" spans="1:9" x14ac:dyDescent="0.25">
      <c r="A301" t="b">
        <f>IF(('Input Data'!$C$23)="FRM", FALSE, ISNUMBER(MATCH(C301,'Input Data'!$M$18:$M$30,0)))</f>
        <v>0</v>
      </c>
      <c r="B301" s="8">
        <f>IF($A301, _xlfn.XLOOKUP(C301,'Input Data'!$M$17:$M$29,'Input Data'!$N$17:$N$29),$B300)</f>
        <v>0.06</v>
      </c>
      <c r="C301" s="10">
        <f t="shared" si="23"/>
        <v>299</v>
      </c>
      <c r="D301" s="18">
        <f t="shared" si="24"/>
        <v>0</v>
      </c>
      <c r="E301" s="18">
        <f>IF('Input Data'!$E$23=0,G301,IF(OR(D301&lt;=0,C301&gt;'Input Data'!$B$23*12),0,IF(AND(C301='Input Data'!$B$23*12,'Input Data'!$E$23&gt;'Input Data'!$B$23),D301+D301*B301/12,IF('Input Data'!$C$23="FRM",-PMT($B$3/12,'Input Data'!$E$23*12,$D$3),IF($A301,-PMT(B301/12,('Input Data'!$E$23*12)-C301+1,D301),E300)))))</f>
        <v>0</v>
      </c>
      <c r="F301" s="18">
        <f t="shared" si="21"/>
        <v>0</v>
      </c>
      <c r="G301" s="18">
        <f>IF(C301&gt;'Input Data'!$B$23*12,0,D301*B301/12)</f>
        <v>0</v>
      </c>
      <c r="H301" s="18">
        <f t="shared" si="20"/>
        <v>0</v>
      </c>
      <c r="I301" s="18">
        <f t="shared" si="22"/>
        <v>0</v>
      </c>
    </row>
    <row r="302" spans="1:9" x14ac:dyDescent="0.25">
      <c r="A302" t="b">
        <f>IF(('Input Data'!$C$23)="FRM", FALSE, ISNUMBER(MATCH(C302,'Input Data'!$M$18:$M$30,0)))</f>
        <v>0</v>
      </c>
      <c r="B302" s="8">
        <f>IF($A302, _xlfn.XLOOKUP(C302,'Input Data'!$M$17:$M$29,'Input Data'!$N$17:$N$29),$B301)</f>
        <v>0.06</v>
      </c>
      <c r="C302" s="10">
        <f t="shared" si="23"/>
        <v>300</v>
      </c>
      <c r="D302" s="18">
        <f t="shared" si="24"/>
        <v>0</v>
      </c>
      <c r="E302" s="18">
        <f>IF('Input Data'!$E$23=0,G302,IF(OR(D302&lt;=0,C302&gt;'Input Data'!$B$23*12),0,IF(AND(C302='Input Data'!$B$23*12,'Input Data'!$E$23&gt;'Input Data'!$B$23),D302+D302*B302/12,IF('Input Data'!$C$23="FRM",-PMT($B$3/12,'Input Data'!$E$23*12,$D$3),IF($A302,-PMT(B302/12,('Input Data'!$E$23*12)-C302+1,D302),E301)))))</f>
        <v>0</v>
      </c>
      <c r="F302" s="18">
        <f t="shared" si="21"/>
        <v>0</v>
      </c>
      <c r="G302" s="18">
        <f>IF(C302&gt;'Input Data'!$B$23*12,0,D302*B302/12)</f>
        <v>0</v>
      </c>
      <c r="H302" s="18">
        <f t="shared" si="20"/>
        <v>0</v>
      </c>
      <c r="I302" s="18">
        <f t="shared" si="22"/>
        <v>0</v>
      </c>
    </row>
    <row r="303" spans="1:9" x14ac:dyDescent="0.25">
      <c r="A303" t="b">
        <f>IF(('Input Data'!$C$23)="FRM", FALSE, ISNUMBER(MATCH(C303,'Input Data'!$M$18:$M$30,0)))</f>
        <v>0</v>
      </c>
      <c r="B303" s="8">
        <f>IF($A303, _xlfn.XLOOKUP(C303,'Input Data'!$M$17:$M$29,'Input Data'!$N$17:$N$29),$B302)</f>
        <v>0.06</v>
      </c>
      <c r="C303" s="10">
        <f t="shared" si="23"/>
        <v>301</v>
      </c>
      <c r="D303" s="18">
        <f t="shared" si="24"/>
        <v>0</v>
      </c>
      <c r="E303" s="18">
        <f>IF('Input Data'!$E$23=0,G303,IF(OR(D303&lt;=0,C303&gt;'Input Data'!$B$23*12),0,IF(AND(C303='Input Data'!$B$23*12,'Input Data'!$E$23&gt;'Input Data'!$B$23),D303+D303*B303/12,IF('Input Data'!$C$23="FRM",-PMT($B$3/12,'Input Data'!$E$23*12,$D$3),IF($A303,-PMT(B303/12,('Input Data'!$E$23*12)-C303+1,D303),E302)))))</f>
        <v>0</v>
      </c>
      <c r="F303" s="18">
        <f t="shared" si="21"/>
        <v>0</v>
      </c>
      <c r="G303" s="18">
        <f>IF(C303&gt;'Input Data'!$B$23*12,0,D303*B303/12)</f>
        <v>0</v>
      </c>
      <c r="H303" s="18">
        <f t="shared" si="20"/>
        <v>0</v>
      </c>
      <c r="I303" s="18">
        <f t="shared" si="22"/>
        <v>0</v>
      </c>
    </row>
    <row r="304" spans="1:9" x14ac:dyDescent="0.25">
      <c r="A304" t="b">
        <f>IF(('Input Data'!$C$23)="FRM", FALSE, ISNUMBER(MATCH(C304,'Input Data'!$M$18:$M$30,0)))</f>
        <v>0</v>
      </c>
      <c r="B304" s="8">
        <f>IF($A304, _xlfn.XLOOKUP(C304,'Input Data'!$M$17:$M$29,'Input Data'!$N$17:$N$29),$B303)</f>
        <v>0.06</v>
      </c>
      <c r="C304" s="10">
        <f t="shared" si="23"/>
        <v>302</v>
      </c>
      <c r="D304" s="18">
        <f t="shared" si="24"/>
        <v>0</v>
      </c>
      <c r="E304" s="18">
        <f>IF('Input Data'!$E$23=0,G304,IF(OR(D304&lt;=0,C304&gt;'Input Data'!$B$23*12),0,IF(AND(C304='Input Data'!$B$23*12,'Input Data'!$E$23&gt;'Input Data'!$B$23),D304+D304*B304/12,IF('Input Data'!$C$23="FRM",-PMT($B$3/12,'Input Data'!$E$23*12,$D$3),IF($A304,-PMT(B304/12,('Input Data'!$E$23*12)-C304+1,D304),E303)))))</f>
        <v>0</v>
      </c>
      <c r="F304" s="18">
        <f t="shared" si="21"/>
        <v>0</v>
      </c>
      <c r="G304" s="18">
        <f>IF(C304&gt;'Input Data'!$B$23*12,0,D304*B304/12)</f>
        <v>0</v>
      </c>
      <c r="H304" s="18">
        <f t="shared" si="20"/>
        <v>0</v>
      </c>
      <c r="I304" s="18">
        <f t="shared" si="22"/>
        <v>0</v>
      </c>
    </row>
    <row r="305" spans="1:9" x14ac:dyDescent="0.25">
      <c r="A305" t="b">
        <f>IF(('Input Data'!$C$23)="FRM", FALSE, ISNUMBER(MATCH(C305,'Input Data'!$M$18:$M$30,0)))</f>
        <v>0</v>
      </c>
      <c r="B305" s="8">
        <f>IF($A305, _xlfn.XLOOKUP(C305,'Input Data'!$M$17:$M$29,'Input Data'!$N$17:$N$29),$B304)</f>
        <v>0.06</v>
      </c>
      <c r="C305" s="10">
        <f t="shared" si="23"/>
        <v>303</v>
      </c>
      <c r="D305" s="18">
        <f t="shared" si="24"/>
        <v>0</v>
      </c>
      <c r="E305" s="18">
        <f>IF('Input Data'!$E$23=0,G305,IF(OR(D305&lt;=0,C305&gt;'Input Data'!$B$23*12),0,IF(AND(C305='Input Data'!$B$23*12,'Input Data'!$E$23&gt;'Input Data'!$B$23),D305+D305*B305/12,IF('Input Data'!$C$23="FRM",-PMT($B$3/12,'Input Data'!$E$23*12,$D$3),IF($A305,-PMT(B305/12,('Input Data'!$E$23*12)-C305+1,D305),E304)))))</f>
        <v>0</v>
      </c>
      <c r="F305" s="18">
        <f t="shared" si="21"/>
        <v>0</v>
      </c>
      <c r="G305" s="18">
        <f>IF(C305&gt;'Input Data'!$B$23*12,0,D305*B305/12)</f>
        <v>0</v>
      </c>
      <c r="H305" s="18">
        <f t="shared" si="20"/>
        <v>0</v>
      </c>
      <c r="I305" s="18">
        <f t="shared" si="22"/>
        <v>0</v>
      </c>
    </row>
    <row r="306" spans="1:9" x14ac:dyDescent="0.25">
      <c r="A306" t="b">
        <f>IF(('Input Data'!$C$23)="FRM", FALSE, ISNUMBER(MATCH(C306,'Input Data'!$M$18:$M$30,0)))</f>
        <v>0</v>
      </c>
      <c r="B306" s="8">
        <f>IF($A306, _xlfn.XLOOKUP(C306,'Input Data'!$M$17:$M$29,'Input Data'!$N$17:$N$29),$B305)</f>
        <v>0.06</v>
      </c>
      <c r="C306" s="10">
        <f t="shared" si="23"/>
        <v>304</v>
      </c>
      <c r="D306" s="18">
        <f t="shared" si="24"/>
        <v>0</v>
      </c>
      <c r="E306" s="18">
        <f>IF('Input Data'!$E$23=0,G306,IF(OR(D306&lt;=0,C306&gt;'Input Data'!$B$23*12),0,IF(AND(C306='Input Data'!$B$23*12,'Input Data'!$E$23&gt;'Input Data'!$B$23),D306+D306*B306/12,IF('Input Data'!$C$23="FRM",-PMT($B$3/12,'Input Data'!$E$23*12,$D$3),IF($A306,-PMT(B306/12,('Input Data'!$E$23*12)-C306+1,D306),E305)))))</f>
        <v>0</v>
      </c>
      <c r="F306" s="18">
        <f t="shared" si="21"/>
        <v>0</v>
      </c>
      <c r="G306" s="18">
        <f>IF(C306&gt;'Input Data'!$B$23*12,0,D306*B306/12)</f>
        <v>0</v>
      </c>
      <c r="H306" s="18">
        <f t="shared" si="20"/>
        <v>0</v>
      </c>
      <c r="I306" s="18">
        <f t="shared" si="22"/>
        <v>0</v>
      </c>
    </row>
    <row r="307" spans="1:9" x14ac:dyDescent="0.25">
      <c r="A307" t="b">
        <f>IF(('Input Data'!$C$23)="FRM", FALSE, ISNUMBER(MATCH(C307,'Input Data'!$M$18:$M$30,0)))</f>
        <v>0</v>
      </c>
      <c r="B307" s="8">
        <f>IF($A307, _xlfn.XLOOKUP(C307,'Input Data'!$M$17:$M$29,'Input Data'!$N$17:$N$29),$B306)</f>
        <v>0.06</v>
      </c>
      <c r="C307" s="10">
        <f t="shared" si="23"/>
        <v>305</v>
      </c>
      <c r="D307" s="18">
        <f t="shared" si="24"/>
        <v>0</v>
      </c>
      <c r="E307" s="18">
        <f>IF('Input Data'!$E$23=0,G307,IF(OR(D307&lt;=0,C307&gt;'Input Data'!$B$23*12),0,IF(AND(C307='Input Data'!$B$23*12,'Input Data'!$E$23&gt;'Input Data'!$B$23),D307+D307*B307/12,IF('Input Data'!$C$23="FRM",-PMT($B$3/12,'Input Data'!$E$23*12,$D$3),IF($A307,-PMT(B307/12,('Input Data'!$E$23*12)-C307+1,D307),E306)))))</f>
        <v>0</v>
      </c>
      <c r="F307" s="18">
        <f t="shared" si="21"/>
        <v>0</v>
      </c>
      <c r="G307" s="18">
        <f>IF(C307&gt;'Input Data'!$B$23*12,0,D307*B307/12)</f>
        <v>0</v>
      </c>
      <c r="H307" s="18">
        <f t="shared" si="20"/>
        <v>0</v>
      </c>
      <c r="I307" s="18">
        <f t="shared" si="22"/>
        <v>0</v>
      </c>
    </row>
    <row r="308" spans="1:9" x14ac:dyDescent="0.25">
      <c r="A308" t="b">
        <f>IF(('Input Data'!$C$23)="FRM", FALSE, ISNUMBER(MATCH(C308,'Input Data'!$M$18:$M$30,0)))</f>
        <v>0</v>
      </c>
      <c r="B308" s="8">
        <f>IF($A308, _xlfn.XLOOKUP(C308,'Input Data'!$M$17:$M$29,'Input Data'!$N$17:$N$29),$B307)</f>
        <v>0.06</v>
      </c>
      <c r="C308" s="10">
        <f t="shared" si="23"/>
        <v>306</v>
      </c>
      <c r="D308" s="18">
        <f t="shared" si="24"/>
        <v>0</v>
      </c>
      <c r="E308" s="18">
        <f>IF('Input Data'!$E$23=0,G308,IF(OR(D308&lt;=0,C308&gt;'Input Data'!$B$23*12),0,IF(AND(C308='Input Data'!$B$23*12,'Input Data'!$E$23&gt;'Input Data'!$B$23),D308+D308*B308/12,IF('Input Data'!$C$23="FRM",-PMT($B$3/12,'Input Data'!$E$23*12,$D$3),IF($A308,-PMT(B308/12,('Input Data'!$E$23*12)-C308+1,D308),E307)))))</f>
        <v>0</v>
      </c>
      <c r="F308" s="18">
        <f t="shared" si="21"/>
        <v>0</v>
      </c>
      <c r="G308" s="18">
        <f>IF(C308&gt;'Input Data'!$B$23*12,0,D308*B308/12)</f>
        <v>0</v>
      </c>
      <c r="H308" s="18">
        <f t="shared" si="20"/>
        <v>0</v>
      </c>
      <c r="I308" s="18">
        <f t="shared" si="22"/>
        <v>0</v>
      </c>
    </row>
    <row r="309" spans="1:9" x14ac:dyDescent="0.25">
      <c r="A309" t="b">
        <f>IF(('Input Data'!$C$23)="FRM", FALSE, ISNUMBER(MATCH(C309,'Input Data'!$M$18:$M$30,0)))</f>
        <v>0</v>
      </c>
      <c r="B309" s="8">
        <f>IF($A309, _xlfn.XLOOKUP(C309,'Input Data'!$M$17:$M$29,'Input Data'!$N$17:$N$29),$B308)</f>
        <v>0.06</v>
      </c>
      <c r="C309" s="10">
        <f t="shared" si="23"/>
        <v>307</v>
      </c>
      <c r="D309" s="18">
        <f t="shared" si="24"/>
        <v>0</v>
      </c>
      <c r="E309" s="18">
        <f>IF('Input Data'!$E$23=0,G309,IF(OR(D309&lt;=0,C309&gt;'Input Data'!$B$23*12),0,IF(AND(C309='Input Data'!$B$23*12,'Input Data'!$E$23&gt;'Input Data'!$B$23),D309+D309*B309/12,IF('Input Data'!$C$23="FRM",-PMT($B$3/12,'Input Data'!$E$23*12,$D$3),IF($A309,-PMT(B309/12,('Input Data'!$E$23*12)-C309+1,D309),E308)))))</f>
        <v>0</v>
      </c>
      <c r="F309" s="18">
        <f t="shared" si="21"/>
        <v>0</v>
      </c>
      <c r="G309" s="18">
        <f>IF(C309&gt;'Input Data'!$B$23*12,0,D309*B309/12)</f>
        <v>0</v>
      </c>
      <c r="H309" s="18">
        <f t="shared" si="20"/>
        <v>0</v>
      </c>
      <c r="I309" s="18">
        <f t="shared" si="22"/>
        <v>0</v>
      </c>
    </row>
    <row r="310" spans="1:9" x14ac:dyDescent="0.25">
      <c r="A310" t="b">
        <f>IF(('Input Data'!$C$23)="FRM", FALSE, ISNUMBER(MATCH(C310,'Input Data'!$M$18:$M$30,0)))</f>
        <v>0</v>
      </c>
      <c r="B310" s="8">
        <f>IF($A310, _xlfn.XLOOKUP(C310,'Input Data'!$M$17:$M$29,'Input Data'!$N$17:$N$29),$B309)</f>
        <v>0.06</v>
      </c>
      <c r="C310" s="10">
        <f t="shared" si="23"/>
        <v>308</v>
      </c>
      <c r="D310" s="18">
        <f t="shared" si="24"/>
        <v>0</v>
      </c>
      <c r="E310" s="18">
        <f>IF('Input Data'!$E$23=0,G310,IF(OR(D310&lt;=0,C310&gt;'Input Data'!$B$23*12),0,IF(AND(C310='Input Data'!$B$23*12,'Input Data'!$E$23&gt;'Input Data'!$B$23),D310+D310*B310/12,IF('Input Data'!$C$23="FRM",-PMT($B$3/12,'Input Data'!$E$23*12,$D$3),IF($A310,-PMT(B310/12,('Input Data'!$E$23*12)-C310+1,D310),E309)))))</f>
        <v>0</v>
      </c>
      <c r="F310" s="18">
        <f t="shared" si="21"/>
        <v>0</v>
      </c>
      <c r="G310" s="18">
        <f>IF(C310&gt;'Input Data'!$B$23*12,0,D310*B310/12)</f>
        <v>0</v>
      </c>
      <c r="H310" s="18">
        <f t="shared" si="20"/>
        <v>0</v>
      </c>
      <c r="I310" s="18">
        <f t="shared" si="22"/>
        <v>0</v>
      </c>
    </row>
    <row r="311" spans="1:9" x14ac:dyDescent="0.25">
      <c r="A311" t="b">
        <f>IF(('Input Data'!$C$23)="FRM", FALSE, ISNUMBER(MATCH(C311,'Input Data'!$M$18:$M$30,0)))</f>
        <v>0</v>
      </c>
      <c r="B311" s="8">
        <f>IF($A311, _xlfn.XLOOKUP(C311,'Input Data'!$M$17:$M$29,'Input Data'!$N$17:$N$29),$B310)</f>
        <v>0.06</v>
      </c>
      <c r="C311" s="10">
        <f t="shared" si="23"/>
        <v>309</v>
      </c>
      <c r="D311" s="18">
        <f t="shared" si="24"/>
        <v>0</v>
      </c>
      <c r="E311" s="18">
        <f>IF('Input Data'!$E$23=0,G311,IF(OR(D311&lt;=0,C311&gt;'Input Data'!$B$23*12),0,IF(AND(C311='Input Data'!$B$23*12,'Input Data'!$E$23&gt;'Input Data'!$B$23),D311+D311*B311/12,IF('Input Data'!$C$23="FRM",-PMT($B$3/12,'Input Data'!$E$23*12,$D$3),IF($A311,-PMT(B311/12,('Input Data'!$E$23*12)-C311+1,D311),E310)))))</f>
        <v>0</v>
      </c>
      <c r="F311" s="18">
        <f t="shared" si="21"/>
        <v>0</v>
      </c>
      <c r="G311" s="18">
        <f>IF(C311&gt;'Input Data'!$B$23*12,0,D311*B311/12)</f>
        <v>0</v>
      </c>
      <c r="H311" s="18">
        <f t="shared" si="20"/>
        <v>0</v>
      </c>
      <c r="I311" s="18">
        <f t="shared" si="22"/>
        <v>0</v>
      </c>
    </row>
    <row r="312" spans="1:9" x14ac:dyDescent="0.25">
      <c r="A312" t="b">
        <f>IF(('Input Data'!$C$23)="FRM", FALSE, ISNUMBER(MATCH(C312,'Input Data'!$M$18:$M$30,0)))</f>
        <v>0</v>
      </c>
      <c r="B312" s="8">
        <f>IF($A312, _xlfn.XLOOKUP(C312,'Input Data'!$M$17:$M$29,'Input Data'!$N$17:$N$29),$B311)</f>
        <v>0.06</v>
      </c>
      <c r="C312" s="10">
        <f t="shared" si="23"/>
        <v>310</v>
      </c>
      <c r="D312" s="18">
        <f t="shared" si="24"/>
        <v>0</v>
      </c>
      <c r="E312" s="18">
        <f>IF('Input Data'!$E$23=0,G312,IF(OR(D312&lt;=0,C312&gt;'Input Data'!$B$23*12),0,IF(AND(C312='Input Data'!$B$23*12,'Input Data'!$E$23&gt;'Input Data'!$B$23),D312+D312*B312/12,IF('Input Data'!$C$23="FRM",-PMT($B$3/12,'Input Data'!$E$23*12,$D$3),IF($A312,-PMT(B312/12,('Input Data'!$E$23*12)-C312+1,D312),E311)))))</f>
        <v>0</v>
      </c>
      <c r="F312" s="18">
        <f t="shared" si="21"/>
        <v>0</v>
      </c>
      <c r="G312" s="18">
        <f>IF(C312&gt;'Input Data'!$B$23*12,0,D312*B312/12)</f>
        <v>0</v>
      </c>
      <c r="H312" s="18">
        <f t="shared" si="20"/>
        <v>0</v>
      </c>
      <c r="I312" s="18">
        <f t="shared" si="22"/>
        <v>0</v>
      </c>
    </row>
    <row r="313" spans="1:9" x14ac:dyDescent="0.25">
      <c r="A313" t="b">
        <f>IF(('Input Data'!$C$23)="FRM", FALSE, ISNUMBER(MATCH(C313,'Input Data'!$M$18:$M$30,0)))</f>
        <v>0</v>
      </c>
      <c r="B313" s="8">
        <f>IF($A313, _xlfn.XLOOKUP(C313,'Input Data'!$M$17:$M$29,'Input Data'!$N$17:$N$29),$B312)</f>
        <v>0.06</v>
      </c>
      <c r="C313" s="10">
        <f t="shared" si="23"/>
        <v>311</v>
      </c>
      <c r="D313" s="18">
        <f t="shared" si="24"/>
        <v>0</v>
      </c>
      <c r="E313" s="18">
        <f>IF('Input Data'!$E$23=0,G313,IF(OR(D313&lt;=0,C313&gt;'Input Data'!$B$23*12),0,IF(AND(C313='Input Data'!$B$23*12,'Input Data'!$E$23&gt;'Input Data'!$B$23),D313+D313*B313/12,IF('Input Data'!$C$23="FRM",-PMT($B$3/12,'Input Data'!$E$23*12,$D$3),IF($A313,-PMT(B313/12,('Input Data'!$E$23*12)-C313+1,D313),E312)))))</f>
        <v>0</v>
      </c>
      <c r="F313" s="18">
        <f t="shared" si="21"/>
        <v>0</v>
      </c>
      <c r="G313" s="18">
        <f>IF(C313&gt;'Input Data'!$B$23*12,0,D313*B313/12)</f>
        <v>0</v>
      </c>
      <c r="H313" s="18">
        <f t="shared" si="20"/>
        <v>0</v>
      </c>
      <c r="I313" s="18">
        <f t="shared" si="22"/>
        <v>0</v>
      </c>
    </row>
    <row r="314" spans="1:9" x14ac:dyDescent="0.25">
      <c r="A314" t="b">
        <f>IF(('Input Data'!$C$23)="FRM", FALSE, ISNUMBER(MATCH(C314,'Input Data'!$M$18:$M$30,0)))</f>
        <v>0</v>
      </c>
      <c r="B314" s="8">
        <f>IF($A314, _xlfn.XLOOKUP(C314,'Input Data'!$M$17:$M$29,'Input Data'!$N$17:$N$29),$B313)</f>
        <v>0.06</v>
      </c>
      <c r="C314" s="10">
        <f t="shared" si="23"/>
        <v>312</v>
      </c>
      <c r="D314" s="18">
        <f t="shared" si="24"/>
        <v>0</v>
      </c>
      <c r="E314" s="18">
        <f>IF('Input Data'!$E$23=0,G314,IF(OR(D314&lt;=0,C314&gt;'Input Data'!$B$23*12),0,IF(AND(C314='Input Data'!$B$23*12,'Input Data'!$E$23&gt;'Input Data'!$B$23),D314+D314*B314/12,IF('Input Data'!$C$23="FRM",-PMT($B$3/12,'Input Data'!$E$23*12,$D$3),IF($A314,-PMT(B314/12,('Input Data'!$E$23*12)-C314+1,D314),E313)))))</f>
        <v>0</v>
      </c>
      <c r="F314" s="18">
        <f t="shared" si="21"/>
        <v>0</v>
      </c>
      <c r="G314" s="18">
        <f>IF(C314&gt;'Input Data'!$B$23*12,0,D314*B314/12)</f>
        <v>0</v>
      </c>
      <c r="H314" s="18">
        <f t="shared" si="20"/>
        <v>0</v>
      </c>
      <c r="I314" s="18">
        <f t="shared" si="22"/>
        <v>0</v>
      </c>
    </row>
    <row r="315" spans="1:9" x14ac:dyDescent="0.25">
      <c r="A315" t="b">
        <f>IF(('Input Data'!$C$23)="FRM", FALSE, ISNUMBER(MATCH(C315,'Input Data'!$M$18:$M$30,0)))</f>
        <v>0</v>
      </c>
      <c r="B315" s="8">
        <f>IF($A315, _xlfn.XLOOKUP(C315,'Input Data'!$M$17:$M$29,'Input Data'!$N$17:$N$29),$B314)</f>
        <v>0.06</v>
      </c>
      <c r="C315" s="10">
        <f t="shared" si="23"/>
        <v>313</v>
      </c>
      <c r="D315" s="18">
        <f t="shared" si="24"/>
        <v>0</v>
      </c>
      <c r="E315" s="18">
        <f>IF('Input Data'!$E$23=0,G315,IF(OR(D315&lt;=0,C315&gt;'Input Data'!$B$23*12),0,IF(AND(C315='Input Data'!$B$23*12,'Input Data'!$E$23&gt;'Input Data'!$B$23),D315+D315*B315/12,IF('Input Data'!$C$23="FRM",-PMT($B$3/12,'Input Data'!$E$23*12,$D$3),IF($A315,-PMT(B315/12,('Input Data'!$E$23*12)-C315+1,D315),E314)))))</f>
        <v>0</v>
      </c>
      <c r="F315" s="18">
        <f t="shared" si="21"/>
        <v>0</v>
      </c>
      <c r="G315" s="18">
        <f>IF(C315&gt;'Input Data'!$B$23*12,0,D315*B315/12)</f>
        <v>0</v>
      </c>
      <c r="H315" s="18">
        <f t="shared" si="20"/>
        <v>0</v>
      </c>
      <c r="I315" s="18">
        <f t="shared" si="22"/>
        <v>0</v>
      </c>
    </row>
    <row r="316" spans="1:9" x14ac:dyDescent="0.25">
      <c r="A316" t="b">
        <f>IF(('Input Data'!$C$23)="FRM", FALSE, ISNUMBER(MATCH(C316,'Input Data'!$M$18:$M$30,0)))</f>
        <v>0</v>
      </c>
      <c r="B316" s="8">
        <f>IF($A316, _xlfn.XLOOKUP(C316,'Input Data'!$M$17:$M$29,'Input Data'!$N$17:$N$29),$B315)</f>
        <v>0.06</v>
      </c>
      <c r="C316" s="10">
        <f t="shared" si="23"/>
        <v>314</v>
      </c>
      <c r="D316" s="18">
        <f t="shared" si="24"/>
        <v>0</v>
      </c>
      <c r="E316" s="18">
        <f>IF('Input Data'!$E$23=0,G316,IF(OR(D316&lt;=0,C316&gt;'Input Data'!$B$23*12),0,IF(AND(C316='Input Data'!$B$23*12,'Input Data'!$E$23&gt;'Input Data'!$B$23),D316+D316*B316/12,IF('Input Data'!$C$23="FRM",-PMT($B$3/12,'Input Data'!$E$23*12,$D$3),IF($A316,-PMT(B316/12,('Input Data'!$E$23*12)-C316+1,D316),E315)))))</f>
        <v>0</v>
      </c>
      <c r="F316" s="18">
        <f t="shared" si="21"/>
        <v>0</v>
      </c>
      <c r="G316" s="18">
        <f>IF(C316&gt;'Input Data'!$B$23*12,0,D316*B316/12)</f>
        <v>0</v>
      </c>
      <c r="H316" s="18">
        <f t="shared" si="20"/>
        <v>0</v>
      </c>
      <c r="I316" s="18">
        <f t="shared" si="22"/>
        <v>0</v>
      </c>
    </row>
    <row r="317" spans="1:9" x14ac:dyDescent="0.25">
      <c r="A317" t="b">
        <f>IF(('Input Data'!$C$23)="FRM", FALSE, ISNUMBER(MATCH(C317,'Input Data'!$M$18:$M$30,0)))</f>
        <v>0</v>
      </c>
      <c r="B317" s="8">
        <f>IF($A317, _xlfn.XLOOKUP(C317,'Input Data'!$M$17:$M$29,'Input Data'!$N$17:$N$29),$B316)</f>
        <v>0.06</v>
      </c>
      <c r="C317" s="10">
        <f t="shared" si="23"/>
        <v>315</v>
      </c>
      <c r="D317" s="18">
        <f t="shared" si="24"/>
        <v>0</v>
      </c>
      <c r="E317" s="18">
        <f>IF('Input Data'!$E$23=0,G317,IF(OR(D317&lt;=0,C317&gt;'Input Data'!$B$23*12),0,IF(AND(C317='Input Data'!$B$23*12,'Input Data'!$E$23&gt;'Input Data'!$B$23),D317+D317*B317/12,IF('Input Data'!$C$23="FRM",-PMT($B$3/12,'Input Data'!$E$23*12,$D$3),IF($A317,-PMT(B317/12,('Input Data'!$E$23*12)-C317+1,D317),E316)))))</f>
        <v>0</v>
      </c>
      <c r="F317" s="18">
        <f t="shared" si="21"/>
        <v>0</v>
      </c>
      <c r="G317" s="18">
        <f>IF(C317&gt;'Input Data'!$B$23*12,0,D317*B317/12)</f>
        <v>0</v>
      </c>
      <c r="H317" s="18">
        <f t="shared" si="20"/>
        <v>0</v>
      </c>
      <c r="I317" s="18">
        <f t="shared" si="22"/>
        <v>0</v>
      </c>
    </row>
    <row r="318" spans="1:9" x14ac:dyDescent="0.25">
      <c r="A318" t="b">
        <f>IF(('Input Data'!$C$23)="FRM", FALSE, ISNUMBER(MATCH(C318,'Input Data'!$M$18:$M$30,0)))</f>
        <v>0</v>
      </c>
      <c r="B318" s="8">
        <f>IF($A318, _xlfn.XLOOKUP(C318,'Input Data'!$M$17:$M$29,'Input Data'!$N$17:$N$29),$B317)</f>
        <v>0.06</v>
      </c>
      <c r="C318" s="10">
        <f t="shared" si="23"/>
        <v>316</v>
      </c>
      <c r="D318" s="18">
        <f t="shared" si="24"/>
        <v>0</v>
      </c>
      <c r="E318" s="18">
        <f>IF('Input Data'!$E$23=0,G318,IF(OR(D318&lt;=0,C318&gt;'Input Data'!$B$23*12),0,IF(AND(C318='Input Data'!$B$23*12,'Input Data'!$E$23&gt;'Input Data'!$B$23),D318+D318*B318/12,IF('Input Data'!$C$23="FRM",-PMT($B$3/12,'Input Data'!$E$23*12,$D$3),IF($A318,-PMT(B318/12,('Input Data'!$E$23*12)-C318+1,D318),E317)))))</f>
        <v>0</v>
      </c>
      <c r="F318" s="18">
        <f t="shared" si="21"/>
        <v>0</v>
      </c>
      <c r="G318" s="18">
        <f>IF(C318&gt;'Input Data'!$B$23*12,0,D318*B318/12)</f>
        <v>0</v>
      </c>
      <c r="H318" s="18">
        <f t="shared" si="20"/>
        <v>0</v>
      </c>
      <c r="I318" s="18">
        <f t="shared" si="22"/>
        <v>0</v>
      </c>
    </row>
    <row r="319" spans="1:9" x14ac:dyDescent="0.25">
      <c r="A319" t="b">
        <f>IF(('Input Data'!$C$23)="FRM", FALSE, ISNUMBER(MATCH(C319,'Input Data'!$M$18:$M$30,0)))</f>
        <v>0</v>
      </c>
      <c r="B319" s="8">
        <f>IF($A319, _xlfn.XLOOKUP(C319,'Input Data'!$M$17:$M$29,'Input Data'!$N$17:$N$29),$B318)</f>
        <v>0.06</v>
      </c>
      <c r="C319" s="10">
        <f t="shared" si="23"/>
        <v>317</v>
      </c>
      <c r="D319" s="18">
        <f t="shared" si="24"/>
        <v>0</v>
      </c>
      <c r="E319" s="18">
        <f>IF('Input Data'!$E$23=0,G319,IF(OR(D319&lt;=0,C319&gt;'Input Data'!$B$23*12),0,IF(AND(C319='Input Data'!$B$23*12,'Input Data'!$E$23&gt;'Input Data'!$B$23),D319+D319*B319/12,IF('Input Data'!$C$23="FRM",-PMT($B$3/12,'Input Data'!$E$23*12,$D$3),IF($A319,-PMT(B319/12,('Input Data'!$E$23*12)-C319+1,D319),E318)))))</f>
        <v>0</v>
      </c>
      <c r="F319" s="18">
        <f t="shared" si="21"/>
        <v>0</v>
      </c>
      <c r="G319" s="18">
        <f>IF(C319&gt;'Input Data'!$B$23*12,0,D319*B319/12)</f>
        <v>0</v>
      </c>
      <c r="H319" s="18">
        <f t="shared" si="20"/>
        <v>0</v>
      </c>
      <c r="I319" s="18">
        <f t="shared" si="22"/>
        <v>0</v>
      </c>
    </row>
    <row r="320" spans="1:9" x14ac:dyDescent="0.25">
      <c r="A320" t="b">
        <f>IF(('Input Data'!$C$23)="FRM", FALSE, ISNUMBER(MATCH(C320,'Input Data'!$M$18:$M$30,0)))</f>
        <v>0</v>
      </c>
      <c r="B320" s="8">
        <f>IF($A320, _xlfn.XLOOKUP(C320,'Input Data'!$M$17:$M$29,'Input Data'!$N$17:$N$29),$B319)</f>
        <v>0.06</v>
      </c>
      <c r="C320" s="10">
        <f t="shared" si="23"/>
        <v>318</v>
      </c>
      <c r="D320" s="18">
        <f t="shared" si="24"/>
        <v>0</v>
      </c>
      <c r="E320" s="18">
        <f>IF('Input Data'!$E$23=0,G320,IF(OR(D320&lt;=0,C320&gt;'Input Data'!$B$23*12),0,IF(AND(C320='Input Data'!$B$23*12,'Input Data'!$E$23&gt;'Input Data'!$B$23),D320+D320*B320/12,IF('Input Data'!$C$23="FRM",-PMT($B$3/12,'Input Data'!$E$23*12,$D$3),IF($A320,-PMT(B320/12,('Input Data'!$E$23*12)-C320+1,D320),E319)))))</f>
        <v>0</v>
      </c>
      <c r="F320" s="18">
        <f t="shared" si="21"/>
        <v>0</v>
      </c>
      <c r="G320" s="18">
        <f>IF(C320&gt;'Input Data'!$B$23*12,0,D320*B320/12)</f>
        <v>0</v>
      </c>
      <c r="H320" s="18">
        <f t="shared" si="20"/>
        <v>0</v>
      </c>
      <c r="I320" s="18">
        <f t="shared" si="22"/>
        <v>0</v>
      </c>
    </row>
    <row r="321" spans="1:9" x14ac:dyDescent="0.25">
      <c r="A321" t="b">
        <f>IF(('Input Data'!$C$23)="FRM", FALSE, ISNUMBER(MATCH(C321,'Input Data'!$M$18:$M$30,0)))</f>
        <v>0</v>
      </c>
      <c r="B321" s="8">
        <f>IF($A321, _xlfn.XLOOKUP(C321,'Input Data'!$M$17:$M$29,'Input Data'!$N$17:$N$29),$B320)</f>
        <v>0.06</v>
      </c>
      <c r="C321" s="10">
        <f t="shared" si="23"/>
        <v>319</v>
      </c>
      <c r="D321" s="18">
        <f t="shared" si="24"/>
        <v>0</v>
      </c>
      <c r="E321" s="18">
        <f>IF('Input Data'!$E$23=0,G321,IF(OR(D321&lt;=0,C321&gt;'Input Data'!$B$23*12),0,IF(AND(C321='Input Data'!$B$23*12,'Input Data'!$E$23&gt;'Input Data'!$B$23),D321+D321*B321/12,IF('Input Data'!$C$23="FRM",-PMT($B$3/12,'Input Data'!$E$23*12,$D$3),IF($A321,-PMT(B321/12,('Input Data'!$E$23*12)-C321+1,D321),E320)))))</f>
        <v>0</v>
      </c>
      <c r="F321" s="18">
        <f t="shared" si="21"/>
        <v>0</v>
      </c>
      <c r="G321" s="18">
        <f>IF(C321&gt;'Input Data'!$B$23*12,0,D321*B321/12)</f>
        <v>0</v>
      </c>
      <c r="H321" s="18">
        <f t="shared" si="20"/>
        <v>0</v>
      </c>
      <c r="I321" s="18">
        <f t="shared" si="22"/>
        <v>0</v>
      </c>
    </row>
    <row r="322" spans="1:9" x14ac:dyDescent="0.25">
      <c r="A322" t="b">
        <f>IF(('Input Data'!$C$23)="FRM", FALSE, ISNUMBER(MATCH(C322,'Input Data'!$M$18:$M$30,0)))</f>
        <v>0</v>
      </c>
      <c r="B322" s="8">
        <f>IF($A322, _xlfn.XLOOKUP(C322,'Input Data'!$M$17:$M$29,'Input Data'!$N$17:$N$29),$B321)</f>
        <v>0.06</v>
      </c>
      <c r="C322" s="10">
        <f t="shared" si="23"/>
        <v>320</v>
      </c>
      <c r="D322" s="18">
        <f t="shared" si="24"/>
        <v>0</v>
      </c>
      <c r="E322" s="18">
        <f>IF('Input Data'!$E$23=0,G322,IF(OR(D322&lt;=0,C322&gt;'Input Data'!$B$23*12),0,IF(AND(C322='Input Data'!$B$23*12,'Input Data'!$E$23&gt;'Input Data'!$B$23),D322+D322*B322/12,IF('Input Data'!$C$23="FRM",-PMT($B$3/12,'Input Data'!$E$23*12,$D$3),IF($A322,-PMT(B322/12,('Input Data'!$E$23*12)-C322+1,D322),E321)))))</f>
        <v>0</v>
      </c>
      <c r="F322" s="18">
        <f t="shared" si="21"/>
        <v>0</v>
      </c>
      <c r="G322" s="18">
        <f>IF(C322&gt;'Input Data'!$B$23*12,0,D322*B322/12)</f>
        <v>0</v>
      </c>
      <c r="H322" s="18">
        <f t="shared" si="20"/>
        <v>0</v>
      </c>
      <c r="I322" s="18">
        <f t="shared" si="22"/>
        <v>0</v>
      </c>
    </row>
    <row r="323" spans="1:9" x14ac:dyDescent="0.25">
      <c r="A323" t="b">
        <f>IF(('Input Data'!$C$23)="FRM", FALSE, ISNUMBER(MATCH(C323,'Input Data'!$M$18:$M$30,0)))</f>
        <v>0</v>
      </c>
      <c r="B323" s="8">
        <f>IF($A323, _xlfn.XLOOKUP(C323,'Input Data'!$M$17:$M$29,'Input Data'!$N$17:$N$29),$B322)</f>
        <v>0.06</v>
      </c>
      <c r="C323" s="10">
        <f t="shared" si="23"/>
        <v>321</v>
      </c>
      <c r="D323" s="18">
        <f t="shared" si="24"/>
        <v>0</v>
      </c>
      <c r="E323" s="18">
        <f>IF('Input Data'!$E$23=0,G323,IF(OR(D323&lt;=0,C323&gt;'Input Data'!$B$23*12),0,IF(AND(C323='Input Data'!$B$23*12,'Input Data'!$E$23&gt;'Input Data'!$B$23),D323+D323*B323/12,IF('Input Data'!$C$23="FRM",-PMT($B$3/12,'Input Data'!$E$23*12,$D$3),IF($A323,-PMT(B323/12,('Input Data'!$E$23*12)-C323+1,D323),E322)))))</f>
        <v>0</v>
      </c>
      <c r="F323" s="18">
        <f t="shared" si="21"/>
        <v>0</v>
      </c>
      <c r="G323" s="18">
        <f>IF(C323&gt;'Input Data'!$B$23*12,0,D323*B323/12)</f>
        <v>0</v>
      </c>
      <c r="H323" s="18">
        <f t="shared" ref="H323:H362" si="25">MIN(E323-G323,D323)</f>
        <v>0</v>
      </c>
      <c r="I323" s="18">
        <f t="shared" si="22"/>
        <v>0</v>
      </c>
    </row>
    <row r="324" spans="1:9" x14ac:dyDescent="0.25">
      <c r="A324" t="b">
        <f>IF(('Input Data'!$C$23)="FRM", FALSE, ISNUMBER(MATCH(C324,'Input Data'!$M$18:$M$30,0)))</f>
        <v>0</v>
      </c>
      <c r="B324" s="8">
        <f>IF($A324, _xlfn.XLOOKUP(C324,'Input Data'!$M$17:$M$29,'Input Data'!$N$17:$N$29),$B323)</f>
        <v>0.06</v>
      </c>
      <c r="C324" s="10">
        <f t="shared" si="23"/>
        <v>322</v>
      </c>
      <c r="D324" s="18">
        <f t="shared" si="24"/>
        <v>0</v>
      </c>
      <c r="E324" s="18">
        <f>IF('Input Data'!$E$23=0,G324,IF(OR(D324&lt;=0,C324&gt;'Input Data'!$B$23*12),0,IF(AND(C324='Input Data'!$B$23*12,'Input Data'!$E$23&gt;'Input Data'!$B$23),D324+D324*B324/12,IF('Input Data'!$C$23="FRM",-PMT($B$3/12,'Input Data'!$E$23*12,$D$3),IF($A324,-PMT(B324/12,('Input Data'!$E$23*12)-C324+1,D324),E323)))))</f>
        <v>0</v>
      </c>
      <c r="F324" s="18">
        <f t="shared" ref="F324:F362" si="26">IF(D324-E324&lt;0,0,D324-E324)</f>
        <v>0</v>
      </c>
      <c r="G324" s="18">
        <f>IF(C324&gt;'Input Data'!$B$23*12,0,D324*B324/12)</f>
        <v>0</v>
      </c>
      <c r="H324" s="18">
        <f t="shared" si="25"/>
        <v>0</v>
      </c>
      <c r="I324" s="18">
        <f t="shared" ref="I324:I362" si="27">IF(ROUND(D324-H324,2)=0,0,D324-H324)</f>
        <v>0</v>
      </c>
    </row>
    <row r="325" spans="1:9" x14ac:dyDescent="0.25">
      <c r="A325" t="b">
        <f>IF(('Input Data'!$C$23)="FRM", FALSE, ISNUMBER(MATCH(C325,'Input Data'!$M$18:$M$30,0)))</f>
        <v>0</v>
      </c>
      <c r="B325" s="8">
        <f>IF($A325, _xlfn.XLOOKUP(C325,'Input Data'!$M$17:$M$29,'Input Data'!$N$17:$N$29),$B324)</f>
        <v>0.06</v>
      </c>
      <c r="C325" s="10">
        <f t="shared" ref="C325:C362" si="28">C324+1</f>
        <v>323</v>
      </c>
      <c r="D325" s="18">
        <f t="shared" ref="D325:D362" si="29">IF(I324&gt;0,I324-J324,0)</f>
        <v>0</v>
      </c>
      <c r="E325" s="18">
        <f>IF('Input Data'!$E$23=0,G325,IF(OR(D325&lt;=0,C325&gt;'Input Data'!$B$23*12),0,IF(AND(C325='Input Data'!$B$23*12,'Input Data'!$E$23&gt;'Input Data'!$B$23),D325+D325*B325/12,IF('Input Data'!$C$23="FRM",-PMT($B$3/12,'Input Data'!$E$23*12,$D$3),IF($A325,-PMT(B325/12,('Input Data'!$E$23*12)-C325+1,D325),E324)))))</f>
        <v>0</v>
      </c>
      <c r="F325" s="18">
        <f t="shared" si="26"/>
        <v>0</v>
      </c>
      <c r="G325" s="18">
        <f>IF(C325&gt;'Input Data'!$B$23*12,0,D325*B325/12)</f>
        <v>0</v>
      </c>
      <c r="H325" s="18">
        <f t="shared" si="25"/>
        <v>0</v>
      </c>
      <c r="I325" s="18">
        <f t="shared" si="27"/>
        <v>0</v>
      </c>
    </row>
    <row r="326" spans="1:9" x14ac:dyDescent="0.25">
      <c r="A326" t="b">
        <f>IF(('Input Data'!$C$23)="FRM", FALSE, ISNUMBER(MATCH(C326,'Input Data'!$M$18:$M$30,0)))</f>
        <v>0</v>
      </c>
      <c r="B326" s="8">
        <f>IF($A326, _xlfn.XLOOKUP(C326,'Input Data'!$M$17:$M$29,'Input Data'!$N$17:$N$29),$B325)</f>
        <v>0.06</v>
      </c>
      <c r="C326" s="10">
        <f t="shared" si="28"/>
        <v>324</v>
      </c>
      <c r="D326" s="18">
        <f t="shared" si="29"/>
        <v>0</v>
      </c>
      <c r="E326" s="18">
        <f>IF('Input Data'!$E$23=0,G326,IF(OR(D326&lt;=0,C326&gt;'Input Data'!$B$23*12),0,IF(AND(C326='Input Data'!$B$23*12,'Input Data'!$E$23&gt;'Input Data'!$B$23),D326+D326*B326/12,IF('Input Data'!$C$23="FRM",-PMT($B$3/12,'Input Data'!$E$23*12,$D$3),IF($A326,-PMT(B326/12,('Input Data'!$E$23*12)-C326+1,D326),E325)))))</f>
        <v>0</v>
      </c>
      <c r="F326" s="18">
        <f t="shared" si="26"/>
        <v>0</v>
      </c>
      <c r="G326" s="18">
        <f>IF(C326&gt;'Input Data'!$B$23*12,0,D326*B326/12)</f>
        <v>0</v>
      </c>
      <c r="H326" s="18">
        <f t="shared" si="25"/>
        <v>0</v>
      </c>
      <c r="I326" s="18">
        <f t="shared" si="27"/>
        <v>0</v>
      </c>
    </row>
    <row r="327" spans="1:9" x14ac:dyDescent="0.25">
      <c r="A327" t="b">
        <f>IF(('Input Data'!$C$23)="FRM", FALSE, ISNUMBER(MATCH(C327,'Input Data'!$M$18:$M$30,0)))</f>
        <v>0</v>
      </c>
      <c r="B327" s="8">
        <f>IF($A327, _xlfn.XLOOKUP(C327,'Input Data'!$M$17:$M$29,'Input Data'!$N$17:$N$29),$B326)</f>
        <v>0.06</v>
      </c>
      <c r="C327" s="10">
        <f t="shared" si="28"/>
        <v>325</v>
      </c>
      <c r="D327" s="18">
        <f t="shared" si="29"/>
        <v>0</v>
      </c>
      <c r="E327" s="18">
        <f>IF('Input Data'!$E$23=0,G327,IF(OR(D327&lt;=0,C327&gt;'Input Data'!$B$23*12),0,IF(AND(C327='Input Data'!$B$23*12,'Input Data'!$E$23&gt;'Input Data'!$B$23),D327+D327*B327/12,IF('Input Data'!$C$23="FRM",-PMT($B$3/12,'Input Data'!$E$23*12,$D$3),IF($A327,-PMT(B327/12,('Input Data'!$E$23*12)-C327+1,D327),E326)))))</f>
        <v>0</v>
      </c>
      <c r="F327" s="18">
        <f t="shared" si="26"/>
        <v>0</v>
      </c>
      <c r="G327" s="18">
        <f>IF(C327&gt;'Input Data'!$B$23*12,0,D327*B327/12)</f>
        <v>0</v>
      </c>
      <c r="H327" s="18">
        <f t="shared" si="25"/>
        <v>0</v>
      </c>
      <c r="I327" s="18">
        <f t="shared" si="27"/>
        <v>0</v>
      </c>
    </row>
    <row r="328" spans="1:9" x14ac:dyDescent="0.25">
      <c r="A328" t="b">
        <f>IF(('Input Data'!$C$23)="FRM", FALSE, ISNUMBER(MATCH(C328,'Input Data'!$M$18:$M$30,0)))</f>
        <v>0</v>
      </c>
      <c r="B328" s="8">
        <f>IF($A328, _xlfn.XLOOKUP(C328,'Input Data'!$M$17:$M$29,'Input Data'!$N$17:$N$29),$B327)</f>
        <v>0.06</v>
      </c>
      <c r="C328" s="10">
        <f t="shared" si="28"/>
        <v>326</v>
      </c>
      <c r="D328" s="18">
        <f t="shared" si="29"/>
        <v>0</v>
      </c>
      <c r="E328" s="18">
        <f>IF('Input Data'!$E$23=0,G328,IF(OR(D328&lt;=0,C328&gt;'Input Data'!$B$23*12),0,IF(AND(C328='Input Data'!$B$23*12,'Input Data'!$E$23&gt;'Input Data'!$B$23),D328+D328*B328/12,IF('Input Data'!$C$23="FRM",-PMT($B$3/12,'Input Data'!$E$23*12,$D$3),IF($A328,-PMT(B328/12,('Input Data'!$E$23*12)-C328+1,D328),E327)))))</f>
        <v>0</v>
      </c>
      <c r="F328" s="18">
        <f t="shared" si="26"/>
        <v>0</v>
      </c>
      <c r="G328" s="18">
        <f>IF(C328&gt;'Input Data'!$B$23*12,0,D328*B328/12)</f>
        <v>0</v>
      </c>
      <c r="H328" s="18">
        <f t="shared" si="25"/>
        <v>0</v>
      </c>
      <c r="I328" s="18">
        <f t="shared" si="27"/>
        <v>0</v>
      </c>
    </row>
    <row r="329" spans="1:9" x14ac:dyDescent="0.25">
      <c r="A329" t="b">
        <f>IF(('Input Data'!$C$23)="FRM", FALSE, ISNUMBER(MATCH(C329,'Input Data'!$M$18:$M$30,0)))</f>
        <v>0</v>
      </c>
      <c r="B329" s="8">
        <f>IF($A329, _xlfn.XLOOKUP(C329,'Input Data'!$M$17:$M$29,'Input Data'!$N$17:$N$29),$B328)</f>
        <v>0.06</v>
      </c>
      <c r="C329" s="10">
        <f t="shared" si="28"/>
        <v>327</v>
      </c>
      <c r="D329" s="18">
        <f t="shared" si="29"/>
        <v>0</v>
      </c>
      <c r="E329" s="18">
        <f>IF('Input Data'!$E$23=0,G329,IF(OR(D329&lt;=0,C329&gt;'Input Data'!$B$23*12),0,IF(AND(C329='Input Data'!$B$23*12,'Input Data'!$E$23&gt;'Input Data'!$B$23),D329+D329*B329/12,IF('Input Data'!$C$23="FRM",-PMT($B$3/12,'Input Data'!$E$23*12,$D$3),IF($A329,-PMT(B329/12,('Input Data'!$E$23*12)-C329+1,D329),E328)))))</f>
        <v>0</v>
      </c>
      <c r="F329" s="18">
        <f t="shared" si="26"/>
        <v>0</v>
      </c>
      <c r="G329" s="18">
        <f>IF(C329&gt;'Input Data'!$B$23*12,0,D329*B329/12)</f>
        <v>0</v>
      </c>
      <c r="H329" s="18">
        <f t="shared" si="25"/>
        <v>0</v>
      </c>
      <c r="I329" s="18">
        <f t="shared" si="27"/>
        <v>0</v>
      </c>
    </row>
    <row r="330" spans="1:9" x14ac:dyDescent="0.25">
      <c r="A330" t="b">
        <f>IF(('Input Data'!$C$23)="FRM", FALSE, ISNUMBER(MATCH(C330,'Input Data'!$M$18:$M$30,0)))</f>
        <v>0</v>
      </c>
      <c r="B330" s="8">
        <f>IF($A330, _xlfn.XLOOKUP(C330,'Input Data'!$M$17:$M$29,'Input Data'!$N$17:$N$29),$B329)</f>
        <v>0.06</v>
      </c>
      <c r="C330" s="10">
        <f t="shared" si="28"/>
        <v>328</v>
      </c>
      <c r="D330" s="18">
        <f t="shared" si="29"/>
        <v>0</v>
      </c>
      <c r="E330" s="18">
        <f>IF('Input Data'!$E$23=0,G330,IF(OR(D330&lt;=0,C330&gt;'Input Data'!$B$23*12),0,IF(AND(C330='Input Data'!$B$23*12,'Input Data'!$E$23&gt;'Input Data'!$B$23),D330+D330*B330/12,IF('Input Data'!$C$23="FRM",-PMT($B$3/12,'Input Data'!$E$23*12,$D$3),IF($A330,-PMT(B330/12,('Input Data'!$E$23*12)-C330+1,D330),E329)))))</f>
        <v>0</v>
      </c>
      <c r="F330" s="18">
        <f t="shared" si="26"/>
        <v>0</v>
      </c>
      <c r="G330" s="18">
        <f>IF(C330&gt;'Input Data'!$B$23*12,0,D330*B330/12)</f>
        <v>0</v>
      </c>
      <c r="H330" s="18">
        <f t="shared" si="25"/>
        <v>0</v>
      </c>
      <c r="I330" s="18">
        <f t="shared" si="27"/>
        <v>0</v>
      </c>
    </row>
    <row r="331" spans="1:9" x14ac:dyDescent="0.25">
      <c r="A331" t="b">
        <f>IF(('Input Data'!$C$23)="FRM", FALSE, ISNUMBER(MATCH(C331,'Input Data'!$M$18:$M$30,0)))</f>
        <v>0</v>
      </c>
      <c r="B331" s="8">
        <f>IF($A331, _xlfn.XLOOKUP(C331,'Input Data'!$M$17:$M$29,'Input Data'!$N$17:$N$29),$B330)</f>
        <v>0.06</v>
      </c>
      <c r="C331" s="10">
        <f t="shared" si="28"/>
        <v>329</v>
      </c>
      <c r="D331" s="18">
        <f t="shared" si="29"/>
        <v>0</v>
      </c>
      <c r="E331" s="18">
        <f>IF('Input Data'!$E$23=0,G331,IF(OR(D331&lt;=0,C331&gt;'Input Data'!$B$23*12),0,IF(AND(C331='Input Data'!$B$23*12,'Input Data'!$E$23&gt;'Input Data'!$B$23),D331+D331*B331/12,IF('Input Data'!$C$23="FRM",-PMT($B$3/12,'Input Data'!$E$23*12,$D$3),IF($A331,-PMT(B331/12,('Input Data'!$E$23*12)-C331+1,D331),E330)))))</f>
        <v>0</v>
      </c>
      <c r="F331" s="18">
        <f t="shared" si="26"/>
        <v>0</v>
      </c>
      <c r="G331" s="18">
        <f>IF(C331&gt;'Input Data'!$B$23*12,0,D331*B331/12)</f>
        <v>0</v>
      </c>
      <c r="H331" s="18">
        <f t="shared" si="25"/>
        <v>0</v>
      </c>
      <c r="I331" s="18">
        <f t="shared" si="27"/>
        <v>0</v>
      </c>
    </row>
    <row r="332" spans="1:9" x14ac:dyDescent="0.25">
      <c r="A332" t="b">
        <f>IF(('Input Data'!$C$23)="FRM", FALSE, ISNUMBER(MATCH(C332,'Input Data'!$M$18:$M$30,0)))</f>
        <v>0</v>
      </c>
      <c r="B332" s="8">
        <f>IF($A332, _xlfn.XLOOKUP(C332,'Input Data'!$M$17:$M$29,'Input Data'!$N$17:$N$29),$B331)</f>
        <v>0.06</v>
      </c>
      <c r="C332" s="10">
        <f t="shared" si="28"/>
        <v>330</v>
      </c>
      <c r="D332" s="18">
        <f t="shared" si="29"/>
        <v>0</v>
      </c>
      <c r="E332" s="18">
        <f>IF('Input Data'!$E$23=0,G332,IF(OR(D332&lt;=0,C332&gt;'Input Data'!$B$23*12),0,IF(AND(C332='Input Data'!$B$23*12,'Input Data'!$E$23&gt;'Input Data'!$B$23),D332+D332*B332/12,IF('Input Data'!$C$23="FRM",-PMT($B$3/12,'Input Data'!$E$23*12,$D$3),IF($A332,-PMT(B332/12,('Input Data'!$E$23*12)-C332+1,D332),E331)))))</f>
        <v>0</v>
      </c>
      <c r="F332" s="18">
        <f t="shared" si="26"/>
        <v>0</v>
      </c>
      <c r="G332" s="18">
        <f>IF(C332&gt;'Input Data'!$B$23*12,0,D332*B332/12)</f>
        <v>0</v>
      </c>
      <c r="H332" s="18">
        <f t="shared" si="25"/>
        <v>0</v>
      </c>
      <c r="I332" s="18">
        <f t="shared" si="27"/>
        <v>0</v>
      </c>
    </row>
    <row r="333" spans="1:9" x14ac:dyDescent="0.25">
      <c r="A333" t="b">
        <f>IF(('Input Data'!$C$23)="FRM", FALSE, ISNUMBER(MATCH(C333,'Input Data'!$M$18:$M$30,0)))</f>
        <v>0</v>
      </c>
      <c r="B333" s="8">
        <f>IF($A333, _xlfn.XLOOKUP(C333,'Input Data'!$M$17:$M$29,'Input Data'!$N$17:$N$29),$B332)</f>
        <v>0.06</v>
      </c>
      <c r="C333" s="10">
        <f t="shared" si="28"/>
        <v>331</v>
      </c>
      <c r="D333" s="18">
        <f t="shared" si="29"/>
        <v>0</v>
      </c>
      <c r="E333" s="18">
        <f>IF('Input Data'!$E$23=0,G333,IF(OR(D333&lt;=0,C333&gt;'Input Data'!$B$23*12),0,IF(AND(C333='Input Data'!$B$23*12,'Input Data'!$E$23&gt;'Input Data'!$B$23),D333+D333*B333/12,IF('Input Data'!$C$23="FRM",-PMT($B$3/12,'Input Data'!$E$23*12,$D$3),IF($A333,-PMT(B333/12,('Input Data'!$E$23*12)-C333+1,D333),E332)))))</f>
        <v>0</v>
      </c>
      <c r="F333" s="18">
        <f t="shared" si="26"/>
        <v>0</v>
      </c>
      <c r="G333" s="18">
        <f>IF(C333&gt;'Input Data'!$B$23*12,0,D333*B333/12)</f>
        <v>0</v>
      </c>
      <c r="H333" s="18">
        <f t="shared" si="25"/>
        <v>0</v>
      </c>
      <c r="I333" s="18">
        <f t="shared" si="27"/>
        <v>0</v>
      </c>
    </row>
    <row r="334" spans="1:9" x14ac:dyDescent="0.25">
      <c r="A334" t="b">
        <f>IF(('Input Data'!$C$23)="FRM", FALSE, ISNUMBER(MATCH(C334,'Input Data'!$M$18:$M$30,0)))</f>
        <v>0</v>
      </c>
      <c r="B334" s="8">
        <f>IF($A334, _xlfn.XLOOKUP(C334,'Input Data'!$M$17:$M$29,'Input Data'!$N$17:$N$29),$B333)</f>
        <v>0.06</v>
      </c>
      <c r="C334" s="10">
        <f t="shared" si="28"/>
        <v>332</v>
      </c>
      <c r="D334" s="18">
        <f t="shared" si="29"/>
        <v>0</v>
      </c>
      <c r="E334" s="18">
        <f>IF('Input Data'!$E$23=0,G334,IF(OR(D334&lt;=0,C334&gt;'Input Data'!$B$23*12),0,IF(AND(C334='Input Data'!$B$23*12,'Input Data'!$E$23&gt;'Input Data'!$B$23),D334+D334*B334/12,IF('Input Data'!$C$23="FRM",-PMT($B$3/12,'Input Data'!$E$23*12,$D$3),IF($A334,-PMT(B334/12,('Input Data'!$E$23*12)-C334+1,D334),E333)))))</f>
        <v>0</v>
      </c>
      <c r="F334" s="18">
        <f t="shared" si="26"/>
        <v>0</v>
      </c>
      <c r="G334" s="18">
        <f>IF(C334&gt;'Input Data'!$B$23*12,0,D334*B334/12)</f>
        <v>0</v>
      </c>
      <c r="H334" s="18">
        <f t="shared" si="25"/>
        <v>0</v>
      </c>
      <c r="I334" s="18">
        <f t="shared" si="27"/>
        <v>0</v>
      </c>
    </row>
    <row r="335" spans="1:9" x14ac:dyDescent="0.25">
      <c r="A335" t="b">
        <f>IF(('Input Data'!$C$23)="FRM", FALSE, ISNUMBER(MATCH(C335,'Input Data'!$M$18:$M$30,0)))</f>
        <v>0</v>
      </c>
      <c r="B335" s="8">
        <f>IF($A335, _xlfn.XLOOKUP(C335,'Input Data'!$M$17:$M$29,'Input Data'!$N$17:$N$29),$B334)</f>
        <v>0.06</v>
      </c>
      <c r="C335" s="10">
        <f t="shared" si="28"/>
        <v>333</v>
      </c>
      <c r="D335" s="18">
        <f t="shared" si="29"/>
        <v>0</v>
      </c>
      <c r="E335" s="18">
        <f>IF('Input Data'!$E$23=0,G335,IF(OR(D335&lt;=0,C335&gt;'Input Data'!$B$23*12),0,IF(AND(C335='Input Data'!$B$23*12,'Input Data'!$E$23&gt;'Input Data'!$B$23),D335+D335*B335/12,IF('Input Data'!$C$23="FRM",-PMT($B$3/12,'Input Data'!$E$23*12,$D$3),IF($A335,-PMT(B335/12,('Input Data'!$E$23*12)-C335+1,D335),E334)))))</f>
        <v>0</v>
      </c>
      <c r="F335" s="18">
        <f t="shared" si="26"/>
        <v>0</v>
      </c>
      <c r="G335" s="18">
        <f>IF(C335&gt;'Input Data'!$B$23*12,0,D335*B335/12)</f>
        <v>0</v>
      </c>
      <c r="H335" s="18">
        <f t="shared" si="25"/>
        <v>0</v>
      </c>
      <c r="I335" s="18">
        <f t="shared" si="27"/>
        <v>0</v>
      </c>
    </row>
    <row r="336" spans="1:9" x14ac:dyDescent="0.25">
      <c r="A336" t="b">
        <f>IF(('Input Data'!$C$23)="FRM", FALSE, ISNUMBER(MATCH(C336,'Input Data'!$M$18:$M$30,0)))</f>
        <v>0</v>
      </c>
      <c r="B336" s="8">
        <f>IF($A336, _xlfn.XLOOKUP(C336,'Input Data'!$M$17:$M$29,'Input Data'!$N$17:$N$29),$B335)</f>
        <v>0.06</v>
      </c>
      <c r="C336" s="10">
        <f t="shared" si="28"/>
        <v>334</v>
      </c>
      <c r="D336" s="18">
        <f t="shared" si="29"/>
        <v>0</v>
      </c>
      <c r="E336" s="18">
        <f>IF('Input Data'!$E$23=0,G336,IF(OR(D336&lt;=0,C336&gt;'Input Data'!$B$23*12),0,IF(AND(C336='Input Data'!$B$23*12,'Input Data'!$E$23&gt;'Input Data'!$B$23),D336+D336*B336/12,IF('Input Data'!$C$23="FRM",-PMT($B$3/12,'Input Data'!$E$23*12,$D$3),IF($A336,-PMT(B336/12,('Input Data'!$E$23*12)-C336+1,D336),E335)))))</f>
        <v>0</v>
      </c>
      <c r="F336" s="18">
        <f t="shared" si="26"/>
        <v>0</v>
      </c>
      <c r="G336" s="18">
        <f>IF(C336&gt;'Input Data'!$B$23*12,0,D336*B336/12)</f>
        <v>0</v>
      </c>
      <c r="H336" s="18">
        <f t="shared" si="25"/>
        <v>0</v>
      </c>
      <c r="I336" s="18">
        <f t="shared" si="27"/>
        <v>0</v>
      </c>
    </row>
    <row r="337" spans="1:9" x14ac:dyDescent="0.25">
      <c r="A337" t="b">
        <f>IF(('Input Data'!$C$23)="FRM", FALSE, ISNUMBER(MATCH(C337,'Input Data'!$M$18:$M$30,0)))</f>
        <v>0</v>
      </c>
      <c r="B337" s="8">
        <f>IF($A337, _xlfn.XLOOKUP(C337,'Input Data'!$M$17:$M$29,'Input Data'!$N$17:$N$29),$B336)</f>
        <v>0.06</v>
      </c>
      <c r="C337" s="10">
        <f t="shared" si="28"/>
        <v>335</v>
      </c>
      <c r="D337" s="18">
        <f t="shared" si="29"/>
        <v>0</v>
      </c>
      <c r="E337" s="18">
        <f>IF('Input Data'!$E$23=0,G337,IF(OR(D337&lt;=0,C337&gt;'Input Data'!$B$23*12),0,IF(AND(C337='Input Data'!$B$23*12,'Input Data'!$E$23&gt;'Input Data'!$B$23),D337+D337*B337/12,IF('Input Data'!$C$23="FRM",-PMT($B$3/12,'Input Data'!$E$23*12,$D$3),IF($A337,-PMT(B337/12,('Input Data'!$E$23*12)-C337+1,D337),E336)))))</f>
        <v>0</v>
      </c>
      <c r="F337" s="18">
        <f t="shared" si="26"/>
        <v>0</v>
      </c>
      <c r="G337" s="18">
        <f>IF(C337&gt;'Input Data'!$B$23*12,0,D337*B337/12)</f>
        <v>0</v>
      </c>
      <c r="H337" s="18">
        <f t="shared" si="25"/>
        <v>0</v>
      </c>
      <c r="I337" s="18">
        <f t="shared" si="27"/>
        <v>0</v>
      </c>
    </row>
    <row r="338" spans="1:9" x14ac:dyDescent="0.25">
      <c r="A338" t="b">
        <f>IF(('Input Data'!$C$23)="FRM", FALSE, ISNUMBER(MATCH(C338,'Input Data'!$M$18:$M$30,0)))</f>
        <v>0</v>
      </c>
      <c r="B338" s="8">
        <f>IF($A338, _xlfn.XLOOKUP(C338,'Input Data'!$M$17:$M$29,'Input Data'!$N$17:$N$29),$B337)</f>
        <v>0.06</v>
      </c>
      <c r="C338" s="10">
        <f t="shared" si="28"/>
        <v>336</v>
      </c>
      <c r="D338" s="18">
        <f t="shared" si="29"/>
        <v>0</v>
      </c>
      <c r="E338" s="18">
        <f>IF('Input Data'!$E$23=0,G338,IF(OR(D338&lt;=0,C338&gt;'Input Data'!$B$23*12),0,IF(AND(C338='Input Data'!$B$23*12,'Input Data'!$E$23&gt;'Input Data'!$B$23),D338+D338*B338/12,IF('Input Data'!$C$23="FRM",-PMT($B$3/12,'Input Data'!$E$23*12,$D$3),IF($A338,-PMT(B338/12,('Input Data'!$E$23*12)-C338+1,D338),E337)))))</f>
        <v>0</v>
      </c>
      <c r="F338" s="18">
        <f t="shared" si="26"/>
        <v>0</v>
      </c>
      <c r="G338" s="18">
        <f>IF(C338&gt;'Input Data'!$B$23*12,0,D338*B338/12)</f>
        <v>0</v>
      </c>
      <c r="H338" s="18">
        <f t="shared" si="25"/>
        <v>0</v>
      </c>
      <c r="I338" s="18">
        <f t="shared" si="27"/>
        <v>0</v>
      </c>
    </row>
    <row r="339" spans="1:9" x14ac:dyDescent="0.25">
      <c r="A339" t="b">
        <f>IF(('Input Data'!$C$23)="FRM", FALSE, ISNUMBER(MATCH(C339,'Input Data'!$M$18:$M$30,0)))</f>
        <v>0</v>
      </c>
      <c r="B339" s="8">
        <f>IF($A339, _xlfn.XLOOKUP(C339,'Input Data'!$M$17:$M$29,'Input Data'!$N$17:$N$29),$B338)</f>
        <v>0.06</v>
      </c>
      <c r="C339" s="10">
        <f t="shared" si="28"/>
        <v>337</v>
      </c>
      <c r="D339" s="18">
        <f t="shared" si="29"/>
        <v>0</v>
      </c>
      <c r="E339" s="18">
        <f>IF('Input Data'!$E$23=0,G339,IF(OR(D339&lt;=0,C339&gt;'Input Data'!$B$23*12),0,IF(AND(C339='Input Data'!$B$23*12,'Input Data'!$E$23&gt;'Input Data'!$B$23),D339+D339*B339/12,IF('Input Data'!$C$23="FRM",-PMT($B$3/12,'Input Data'!$E$23*12,$D$3),IF($A339,-PMT(B339/12,('Input Data'!$E$23*12)-C339+1,D339),E338)))))</f>
        <v>0</v>
      </c>
      <c r="F339" s="18">
        <f t="shared" si="26"/>
        <v>0</v>
      </c>
      <c r="G339" s="18">
        <f>IF(C339&gt;'Input Data'!$B$23*12,0,D339*B339/12)</f>
        <v>0</v>
      </c>
      <c r="H339" s="18">
        <f t="shared" si="25"/>
        <v>0</v>
      </c>
      <c r="I339" s="18">
        <f t="shared" si="27"/>
        <v>0</v>
      </c>
    </row>
    <row r="340" spans="1:9" x14ac:dyDescent="0.25">
      <c r="A340" t="b">
        <f>IF(('Input Data'!$C$23)="FRM", FALSE, ISNUMBER(MATCH(C340,'Input Data'!$M$18:$M$30,0)))</f>
        <v>0</v>
      </c>
      <c r="B340" s="8">
        <f>IF($A340, _xlfn.XLOOKUP(C340,'Input Data'!$M$17:$M$29,'Input Data'!$N$17:$N$29),$B339)</f>
        <v>0.06</v>
      </c>
      <c r="C340" s="10">
        <f t="shared" si="28"/>
        <v>338</v>
      </c>
      <c r="D340" s="18">
        <f t="shared" si="29"/>
        <v>0</v>
      </c>
      <c r="E340" s="18">
        <f>IF('Input Data'!$E$23=0,G340,IF(OR(D340&lt;=0,C340&gt;'Input Data'!$B$23*12),0,IF(AND(C340='Input Data'!$B$23*12,'Input Data'!$E$23&gt;'Input Data'!$B$23),D340+D340*B340/12,IF('Input Data'!$C$23="FRM",-PMT($B$3/12,'Input Data'!$E$23*12,$D$3),IF($A340,-PMT(B340/12,('Input Data'!$E$23*12)-C340+1,D340),E339)))))</f>
        <v>0</v>
      </c>
      <c r="F340" s="18">
        <f t="shared" si="26"/>
        <v>0</v>
      </c>
      <c r="G340" s="18">
        <f>IF(C340&gt;'Input Data'!$B$23*12,0,D340*B340/12)</f>
        <v>0</v>
      </c>
      <c r="H340" s="18">
        <f t="shared" si="25"/>
        <v>0</v>
      </c>
      <c r="I340" s="18">
        <f t="shared" si="27"/>
        <v>0</v>
      </c>
    </row>
    <row r="341" spans="1:9" x14ac:dyDescent="0.25">
      <c r="A341" t="b">
        <f>IF(('Input Data'!$C$23)="FRM", FALSE, ISNUMBER(MATCH(C341,'Input Data'!$M$18:$M$30,0)))</f>
        <v>0</v>
      </c>
      <c r="B341" s="8">
        <f>IF($A341, _xlfn.XLOOKUP(C341,'Input Data'!$M$17:$M$29,'Input Data'!$N$17:$N$29),$B340)</f>
        <v>0.06</v>
      </c>
      <c r="C341" s="10">
        <f t="shared" si="28"/>
        <v>339</v>
      </c>
      <c r="D341" s="18">
        <f t="shared" si="29"/>
        <v>0</v>
      </c>
      <c r="E341" s="18">
        <f>IF('Input Data'!$E$23=0,G341,IF(OR(D341&lt;=0,C341&gt;'Input Data'!$B$23*12),0,IF(AND(C341='Input Data'!$B$23*12,'Input Data'!$E$23&gt;'Input Data'!$B$23),D341+D341*B341/12,IF('Input Data'!$C$23="FRM",-PMT($B$3/12,'Input Data'!$E$23*12,$D$3),IF($A341,-PMT(B341/12,('Input Data'!$E$23*12)-C341+1,D341),E340)))))</f>
        <v>0</v>
      </c>
      <c r="F341" s="18">
        <f t="shared" si="26"/>
        <v>0</v>
      </c>
      <c r="G341" s="18">
        <f>IF(C341&gt;'Input Data'!$B$23*12,0,D341*B341/12)</f>
        <v>0</v>
      </c>
      <c r="H341" s="18">
        <f t="shared" si="25"/>
        <v>0</v>
      </c>
      <c r="I341" s="18">
        <f t="shared" si="27"/>
        <v>0</v>
      </c>
    </row>
    <row r="342" spans="1:9" x14ac:dyDescent="0.25">
      <c r="A342" t="b">
        <f>IF(('Input Data'!$C$23)="FRM", FALSE, ISNUMBER(MATCH(C342,'Input Data'!$M$18:$M$30,0)))</f>
        <v>0</v>
      </c>
      <c r="B342" s="8">
        <f>IF($A342, _xlfn.XLOOKUP(C342,'Input Data'!$M$17:$M$29,'Input Data'!$N$17:$N$29),$B341)</f>
        <v>0.06</v>
      </c>
      <c r="C342" s="10">
        <f t="shared" si="28"/>
        <v>340</v>
      </c>
      <c r="D342" s="18">
        <f t="shared" si="29"/>
        <v>0</v>
      </c>
      <c r="E342" s="18">
        <f>IF('Input Data'!$E$23=0,G342,IF(OR(D342&lt;=0,C342&gt;'Input Data'!$B$23*12),0,IF(AND(C342='Input Data'!$B$23*12,'Input Data'!$E$23&gt;'Input Data'!$B$23),D342+D342*B342/12,IF('Input Data'!$C$23="FRM",-PMT($B$3/12,'Input Data'!$E$23*12,$D$3),IF($A342,-PMT(B342/12,('Input Data'!$E$23*12)-C342+1,D342),E341)))))</f>
        <v>0</v>
      </c>
      <c r="F342" s="18">
        <f t="shared" si="26"/>
        <v>0</v>
      </c>
      <c r="G342" s="18">
        <f>IF(C342&gt;'Input Data'!$B$23*12,0,D342*B342/12)</f>
        <v>0</v>
      </c>
      <c r="H342" s="18">
        <f t="shared" si="25"/>
        <v>0</v>
      </c>
      <c r="I342" s="18">
        <f t="shared" si="27"/>
        <v>0</v>
      </c>
    </row>
    <row r="343" spans="1:9" x14ac:dyDescent="0.25">
      <c r="A343" t="b">
        <f>IF(('Input Data'!$C$23)="FRM", FALSE, ISNUMBER(MATCH(C343,'Input Data'!$M$18:$M$30,0)))</f>
        <v>0</v>
      </c>
      <c r="B343" s="8">
        <f>IF($A343, _xlfn.XLOOKUP(C343,'Input Data'!$M$17:$M$29,'Input Data'!$N$17:$N$29),$B342)</f>
        <v>0.06</v>
      </c>
      <c r="C343" s="10">
        <f t="shared" si="28"/>
        <v>341</v>
      </c>
      <c r="D343" s="18">
        <f t="shared" si="29"/>
        <v>0</v>
      </c>
      <c r="E343" s="18">
        <f>IF('Input Data'!$E$23=0,G343,IF(OR(D343&lt;=0,C343&gt;'Input Data'!$B$23*12),0,IF(AND(C343='Input Data'!$B$23*12,'Input Data'!$E$23&gt;'Input Data'!$B$23),D343+D343*B343/12,IF('Input Data'!$C$23="FRM",-PMT($B$3/12,'Input Data'!$E$23*12,$D$3),IF($A343,-PMT(B343/12,('Input Data'!$E$23*12)-C343+1,D343),E342)))))</f>
        <v>0</v>
      </c>
      <c r="F343" s="18">
        <f t="shared" si="26"/>
        <v>0</v>
      </c>
      <c r="G343" s="18">
        <f>IF(C343&gt;'Input Data'!$B$23*12,0,D343*B343/12)</f>
        <v>0</v>
      </c>
      <c r="H343" s="18">
        <f t="shared" si="25"/>
        <v>0</v>
      </c>
      <c r="I343" s="18">
        <f t="shared" si="27"/>
        <v>0</v>
      </c>
    </row>
    <row r="344" spans="1:9" x14ac:dyDescent="0.25">
      <c r="A344" t="b">
        <f>IF(('Input Data'!$C$23)="FRM", FALSE, ISNUMBER(MATCH(C344,'Input Data'!$M$18:$M$30,0)))</f>
        <v>0</v>
      </c>
      <c r="B344" s="8">
        <f>IF($A344, _xlfn.XLOOKUP(C344,'Input Data'!$M$17:$M$29,'Input Data'!$N$17:$N$29),$B343)</f>
        <v>0.06</v>
      </c>
      <c r="C344" s="10">
        <f t="shared" si="28"/>
        <v>342</v>
      </c>
      <c r="D344" s="18">
        <f t="shared" si="29"/>
        <v>0</v>
      </c>
      <c r="E344" s="18">
        <f>IF('Input Data'!$E$23=0,G344,IF(OR(D344&lt;=0,C344&gt;'Input Data'!$B$23*12),0,IF(AND(C344='Input Data'!$B$23*12,'Input Data'!$E$23&gt;'Input Data'!$B$23),D344+D344*B344/12,IF('Input Data'!$C$23="FRM",-PMT($B$3/12,'Input Data'!$E$23*12,$D$3),IF($A344,-PMT(B344/12,('Input Data'!$E$23*12)-C344+1,D344),E343)))))</f>
        <v>0</v>
      </c>
      <c r="F344" s="18">
        <f t="shared" si="26"/>
        <v>0</v>
      </c>
      <c r="G344" s="18">
        <f>IF(C344&gt;'Input Data'!$B$23*12,0,D344*B344/12)</f>
        <v>0</v>
      </c>
      <c r="H344" s="18">
        <f t="shared" si="25"/>
        <v>0</v>
      </c>
      <c r="I344" s="18">
        <f t="shared" si="27"/>
        <v>0</v>
      </c>
    </row>
    <row r="345" spans="1:9" x14ac:dyDescent="0.25">
      <c r="A345" t="b">
        <f>IF(('Input Data'!$C$23)="FRM", FALSE, ISNUMBER(MATCH(C345,'Input Data'!$M$18:$M$30,0)))</f>
        <v>0</v>
      </c>
      <c r="B345" s="8">
        <f>IF($A345, _xlfn.XLOOKUP(C345,'Input Data'!$M$17:$M$29,'Input Data'!$N$17:$N$29),$B344)</f>
        <v>0.06</v>
      </c>
      <c r="C345" s="10">
        <f t="shared" si="28"/>
        <v>343</v>
      </c>
      <c r="D345" s="18">
        <f t="shared" si="29"/>
        <v>0</v>
      </c>
      <c r="E345" s="18">
        <f>IF('Input Data'!$E$23=0,G345,IF(OR(D345&lt;=0,C345&gt;'Input Data'!$B$23*12),0,IF(AND(C345='Input Data'!$B$23*12,'Input Data'!$E$23&gt;'Input Data'!$B$23),D345+D345*B345/12,IF('Input Data'!$C$23="FRM",-PMT($B$3/12,'Input Data'!$E$23*12,$D$3),IF($A345,-PMT(B345/12,('Input Data'!$E$23*12)-C345+1,D345),E344)))))</f>
        <v>0</v>
      </c>
      <c r="F345" s="18">
        <f t="shared" si="26"/>
        <v>0</v>
      </c>
      <c r="G345" s="18">
        <f>IF(C345&gt;'Input Data'!$B$23*12,0,D345*B345/12)</f>
        <v>0</v>
      </c>
      <c r="H345" s="18">
        <f t="shared" si="25"/>
        <v>0</v>
      </c>
      <c r="I345" s="18">
        <f t="shared" si="27"/>
        <v>0</v>
      </c>
    </row>
    <row r="346" spans="1:9" x14ac:dyDescent="0.25">
      <c r="A346" t="b">
        <f>IF(('Input Data'!$C$23)="FRM", FALSE, ISNUMBER(MATCH(C346,'Input Data'!$M$18:$M$30,0)))</f>
        <v>0</v>
      </c>
      <c r="B346" s="8">
        <f>IF($A346, _xlfn.XLOOKUP(C346,'Input Data'!$M$17:$M$29,'Input Data'!$N$17:$N$29),$B345)</f>
        <v>0.06</v>
      </c>
      <c r="C346" s="10">
        <f t="shared" si="28"/>
        <v>344</v>
      </c>
      <c r="D346" s="18">
        <f t="shared" si="29"/>
        <v>0</v>
      </c>
      <c r="E346" s="18">
        <f>IF('Input Data'!$E$23=0,G346,IF(OR(D346&lt;=0,C346&gt;'Input Data'!$B$23*12),0,IF(AND(C346='Input Data'!$B$23*12,'Input Data'!$E$23&gt;'Input Data'!$B$23),D346+D346*B346/12,IF('Input Data'!$C$23="FRM",-PMT($B$3/12,'Input Data'!$E$23*12,$D$3),IF($A346,-PMT(B346/12,('Input Data'!$E$23*12)-C346+1,D346),E345)))))</f>
        <v>0</v>
      </c>
      <c r="F346" s="18">
        <f t="shared" si="26"/>
        <v>0</v>
      </c>
      <c r="G346" s="18">
        <f>IF(C346&gt;'Input Data'!$B$23*12,0,D346*B346/12)</f>
        <v>0</v>
      </c>
      <c r="H346" s="18">
        <f t="shared" si="25"/>
        <v>0</v>
      </c>
      <c r="I346" s="18">
        <f t="shared" si="27"/>
        <v>0</v>
      </c>
    </row>
    <row r="347" spans="1:9" x14ac:dyDescent="0.25">
      <c r="A347" t="b">
        <f>IF(('Input Data'!$C$23)="FRM", FALSE, ISNUMBER(MATCH(C347,'Input Data'!$M$18:$M$30,0)))</f>
        <v>0</v>
      </c>
      <c r="B347" s="8">
        <f>IF($A347, _xlfn.XLOOKUP(C347,'Input Data'!$M$17:$M$29,'Input Data'!$N$17:$N$29),$B346)</f>
        <v>0.06</v>
      </c>
      <c r="C347" s="10">
        <f t="shared" si="28"/>
        <v>345</v>
      </c>
      <c r="D347" s="18">
        <f t="shared" si="29"/>
        <v>0</v>
      </c>
      <c r="E347" s="18">
        <f>IF('Input Data'!$E$23=0,G347,IF(OR(D347&lt;=0,C347&gt;'Input Data'!$B$23*12),0,IF(AND(C347='Input Data'!$B$23*12,'Input Data'!$E$23&gt;'Input Data'!$B$23),D347+D347*B347/12,IF('Input Data'!$C$23="FRM",-PMT($B$3/12,'Input Data'!$E$23*12,$D$3),IF($A347,-PMT(B347/12,('Input Data'!$E$23*12)-C347+1,D347),E346)))))</f>
        <v>0</v>
      </c>
      <c r="F347" s="18">
        <f t="shared" si="26"/>
        <v>0</v>
      </c>
      <c r="G347" s="18">
        <f>IF(C347&gt;'Input Data'!$B$23*12,0,D347*B347/12)</f>
        <v>0</v>
      </c>
      <c r="H347" s="18">
        <f t="shared" si="25"/>
        <v>0</v>
      </c>
      <c r="I347" s="18">
        <f t="shared" si="27"/>
        <v>0</v>
      </c>
    </row>
    <row r="348" spans="1:9" x14ac:dyDescent="0.25">
      <c r="A348" t="b">
        <f>IF(('Input Data'!$C$23)="FRM", FALSE, ISNUMBER(MATCH(C348,'Input Data'!$M$18:$M$30,0)))</f>
        <v>0</v>
      </c>
      <c r="B348" s="8">
        <f>IF($A348, _xlfn.XLOOKUP(C348,'Input Data'!$M$17:$M$29,'Input Data'!$N$17:$N$29),$B347)</f>
        <v>0.06</v>
      </c>
      <c r="C348" s="10">
        <f t="shared" si="28"/>
        <v>346</v>
      </c>
      <c r="D348" s="18">
        <f t="shared" si="29"/>
        <v>0</v>
      </c>
      <c r="E348" s="18">
        <f>IF('Input Data'!$E$23=0,G348,IF(OR(D348&lt;=0,C348&gt;'Input Data'!$B$23*12),0,IF(AND(C348='Input Data'!$B$23*12,'Input Data'!$E$23&gt;'Input Data'!$B$23),D348+D348*B348/12,IF('Input Data'!$C$23="FRM",-PMT($B$3/12,'Input Data'!$E$23*12,$D$3),IF($A348,-PMT(B348/12,('Input Data'!$E$23*12)-C348+1,D348),E347)))))</f>
        <v>0</v>
      </c>
      <c r="F348" s="18">
        <f t="shared" si="26"/>
        <v>0</v>
      </c>
      <c r="G348" s="18">
        <f>IF(C348&gt;'Input Data'!$B$23*12,0,D348*B348/12)</f>
        <v>0</v>
      </c>
      <c r="H348" s="18">
        <f t="shared" si="25"/>
        <v>0</v>
      </c>
      <c r="I348" s="18">
        <f t="shared" si="27"/>
        <v>0</v>
      </c>
    </row>
    <row r="349" spans="1:9" x14ac:dyDescent="0.25">
      <c r="A349" t="b">
        <f>IF(('Input Data'!$C$23)="FRM", FALSE, ISNUMBER(MATCH(C349,'Input Data'!$M$18:$M$30,0)))</f>
        <v>0</v>
      </c>
      <c r="B349" s="8">
        <f>IF($A349, _xlfn.XLOOKUP(C349,'Input Data'!$M$17:$M$29,'Input Data'!$N$17:$N$29),$B348)</f>
        <v>0.06</v>
      </c>
      <c r="C349" s="10">
        <f t="shared" si="28"/>
        <v>347</v>
      </c>
      <c r="D349" s="18">
        <f t="shared" si="29"/>
        <v>0</v>
      </c>
      <c r="E349" s="18">
        <f>IF('Input Data'!$E$23=0,G349,IF(OR(D349&lt;=0,C349&gt;'Input Data'!$B$23*12),0,IF(AND(C349='Input Data'!$B$23*12,'Input Data'!$E$23&gt;'Input Data'!$B$23),D349+D349*B349/12,IF('Input Data'!$C$23="FRM",-PMT($B$3/12,'Input Data'!$E$23*12,$D$3),IF($A349,-PMT(B349/12,('Input Data'!$E$23*12)-C349+1,D349),E348)))))</f>
        <v>0</v>
      </c>
      <c r="F349" s="18">
        <f t="shared" si="26"/>
        <v>0</v>
      </c>
      <c r="G349" s="18">
        <f>IF(C349&gt;'Input Data'!$B$23*12,0,D349*B349/12)</f>
        <v>0</v>
      </c>
      <c r="H349" s="18">
        <f t="shared" si="25"/>
        <v>0</v>
      </c>
      <c r="I349" s="18">
        <f t="shared" si="27"/>
        <v>0</v>
      </c>
    </row>
    <row r="350" spans="1:9" x14ac:dyDescent="0.25">
      <c r="A350" t="b">
        <f>IF(('Input Data'!$C$23)="FRM", FALSE, ISNUMBER(MATCH(C350,'Input Data'!$M$18:$M$30,0)))</f>
        <v>0</v>
      </c>
      <c r="B350" s="8">
        <f>IF($A350, _xlfn.XLOOKUP(C350,'Input Data'!$M$17:$M$29,'Input Data'!$N$17:$N$29),$B349)</f>
        <v>0.06</v>
      </c>
      <c r="C350" s="10">
        <f t="shared" si="28"/>
        <v>348</v>
      </c>
      <c r="D350" s="18">
        <f t="shared" si="29"/>
        <v>0</v>
      </c>
      <c r="E350" s="18">
        <f>IF('Input Data'!$E$23=0,G350,IF(OR(D350&lt;=0,C350&gt;'Input Data'!$B$23*12),0,IF(AND(C350='Input Data'!$B$23*12,'Input Data'!$E$23&gt;'Input Data'!$B$23),D350+D350*B350/12,IF('Input Data'!$C$23="FRM",-PMT($B$3/12,'Input Data'!$E$23*12,$D$3),IF($A350,-PMT(B350/12,('Input Data'!$E$23*12)-C350+1,D350),E349)))))</f>
        <v>0</v>
      </c>
      <c r="F350" s="18">
        <f t="shared" si="26"/>
        <v>0</v>
      </c>
      <c r="G350" s="18">
        <f>IF(C350&gt;'Input Data'!$B$23*12,0,D350*B350/12)</f>
        <v>0</v>
      </c>
      <c r="H350" s="18">
        <f t="shared" si="25"/>
        <v>0</v>
      </c>
      <c r="I350" s="18">
        <f t="shared" si="27"/>
        <v>0</v>
      </c>
    </row>
    <row r="351" spans="1:9" x14ac:dyDescent="0.25">
      <c r="A351" t="b">
        <f>IF(('Input Data'!$C$23)="FRM", FALSE, ISNUMBER(MATCH(C351,'Input Data'!$M$18:$M$30,0)))</f>
        <v>0</v>
      </c>
      <c r="B351" s="8">
        <f>IF($A351, _xlfn.XLOOKUP(C351,'Input Data'!$M$17:$M$29,'Input Data'!$N$17:$N$29),$B350)</f>
        <v>0.06</v>
      </c>
      <c r="C351" s="10">
        <f t="shared" si="28"/>
        <v>349</v>
      </c>
      <c r="D351" s="18">
        <f t="shared" si="29"/>
        <v>0</v>
      </c>
      <c r="E351" s="18">
        <f>IF('Input Data'!$E$23=0,G351,IF(OR(D351&lt;=0,C351&gt;'Input Data'!$B$23*12),0,IF(AND(C351='Input Data'!$B$23*12,'Input Data'!$E$23&gt;'Input Data'!$B$23),D351+D351*B351/12,IF('Input Data'!$C$23="FRM",-PMT($B$3/12,'Input Data'!$E$23*12,$D$3),IF($A351,-PMT(B351/12,('Input Data'!$E$23*12)-C351+1,D351),E350)))))</f>
        <v>0</v>
      </c>
      <c r="F351" s="18">
        <f t="shared" si="26"/>
        <v>0</v>
      </c>
      <c r="G351" s="18">
        <f>IF(C351&gt;'Input Data'!$B$23*12,0,D351*B351/12)</f>
        <v>0</v>
      </c>
      <c r="H351" s="18">
        <f t="shared" si="25"/>
        <v>0</v>
      </c>
      <c r="I351" s="18">
        <f t="shared" si="27"/>
        <v>0</v>
      </c>
    </row>
    <row r="352" spans="1:9" x14ac:dyDescent="0.25">
      <c r="A352" t="b">
        <f>IF(('Input Data'!$C$23)="FRM", FALSE, ISNUMBER(MATCH(C352,'Input Data'!$M$18:$M$30,0)))</f>
        <v>0</v>
      </c>
      <c r="B352" s="8">
        <f>IF($A352, _xlfn.XLOOKUP(C352,'Input Data'!$M$17:$M$29,'Input Data'!$N$17:$N$29),$B351)</f>
        <v>0.06</v>
      </c>
      <c r="C352" s="10">
        <f t="shared" si="28"/>
        <v>350</v>
      </c>
      <c r="D352" s="18">
        <f t="shared" si="29"/>
        <v>0</v>
      </c>
      <c r="E352" s="18">
        <f>IF('Input Data'!$E$23=0,G352,IF(OR(D352&lt;=0,C352&gt;'Input Data'!$B$23*12),0,IF(AND(C352='Input Data'!$B$23*12,'Input Data'!$E$23&gt;'Input Data'!$B$23),D352+D352*B352/12,IF('Input Data'!$C$23="FRM",-PMT($B$3/12,'Input Data'!$E$23*12,$D$3),IF($A352,-PMT(B352/12,('Input Data'!$E$23*12)-C352+1,D352),E351)))))</f>
        <v>0</v>
      </c>
      <c r="F352" s="18">
        <f t="shared" si="26"/>
        <v>0</v>
      </c>
      <c r="G352" s="18">
        <f>IF(C352&gt;'Input Data'!$B$23*12,0,D352*B352/12)</f>
        <v>0</v>
      </c>
      <c r="H352" s="18">
        <f t="shared" si="25"/>
        <v>0</v>
      </c>
      <c r="I352" s="18">
        <f t="shared" si="27"/>
        <v>0</v>
      </c>
    </row>
    <row r="353" spans="1:9" x14ac:dyDescent="0.25">
      <c r="A353" t="b">
        <f>IF(('Input Data'!$C$23)="FRM", FALSE, ISNUMBER(MATCH(C353,'Input Data'!$M$18:$M$30,0)))</f>
        <v>0</v>
      </c>
      <c r="B353" s="8">
        <f>IF($A353, _xlfn.XLOOKUP(C353,'Input Data'!$M$17:$M$29,'Input Data'!$N$17:$N$29),$B352)</f>
        <v>0.06</v>
      </c>
      <c r="C353" s="10">
        <f t="shared" si="28"/>
        <v>351</v>
      </c>
      <c r="D353" s="18">
        <f t="shared" si="29"/>
        <v>0</v>
      </c>
      <c r="E353" s="18">
        <f>IF('Input Data'!$E$23=0,G353,IF(OR(D353&lt;=0,C353&gt;'Input Data'!$B$23*12),0,IF(AND(C353='Input Data'!$B$23*12,'Input Data'!$E$23&gt;'Input Data'!$B$23),D353+D353*B353/12,IF('Input Data'!$C$23="FRM",-PMT($B$3/12,'Input Data'!$E$23*12,$D$3),IF($A353,-PMT(B353/12,('Input Data'!$E$23*12)-C353+1,D353),E352)))))</f>
        <v>0</v>
      </c>
      <c r="F353" s="18">
        <f t="shared" si="26"/>
        <v>0</v>
      </c>
      <c r="G353" s="18">
        <f>IF(C353&gt;'Input Data'!$B$23*12,0,D353*B353/12)</f>
        <v>0</v>
      </c>
      <c r="H353" s="18">
        <f t="shared" si="25"/>
        <v>0</v>
      </c>
      <c r="I353" s="18">
        <f t="shared" si="27"/>
        <v>0</v>
      </c>
    </row>
    <row r="354" spans="1:9" x14ac:dyDescent="0.25">
      <c r="A354" t="b">
        <f>IF(('Input Data'!$C$23)="FRM", FALSE, ISNUMBER(MATCH(C354,'Input Data'!$M$18:$M$30,0)))</f>
        <v>0</v>
      </c>
      <c r="B354" s="8">
        <f>IF($A354, _xlfn.XLOOKUP(C354,'Input Data'!$M$17:$M$29,'Input Data'!$N$17:$N$29),$B353)</f>
        <v>0.06</v>
      </c>
      <c r="C354" s="10">
        <f t="shared" si="28"/>
        <v>352</v>
      </c>
      <c r="D354" s="18">
        <f t="shared" si="29"/>
        <v>0</v>
      </c>
      <c r="E354" s="18">
        <f>IF('Input Data'!$E$23=0,G354,IF(OR(D354&lt;=0,C354&gt;'Input Data'!$B$23*12),0,IF(AND(C354='Input Data'!$B$23*12,'Input Data'!$E$23&gt;'Input Data'!$B$23),D354+D354*B354/12,IF('Input Data'!$C$23="FRM",-PMT($B$3/12,'Input Data'!$E$23*12,$D$3),IF($A354,-PMT(B354/12,('Input Data'!$E$23*12)-C354+1,D354),E353)))))</f>
        <v>0</v>
      </c>
      <c r="F354" s="18">
        <f t="shared" si="26"/>
        <v>0</v>
      </c>
      <c r="G354" s="18">
        <f>IF(C354&gt;'Input Data'!$B$23*12,0,D354*B354/12)</f>
        <v>0</v>
      </c>
      <c r="H354" s="18">
        <f t="shared" si="25"/>
        <v>0</v>
      </c>
      <c r="I354" s="18">
        <f t="shared" si="27"/>
        <v>0</v>
      </c>
    </row>
    <row r="355" spans="1:9" x14ac:dyDescent="0.25">
      <c r="A355" t="b">
        <f>IF(('Input Data'!$C$23)="FRM", FALSE, ISNUMBER(MATCH(C355,'Input Data'!$M$18:$M$30,0)))</f>
        <v>0</v>
      </c>
      <c r="B355" s="8">
        <f>IF($A355, _xlfn.XLOOKUP(C355,'Input Data'!$M$17:$M$29,'Input Data'!$N$17:$N$29),$B354)</f>
        <v>0.06</v>
      </c>
      <c r="C355" s="10">
        <f t="shared" si="28"/>
        <v>353</v>
      </c>
      <c r="D355" s="18">
        <f t="shared" si="29"/>
        <v>0</v>
      </c>
      <c r="E355" s="18">
        <f>IF('Input Data'!$E$23=0,G355,IF(OR(D355&lt;=0,C355&gt;'Input Data'!$B$23*12),0,IF(AND(C355='Input Data'!$B$23*12,'Input Data'!$E$23&gt;'Input Data'!$B$23),D355+D355*B355/12,IF('Input Data'!$C$23="FRM",-PMT($B$3/12,'Input Data'!$E$23*12,$D$3),IF($A355,-PMT(B355/12,('Input Data'!$E$23*12)-C355+1,D355),E354)))))</f>
        <v>0</v>
      </c>
      <c r="F355" s="18">
        <f t="shared" si="26"/>
        <v>0</v>
      </c>
      <c r="G355" s="18">
        <f>IF(C355&gt;'Input Data'!$B$23*12,0,D355*B355/12)</f>
        <v>0</v>
      </c>
      <c r="H355" s="18">
        <f t="shared" si="25"/>
        <v>0</v>
      </c>
      <c r="I355" s="18">
        <f t="shared" si="27"/>
        <v>0</v>
      </c>
    </row>
    <row r="356" spans="1:9" x14ac:dyDescent="0.25">
      <c r="A356" t="b">
        <f>IF(('Input Data'!$C$23)="FRM", FALSE, ISNUMBER(MATCH(C356,'Input Data'!$M$18:$M$30,0)))</f>
        <v>0</v>
      </c>
      <c r="B356" s="8">
        <f>IF($A356, _xlfn.XLOOKUP(C356,'Input Data'!$M$17:$M$29,'Input Data'!$N$17:$N$29),$B355)</f>
        <v>0.06</v>
      </c>
      <c r="C356" s="10">
        <f t="shared" si="28"/>
        <v>354</v>
      </c>
      <c r="D356" s="18">
        <f t="shared" si="29"/>
        <v>0</v>
      </c>
      <c r="E356" s="18">
        <f>IF('Input Data'!$E$23=0,G356,IF(OR(D356&lt;=0,C356&gt;'Input Data'!$B$23*12),0,IF(AND(C356='Input Data'!$B$23*12,'Input Data'!$E$23&gt;'Input Data'!$B$23),D356+D356*B356/12,IF('Input Data'!$C$23="FRM",-PMT($B$3/12,'Input Data'!$E$23*12,$D$3),IF($A356,-PMT(B356/12,('Input Data'!$E$23*12)-C356+1,D356),E355)))))</f>
        <v>0</v>
      </c>
      <c r="F356" s="18">
        <f t="shared" si="26"/>
        <v>0</v>
      </c>
      <c r="G356" s="18">
        <f>IF(C356&gt;'Input Data'!$B$23*12,0,D356*B356/12)</f>
        <v>0</v>
      </c>
      <c r="H356" s="18">
        <f t="shared" si="25"/>
        <v>0</v>
      </c>
      <c r="I356" s="18">
        <f t="shared" si="27"/>
        <v>0</v>
      </c>
    </row>
    <row r="357" spans="1:9" x14ac:dyDescent="0.25">
      <c r="A357" t="b">
        <f>IF(('Input Data'!$C$23)="FRM", FALSE, ISNUMBER(MATCH(C357,'Input Data'!$M$18:$M$30,0)))</f>
        <v>0</v>
      </c>
      <c r="B357" s="8">
        <f>IF($A357, _xlfn.XLOOKUP(C357,'Input Data'!$M$17:$M$29,'Input Data'!$N$17:$N$29),$B356)</f>
        <v>0.06</v>
      </c>
      <c r="C357" s="10">
        <f t="shared" si="28"/>
        <v>355</v>
      </c>
      <c r="D357" s="18">
        <f t="shared" si="29"/>
        <v>0</v>
      </c>
      <c r="E357" s="18">
        <f>IF('Input Data'!$E$23=0,G357,IF(OR(D357&lt;=0,C357&gt;'Input Data'!$B$23*12),0,IF(AND(C357='Input Data'!$B$23*12,'Input Data'!$E$23&gt;'Input Data'!$B$23),D357+D357*B357/12,IF('Input Data'!$C$23="FRM",-PMT($B$3/12,'Input Data'!$E$23*12,$D$3),IF($A357,-PMT(B357/12,('Input Data'!$E$23*12)-C357+1,D357),E356)))))</f>
        <v>0</v>
      </c>
      <c r="F357" s="18">
        <f t="shared" si="26"/>
        <v>0</v>
      </c>
      <c r="G357" s="18">
        <f>IF(C357&gt;'Input Data'!$B$23*12,0,D357*B357/12)</f>
        <v>0</v>
      </c>
      <c r="H357" s="18">
        <f t="shared" si="25"/>
        <v>0</v>
      </c>
      <c r="I357" s="18">
        <f t="shared" si="27"/>
        <v>0</v>
      </c>
    </row>
    <row r="358" spans="1:9" x14ac:dyDescent="0.25">
      <c r="A358" t="b">
        <f>IF(('Input Data'!$C$23)="FRM", FALSE, ISNUMBER(MATCH(C358,'Input Data'!$M$18:$M$30,0)))</f>
        <v>0</v>
      </c>
      <c r="B358" s="8">
        <f>IF($A358, _xlfn.XLOOKUP(C358,'Input Data'!$M$17:$M$29,'Input Data'!$N$17:$N$29),$B357)</f>
        <v>0.06</v>
      </c>
      <c r="C358" s="10">
        <f t="shared" si="28"/>
        <v>356</v>
      </c>
      <c r="D358" s="18">
        <f t="shared" si="29"/>
        <v>0</v>
      </c>
      <c r="E358" s="18">
        <f>IF('Input Data'!$E$23=0,G358,IF(OR(D358&lt;=0,C358&gt;'Input Data'!$B$23*12),0,IF(AND(C358='Input Data'!$B$23*12,'Input Data'!$E$23&gt;'Input Data'!$B$23),D358+D358*B358/12,IF('Input Data'!$C$23="FRM",-PMT($B$3/12,'Input Data'!$E$23*12,$D$3),IF($A358,-PMT(B358/12,('Input Data'!$E$23*12)-C358+1,D358),E357)))))</f>
        <v>0</v>
      </c>
      <c r="F358" s="18">
        <f t="shared" si="26"/>
        <v>0</v>
      </c>
      <c r="G358" s="18">
        <f>IF(C358&gt;'Input Data'!$B$23*12,0,D358*B358/12)</f>
        <v>0</v>
      </c>
      <c r="H358" s="18">
        <f t="shared" si="25"/>
        <v>0</v>
      </c>
      <c r="I358" s="18">
        <f t="shared" si="27"/>
        <v>0</v>
      </c>
    </row>
    <row r="359" spans="1:9" x14ac:dyDescent="0.25">
      <c r="A359" t="b">
        <f>IF(('Input Data'!$C$23)="FRM", FALSE, ISNUMBER(MATCH(C359,'Input Data'!$M$18:$M$30,0)))</f>
        <v>0</v>
      </c>
      <c r="B359" s="8">
        <f>IF($A359, _xlfn.XLOOKUP(C359,'Input Data'!$M$17:$M$29,'Input Data'!$N$17:$N$29),$B358)</f>
        <v>0.06</v>
      </c>
      <c r="C359" s="10">
        <f t="shared" si="28"/>
        <v>357</v>
      </c>
      <c r="D359" s="18">
        <f t="shared" si="29"/>
        <v>0</v>
      </c>
      <c r="E359" s="18">
        <f>IF('Input Data'!$E$23=0,G359,IF(OR(D359&lt;=0,C359&gt;'Input Data'!$B$23*12),0,IF(AND(C359='Input Data'!$B$23*12,'Input Data'!$E$23&gt;'Input Data'!$B$23),D359+D359*B359/12,IF('Input Data'!$C$23="FRM",-PMT($B$3/12,'Input Data'!$E$23*12,$D$3),IF($A359,-PMT(B359/12,('Input Data'!$E$23*12)-C359+1,D359),E358)))))</f>
        <v>0</v>
      </c>
      <c r="F359" s="18">
        <f t="shared" si="26"/>
        <v>0</v>
      </c>
      <c r="G359" s="18">
        <f>IF(C359&gt;'Input Data'!$B$23*12,0,D359*B359/12)</f>
        <v>0</v>
      </c>
      <c r="H359" s="18">
        <f t="shared" si="25"/>
        <v>0</v>
      </c>
      <c r="I359" s="18">
        <f t="shared" si="27"/>
        <v>0</v>
      </c>
    </row>
    <row r="360" spans="1:9" x14ac:dyDescent="0.25">
      <c r="A360" t="b">
        <f>IF(('Input Data'!$C$23)="FRM", FALSE, ISNUMBER(MATCH(C360,'Input Data'!$M$18:$M$30,0)))</f>
        <v>0</v>
      </c>
      <c r="B360" s="8">
        <f>IF($A360, _xlfn.XLOOKUP(C360,'Input Data'!$M$17:$M$29,'Input Data'!$N$17:$N$29),$B359)</f>
        <v>0.06</v>
      </c>
      <c r="C360" s="10">
        <f t="shared" si="28"/>
        <v>358</v>
      </c>
      <c r="D360" s="18">
        <f t="shared" si="29"/>
        <v>0</v>
      </c>
      <c r="E360" s="18">
        <f>IF('Input Data'!$E$23=0,G360,IF(OR(D360&lt;=0,C360&gt;'Input Data'!$B$23*12),0,IF(AND(C360='Input Data'!$B$23*12,'Input Data'!$E$23&gt;'Input Data'!$B$23),D360+D360*B360/12,IF('Input Data'!$C$23="FRM",-PMT($B$3/12,'Input Data'!$E$23*12,$D$3),IF($A360,-PMT(B360/12,('Input Data'!$E$23*12)-C360+1,D360),E359)))))</f>
        <v>0</v>
      </c>
      <c r="F360" s="18">
        <f t="shared" si="26"/>
        <v>0</v>
      </c>
      <c r="G360" s="18">
        <f>IF(C360&gt;'Input Data'!$B$23*12,0,D360*B360/12)</f>
        <v>0</v>
      </c>
      <c r="H360" s="18">
        <f t="shared" si="25"/>
        <v>0</v>
      </c>
      <c r="I360" s="18">
        <f t="shared" si="27"/>
        <v>0</v>
      </c>
    </row>
    <row r="361" spans="1:9" x14ac:dyDescent="0.25">
      <c r="A361" t="b">
        <f>IF(('Input Data'!$C$23)="FRM", FALSE, ISNUMBER(MATCH(C361,'Input Data'!$M$18:$M$30,0)))</f>
        <v>0</v>
      </c>
      <c r="B361" s="8">
        <f>IF($A361, _xlfn.XLOOKUP(C361,'Input Data'!$M$17:$M$29,'Input Data'!$N$17:$N$29),$B360)</f>
        <v>0.06</v>
      </c>
      <c r="C361" s="10">
        <f t="shared" si="28"/>
        <v>359</v>
      </c>
      <c r="D361" s="18">
        <f t="shared" si="29"/>
        <v>0</v>
      </c>
      <c r="E361" s="18">
        <f>IF('Input Data'!$E$23=0,G361,IF(OR(D361&lt;=0,C361&gt;'Input Data'!$B$23*12),0,IF(AND(C361='Input Data'!$B$23*12,'Input Data'!$E$23&gt;'Input Data'!$B$23),D361+D361*B361/12,IF('Input Data'!$C$23="FRM",-PMT($B$3/12,'Input Data'!$E$23*12,$D$3),IF($A361,-PMT(B361/12,('Input Data'!$E$23*12)-C361+1,D361),E360)))))</f>
        <v>0</v>
      </c>
      <c r="F361" s="18">
        <f t="shared" si="26"/>
        <v>0</v>
      </c>
      <c r="G361" s="18">
        <f>IF(C361&gt;'Input Data'!$B$23*12,0,D361*B361/12)</f>
        <v>0</v>
      </c>
      <c r="H361" s="18">
        <f t="shared" si="25"/>
        <v>0</v>
      </c>
      <c r="I361" s="18">
        <f t="shared" si="27"/>
        <v>0</v>
      </c>
    </row>
    <row r="362" spans="1:9" x14ac:dyDescent="0.25">
      <c r="A362" t="b">
        <f>IF(('Input Data'!$C$23)="FRM", FALSE, ISNUMBER(MATCH(C362,'Input Data'!$M$18:$M$30,0)))</f>
        <v>0</v>
      </c>
      <c r="B362" s="8">
        <f>IF($A362, _xlfn.XLOOKUP(C362,'Input Data'!$M$17:$M$29,'Input Data'!$N$17:$N$29),$B361)</f>
        <v>0.06</v>
      </c>
      <c r="C362" s="10">
        <f t="shared" si="28"/>
        <v>360</v>
      </c>
      <c r="D362" s="18">
        <f t="shared" si="29"/>
        <v>0</v>
      </c>
      <c r="E362" s="18">
        <f>IF('Input Data'!$E$23=0,G362,IF(OR(D362&lt;=0,C362&gt;'Input Data'!$B$23*12),0,IF(AND(C362='Input Data'!$B$23*12,'Input Data'!$E$23&gt;'Input Data'!$B$23),D362+D362*B362/12,IF('Input Data'!$C$23="FRM",-PMT($B$3/12,'Input Data'!$E$23*12,$D$3),IF($A362,-PMT(B362/12,('Input Data'!$E$23*12)-C362+1,D362),E361)))))</f>
        <v>0</v>
      </c>
      <c r="F362" s="18">
        <f t="shared" si="26"/>
        <v>0</v>
      </c>
      <c r="G362" s="18">
        <f>IF(C362&gt;'Input Data'!$B$23*12,0,D362*B362/12)</f>
        <v>0</v>
      </c>
      <c r="H362" s="18">
        <f t="shared" si="25"/>
        <v>0</v>
      </c>
      <c r="I362" s="18">
        <f t="shared" si="27"/>
        <v>0</v>
      </c>
    </row>
  </sheetData>
  <mergeCells count="10">
    <mergeCell ref="L37:T37"/>
    <mergeCell ref="L38:T38"/>
    <mergeCell ref="L39:T39"/>
    <mergeCell ref="L40:T40"/>
    <mergeCell ref="L41:T41"/>
    <mergeCell ref="L22:Q29"/>
    <mergeCell ref="L33:T33"/>
    <mergeCell ref="L34:T34"/>
    <mergeCell ref="L35:T35"/>
    <mergeCell ref="L36:T3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BFF0E-C795-4DD3-AE67-E967BC619081}">
  <sheetPr>
    <tabColor theme="9"/>
  </sheetPr>
  <dimension ref="B4:M37"/>
  <sheetViews>
    <sheetView workbookViewId="0">
      <selection activeCell="M42" sqref="M42"/>
    </sheetView>
  </sheetViews>
  <sheetFormatPr defaultRowHeight="15" x14ac:dyDescent="0.25"/>
  <cols>
    <col min="2" max="2" width="26.140625" bestFit="1" customWidth="1"/>
    <col min="3" max="3" width="22.5703125" bestFit="1" customWidth="1"/>
    <col min="4" max="4" width="19.42578125" bestFit="1" customWidth="1"/>
    <col min="5" max="5" width="15.5703125" bestFit="1" customWidth="1"/>
    <col min="6" max="6" width="16.28515625" bestFit="1" customWidth="1"/>
    <col min="7" max="7" width="15.5703125" bestFit="1" customWidth="1"/>
    <col min="8" max="8" width="9.140625" customWidth="1"/>
    <col min="9" max="9" width="16" customWidth="1"/>
    <col min="13" max="13" width="15.28515625" bestFit="1" customWidth="1"/>
  </cols>
  <sheetData>
    <row r="4" spans="2:13" x14ac:dyDescent="0.25">
      <c r="C4" t="s">
        <v>94</v>
      </c>
      <c r="D4" t="s">
        <v>53</v>
      </c>
      <c r="E4" t="s">
        <v>54</v>
      </c>
      <c r="F4" t="s">
        <v>55</v>
      </c>
      <c r="G4" t="s">
        <v>56</v>
      </c>
      <c r="I4" t="s">
        <v>144</v>
      </c>
      <c r="M4" t="s">
        <v>143</v>
      </c>
    </row>
    <row r="5" spans="2:13" ht="15.75" x14ac:dyDescent="0.25">
      <c r="B5" s="14" t="s">
        <v>63</v>
      </c>
      <c r="M5" s="8">
        <f>'Input Data'!E17</f>
        <v>6.5000000000000002E-2</v>
      </c>
    </row>
    <row r="6" spans="2:13" x14ac:dyDescent="0.25">
      <c r="B6" t="s">
        <v>61</v>
      </c>
      <c r="C6" s="9">
        <f>'Input Data'!$C$8*12*'Input Data'!$D$3</f>
        <v>1728000</v>
      </c>
      <c r="D6" s="9">
        <f>C6*(1+'Input Data'!$H$8)</f>
        <v>1775520.0000000002</v>
      </c>
      <c r="E6" s="9">
        <f>D6*(1+'Input Data'!$H$8)</f>
        <v>1824346.8000000003</v>
      </c>
      <c r="F6" s="9">
        <f>E6*(1+'Input Data'!$H$8)</f>
        <v>1874516.3370000005</v>
      </c>
      <c r="G6" s="9">
        <f>F6*(1+'Input Data'!$H$8)</f>
        <v>1926065.5362675006</v>
      </c>
      <c r="I6" s="9">
        <f>G6*(1+'Input Data'!$H$8)</f>
        <v>1979032.338514857</v>
      </c>
    </row>
    <row r="7" spans="2:13" x14ac:dyDescent="0.25">
      <c r="B7" t="s">
        <v>58</v>
      </c>
      <c r="C7" s="9">
        <f>-(C6*'Input Data'!$D$8)</f>
        <v>-120960.00000000001</v>
      </c>
      <c r="D7" s="9">
        <f>-(D6*'Input Data'!$D$8)</f>
        <v>-124286.40000000002</v>
      </c>
      <c r="E7" s="9">
        <f>-(E6*'Input Data'!$D$8)</f>
        <v>-127704.27600000003</v>
      </c>
      <c r="F7" s="9">
        <f>-(F6*'Input Data'!$D$8)</f>
        <v>-131216.14359000005</v>
      </c>
      <c r="G7" s="9">
        <f>-(G6*'Input Data'!$D$8)</f>
        <v>-134824.58753872506</v>
      </c>
      <c r="I7" s="9">
        <f>-(I6*'Input Data'!$D$8)</f>
        <v>-138532.26369604</v>
      </c>
      <c r="M7" t="s">
        <v>149</v>
      </c>
    </row>
    <row r="8" spans="2:13" x14ac:dyDescent="0.25">
      <c r="B8" t="s">
        <v>59</v>
      </c>
      <c r="C8" s="9">
        <f>C6+C7</f>
        <v>1607040</v>
      </c>
      <c r="D8" s="9">
        <f t="shared" ref="D8:G8" si="0">D6+D7</f>
        <v>1651233.6</v>
      </c>
      <c r="E8" s="9">
        <f t="shared" si="0"/>
        <v>1696642.5240000002</v>
      </c>
      <c r="F8" s="9">
        <f t="shared" si="0"/>
        <v>1743300.1934100005</v>
      </c>
      <c r="G8" s="9">
        <f t="shared" si="0"/>
        <v>1791240.9487287756</v>
      </c>
      <c r="I8" s="9">
        <f t="shared" ref="I8" si="1">I6+I7</f>
        <v>1840500.074818817</v>
      </c>
      <c r="M8" s="9">
        <f>I25/M5</f>
        <v>17581513.371017281</v>
      </c>
    </row>
    <row r="9" spans="2:13" x14ac:dyDescent="0.25">
      <c r="B9" t="s">
        <v>60</v>
      </c>
      <c r="C9" s="9">
        <f>C6*'Input Data'!$E$8</f>
        <v>51840</v>
      </c>
      <c r="D9" s="9">
        <f>D6*'Input Data'!$E$8</f>
        <v>53265.600000000006</v>
      </c>
      <c r="E9" s="9">
        <f>E6*'Input Data'!$E$8</f>
        <v>54730.40400000001</v>
      </c>
      <c r="F9" s="9">
        <f>F6*'Input Data'!$E$8</f>
        <v>56235.490110000013</v>
      </c>
      <c r="G9" s="9">
        <f>G6*'Input Data'!$E$8</f>
        <v>57781.966088025016</v>
      </c>
      <c r="I9" s="9">
        <f>I6*'Input Data'!$E$8</f>
        <v>59370.970155445706</v>
      </c>
    </row>
    <row r="10" spans="2:13" x14ac:dyDescent="0.25">
      <c r="B10" s="15" t="s">
        <v>62</v>
      </c>
      <c r="C10" s="16">
        <f>C8+C9</f>
        <v>1658880</v>
      </c>
      <c r="D10" s="16">
        <f t="shared" ref="D10:G10" si="2">D8+D9</f>
        <v>1704499.2000000002</v>
      </c>
      <c r="E10" s="16">
        <f t="shared" si="2"/>
        <v>1751372.9280000003</v>
      </c>
      <c r="F10" s="16">
        <f t="shared" si="2"/>
        <v>1799535.6835200004</v>
      </c>
      <c r="G10" s="16">
        <f t="shared" si="2"/>
        <v>1849022.9148168005</v>
      </c>
      <c r="I10" s="16">
        <f t="shared" ref="I10" si="3">I8+I9</f>
        <v>1899871.0449742626</v>
      </c>
    </row>
    <row r="12" spans="2:13" ht="15.75" x14ac:dyDescent="0.25">
      <c r="B12" s="14" t="s">
        <v>64</v>
      </c>
    </row>
    <row r="13" spans="2:13" x14ac:dyDescent="0.25">
      <c r="B13" t="s">
        <v>65</v>
      </c>
      <c r="C13" s="9">
        <f>C10*'Input Data'!$B$12</f>
        <v>99532.800000000003</v>
      </c>
      <c r="D13" s="9">
        <f>D10*'Input Data'!$B$12</f>
        <v>102269.952</v>
      </c>
      <c r="E13" s="9">
        <f>E10*'Input Data'!$B$12</f>
        <v>105082.37568000001</v>
      </c>
      <c r="F13" s="9">
        <f>F10*'Input Data'!$B$12</f>
        <v>107972.14101120002</v>
      </c>
      <c r="G13" s="9">
        <f>G10*'Input Data'!$B$12</f>
        <v>110941.37488900803</v>
      </c>
      <c r="I13" s="9">
        <f>I10*'Input Data'!$B$12</f>
        <v>113992.26269845576</v>
      </c>
    </row>
    <row r="14" spans="2:13" x14ac:dyDescent="0.25">
      <c r="B14" t="s">
        <v>66</v>
      </c>
      <c r="C14" s="9">
        <f>C10*'Input Data'!$C$12</f>
        <v>82944</v>
      </c>
      <c r="D14" s="9">
        <f>D10*'Input Data'!$C$12</f>
        <v>85224.960000000021</v>
      </c>
      <c r="E14" s="9">
        <f>E10*'Input Data'!$C$12</f>
        <v>87568.646400000027</v>
      </c>
      <c r="F14" s="9">
        <f>F10*'Input Data'!$C$12</f>
        <v>89976.78417600003</v>
      </c>
      <c r="G14" s="9">
        <f>G10*'Input Data'!$C$12</f>
        <v>92451.145740840031</v>
      </c>
      <c r="I14" s="9">
        <f>I10*'Input Data'!$C$12</f>
        <v>94993.552248713138</v>
      </c>
    </row>
    <row r="15" spans="2:13" x14ac:dyDescent="0.25">
      <c r="B15" t="s">
        <v>21</v>
      </c>
      <c r="C15" s="9">
        <f>C10*'Input Data'!$D$12</f>
        <v>124416</v>
      </c>
      <c r="D15" s="9">
        <f>D10*'Input Data'!$D$12</f>
        <v>127837.44</v>
      </c>
      <c r="E15" s="9">
        <f>E10*'Input Data'!$D$12</f>
        <v>131352.96960000001</v>
      </c>
      <c r="F15" s="9">
        <f>F10*'Input Data'!$D$12</f>
        <v>134965.17626400004</v>
      </c>
      <c r="G15" s="9">
        <f>G10*'Input Data'!$D$12</f>
        <v>138676.71861126003</v>
      </c>
      <c r="I15" s="9">
        <f>I10*'Input Data'!$D$12</f>
        <v>142490.3283730697</v>
      </c>
    </row>
    <row r="16" spans="2:13" x14ac:dyDescent="0.25">
      <c r="B16" t="s">
        <v>67</v>
      </c>
      <c r="C16" s="9">
        <f>C10*'Input Data'!$E$12</f>
        <v>82944</v>
      </c>
      <c r="D16" s="9">
        <f>D10*'Input Data'!$E$12</f>
        <v>85224.960000000021</v>
      </c>
      <c r="E16" s="9">
        <f>E10*'Input Data'!$E$12</f>
        <v>87568.646400000027</v>
      </c>
      <c r="F16" s="9">
        <f>F10*'Input Data'!$E$12</f>
        <v>89976.78417600003</v>
      </c>
      <c r="G16" s="9">
        <f>G10*'Input Data'!$E$12</f>
        <v>92451.145740840031</v>
      </c>
      <c r="I16" s="9">
        <f>I10*'Input Data'!$E$12</f>
        <v>94993.552248713138</v>
      </c>
    </row>
    <row r="17" spans="2:12" x14ac:dyDescent="0.25">
      <c r="B17" s="15" t="s">
        <v>68</v>
      </c>
      <c r="C17" s="16">
        <f>SUM(C13:C16)</f>
        <v>389836.79999999999</v>
      </c>
      <c r="D17" s="16">
        <f t="shared" ref="D17:G17" si="4">SUM(D13:D16)</f>
        <v>400557.31200000003</v>
      </c>
      <c r="E17" s="16">
        <f t="shared" si="4"/>
        <v>411572.63808000006</v>
      </c>
      <c r="F17" s="16">
        <f t="shared" si="4"/>
        <v>422890.88562720013</v>
      </c>
      <c r="G17" s="16">
        <f t="shared" si="4"/>
        <v>434520.38498194807</v>
      </c>
      <c r="I17" s="16">
        <f t="shared" ref="I17" si="5">SUM(I13:I16)</f>
        <v>446469.69556895172</v>
      </c>
      <c r="L17" t="s">
        <v>96</v>
      </c>
    </row>
    <row r="18" spans="2:12" x14ac:dyDescent="0.25">
      <c r="L18" s="2">
        <v>2.5000000000000001E-2</v>
      </c>
    </row>
    <row r="19" spans="2:12" x14ac:dyDescent="0.25">
      <c r="B19" t="s">
        <v>69</v>
      </c>
      <c r="C19" s="9">
        <f>'Input Data'!$H$12*'Input Data'!$D$3</f>
        <v>40800</v>
      </c>
      <c r="D19" s="9">
        <f t="shared" ref="D19:G20" si="6">C19*(1+$L$18)</f>
        <v>41820</v>
      </c>
      <c r="E19" s="9">
        <f t="shared" si="6"/>
        <v>42865.499999999993</v>
      </c>
      <c r="F19" s="9">
        <f t="shared" si="6"/>
        <v>43937.13749999999</v>
      </c>
      <c r="G19" s="9">
        <f t="shared" si="6"/>
        <v>45035.565937499989</v>
      </c>
      <c r="I19" s="9">
        <f>G19*(1+$L$18)</f>
        <v>46161.455085937487</v>
      </c>
    </row>
    <row r="20" spans="2:12" x14ac:dyDescent="0.25">
      <c r="B20" t="s">
        <v>70</v>
      </c>
      <c r="C20" s="9">
        <f>'Input Data'!$I$12*'Input Data'!$D$3</f>
        <v>28800</v>
      </c>
      <c r="D20" s="9">
        <f t="shared" si="6"/>
        <v>29519.999999999996</v>
      </c>
      <c r="E20" s="9">
        <f t="shared" si="6"/>
        <v>30257.999999999993</v>
      </c>
      <c r="F20" s="9">
        <f t="shared" si="6"/>
        <v>31014.44999999999</v>
      </c>
      <c r="G20" s="9">
        <f t="shared" si="6"/>
        <v>31789.811249999988</v>
      </c>
      <c r="I20" s="9">
        <f>G20*(1+$L$18)</f>
        <v>32584.556531249986</v>
      </c>
    </row>
    <row r="21" spans="2:12" x14ac:dyDescent="0.25">
      <c r="B21" s="15" t="s">
        <v>71</v>
      </c>
      <c r="C21" s="16">
        <f>SUM(C19:C20)</f>
        <v>69600</v>
      </c>
      <c r="D21" s="16">
        <f t="shared" ref="D21:G21" si="7">SUM(D19:D20)</f>
        <v>71340</v>
      </c>
      <c r="E21" s="16">
        <f t="shared" si="7"/>
        <v>73123.499999999985</v>
      </c>
      <c r="F21" s="16">
        <f t="shared" si="7"/>
        <v>74951.58749999998</v>
      </c>
      <c r="G21" s="16">
        <f t="shared" si="7"/>
        <v>76825.37718749998</v>
      </c>
      <c r="I21" s="16">
        <f t="shared" ref="I21" si="8">SUM(I19:I20)</f>
        <v>78746.011617187469</v>
      </c>
      <c r="L21" t="s">
        <v>98</v>
      </c>
    </row>
    <row r="22" spans="2:12" x14ac:dyDescent="0.25">
      <c r="L22" s="1">
        <v>0.02</v>
      </c>
    </row>
    <row r="23" spans="2:12" ht="15.75" x14ac:dyDescent="0.25">
      <c r="B23" s="14" t="s">
        <v>72</v>
      </c>
      <c r="C23" s="9">
        <f>'Input Data'!$F$12*'Input Data'!$B$17</f>
        <v>210000</v>
      </c>
      <c r="D23" s="9">
        <f>C23*(1+$L$22)</f>
        <v>214200</v>
      </c>
      <c r="E23" s="9">
        <f>D23*(1+$L$22)</f>
        <v>218484</v>
      </c>
      <c r="F23" s="9">
        <f>E23*(1+$L$22)</f>
        <v>222853.68</v>
      </c>
      <c r="G23" s="9">
        <f>F23*(1+$L$22)</f>
        <v>227310.7536</v>
      </c>
      <c r="I23" s="9">
        <f>G23*(1+$L$22)</f>
        <v>231856.96867199999</v>
      </c>
    </row>
    <row r="25" spans="2:12" x14ac:dyDescent="0.25">
      <c r="B25" t="s">
        <v>84</v>
      </c>
      <c r="C25" s="9">
        <f>C10-C17-C21-C23</f>
        <v>989443.2</v>
      </c>
      <c r="D25" s="9">
        <f t="shared" ref="D25:G25" si="9">D10-D17-D21-D23</f>
        <v>1018401.8880000003</v>
      </c>
      <c r="E25" s="9">
        <f t="shared" si="9"/>
        <v>1048192.7899200004</v>
      </c>
      <c r="F25" s="9">
        <f t="shared" si="9"/>
        <v>1078839.5303928005</v>
      </c>
      <c r="G25" s="9">
        <f t="shared" si="9"/>
        <v>1110366.3990473526</v>
      </c>
      <c r="I25" s="9">
        <f>I10-I17-I21-I23</f>
        <v>1142798.3691161233</v>
      </c>
    </row>
    <row r="27" spans="2:12" x14ac:dyDescent="0.25">
      <c r="B27" t="s">
        <v>92</v>
      </c>
      <c r="C27" s="7">
        <f>SUM('Debt calculations'!E3:E14)</f>
        <v>805429.45034883113</v>
      </c>
      <c r="D27" s="7">
        <f>SUM('Debt calculations'!E15:E26)</f>
        <v>805429.45034883113</v>
      </c>
      <c r="E27" s="7">
        <f>SUM('Debt calculations'!E27:E38)</f>
        <v>791256.62385593972</v>
      </c>
      <c r="F27" s="7">
        <f>SUM('Debt calculations'!E39:E50)</f>
        <v>781133.17636101728</v>
      </c>
      <c r="G27" s="7">
        <f>SUM('Debt calculations'!E51:E62)</f>
        <v>781133.17636101728</v>
      </c>
      <c r="I27" s="7">
        <f>SUM('Debt calculations'!F51:F62)</f>
        <v>109748761.51880543</v>
      </c>
    </row>
    <row r="29" spans="2:12" x14ac:dyDescent="0.25">
      <c r="B29" t="s">
        <v>80</v>
      </c>
      <c r="C29" s="9">
        <f>'Input Data'!C27*'Input Data'!B17</f>
        <v>10920000</v>
      </c>
      <c r="D29" s="9"/>
      <c r="E29" s="9"/>
      <c r="F29" s="9"/>
      <c r="G29" s="9"/>
    </row>
    <row r="30" spans="2:12" x14ac:dyDescent="0.25">
      <c r="B30" t="s">
        <v>95</v>
      </c>
      <c r="C30" s="25">
        <f>C25/C27</f>
        <v>1.228466626805703</v>
      </c>
      <c r="D30" s="25">
        <f>D25/D27</f>
        <v>1.2644209713947396</v>
      </c>
      <c r="E30" s="25">
        <f t="shared" ref="E30:G30" si="10">E25/E27</f>
        <v>1.3247191344976845</v>
      </c>
      <c r="F30" s="25">
        <f t="shared" si="10"/>
        <v>1.3811211238251029</v>
      </c>
      <c r="G30" s="25">
        <f t="shared" si="10"/>
        <v>1.4214815509694512</v>
      </c>
    </row>
    <row r="31" spans="2:12" x14ac:dyDescent="0.25">
      <c r="B31" t="s">
        <v>146</v>
      </c>
      <c r="C31" s="8">
        <f>C25/'Input Data'!$B$17</f>
        <v>5.8895428571428571E-2</v>
      </c>
      <c r="D31" s="8">
        <f>D25/'Input Data'!$B$17</f>
        <v>6.0619160000000019E-2</v>
      </c>
      <c r="E31" s="8">
        <f>E25/'Input Data'!$B$17</f>
        <v>6.2392427971428591E-2</v>
      </c>
      <c r="F31" s="8">
        <f>F25/'Input Data'!$B$17</f>
        <v>6.4216638713857174E-2</v>
      </c>
      <c r="G31" s="8">
        <f>G25/'Input Data'!$B$17</f>
        <v>6.6093238038532898E-2</v>
      </c>
    </row>
    <row r="35" spans="2:4" x14ac:dyDescent="0.25">
      <c r="B35" s="30" t="str">
        <f>'Input Data'!B25</f>
        <v>Limits On Loan</v>
      </c>
    </row>
    <row r="36" spans="2:4" x14ac:dyDescent="0.25">
      <c r="B36" s="39" t="str">
        <f>'Input Data'!B26</f>
        <v>Minimum DSCR</v>
      </c>
      <c r="C36" s="40" t="str">
        <f>'Input Data'!C26</f>
        <v>Maximum LTV</v>
      </c>
      <c r="D36" s="41" t="str">
        <f>'Input Data'!D26</f>
        <v>Minimum Debt Yield</v>
      </c>
    </row>
    <row r="37" spans="2:4" x14ac:dyDescent="0.25">
      <c r="B37" s="56">
        <f>'Input Data'!B27</f>
        <v>1.25</v>
      </c>
      <c r="C37" s="49">
        <f>'Input Data'!C27</f>
        <v>0.65</v>
      </c>
      <c r="D37" s="51">
        <f>'Input Data'!D27</f>
        <v>8.7499999999999994E-2</v>
      </c>
    </row>
  </sheetData>
  <conditionalFormatting sqref="C29:G29">
    <cfRule type="cellIs" dxfId="25" priority="7" operator="lessThan">
      <formula>$D$3</formula>
    </cfRule>
    <cfRule type="cellIs" dxfId="24" priority="8" operator="greaterThan">
      <formula>$D$3</formula>
    </cfRule>
  </conditionalFormatting>
  <pageMargins left="0.7" right="0.7" top="0.75" bottom="0.75" header="0.3" footer="0.3"/>
  <ignoredErrors>
    <ignoredError sqref="C9:G9" formula="1"/>
  </ignoredErrors>
  <extLst>
    <ext xmlns:x14="http://schemas.microsoft.com/office/spreadsheetml/2009/9/main" uri="{78C0D931-6437-407d-A8EE-F0AAD7539E65}">
      <x14:conditionalFormattings>
        <x14:conditionalFormatting xmlns:xm="http://schemas.microsoft.com/office/excel/2006/main">
          <x14:cfRule type="cellIs" priority="11" operator="lessThan" id="{D1B933BD-E0E3-4756-AA34-52A3EED67F08}">
            <xm:f>'Input Data'!$B$27</xm:f>
            <x14:dxf>
              <font>
                <color rgb="FF9C0006"/>
              </font>
              <fill>
                <patternFill>
                  <bgColor rgb="FFFFC7CE"/>
                </patternFill>
              </fill>
            </x14:dxf>
          </x14:cfRule>
          <x14:cfRule type="cellIs" priority="12" operator="greaterThan" id="{3AB5B539-6DBC-4A05-865D-7B7B2A93C17A}">
            <xm:f>'Input Data'!$B$27</xm:f>
            <x14:dxf>
              <font>
                <color rgb="FF006100"/>
              </font>
              <fill>
                <patternFill>
                  <bgColor rgb="FFC6EFCE"/>
                </patternFill>
              </fill>
            </x14:dxf>
          </x14:cfRule>
          <xm:sqref>C30:G30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15C8D-1596-4032-AAB1-2BE7E2372F9A}">
  <sheetPr>
    <tabColor theme="9"/>
  </sheetPr>
  <dimension ref="C2:D26"/>
  <sheetViews>
    <sheetView workbookViewId="0">
      <selection activeCell="G48" sqref="G48"/>
    </sheetView>
  </sheetViews>
  <sheetFormatPr defaultRowHeight="15" x14ac:dyDescent="0.25"/>
  <cols>
    <col min="3" max="3" width="46" bestFit="1" customWidth="1"/>
    <col min="4" max="4" width="20.7109375" bestFit="1" customWidth="1"/>
  </cols>
  <sheetData>
    <row r="2" spans="3:4" ht="18.75" x14ac:dyDescent="0.3">
      <c r="C2" s="17" t="s">
        <v>76</v>
      </c>
    </row>
    <row r="3" spans="3:4" x14ac:dyDescent="0.25">
      <c r="C3" t="s">
        <v>85</v>
      </c>
      <c r="D3" s="9">
        <f>'Input Data'!B17*(1-'Input Data'!C17)</f>
        <v>10080000</v>
      </c>
    </row>
    <row r="4" spans="3:4" x14ac:dyDescent="0.25">
      <c r="C4" t="s">
        <v>78</v>
      </c>
      <c r="D4" s="7">
        <f>'Debt calculations'!E3</f>
        <v>67119.120862402575</v>
      </c>
    </row>
    <row r="5" spans="3:4" x14ac:dyDescent="0.25">
      <c r="C5" t="s">
        <v>83</v>
      </c>
      <c r="D5" s="9">
        <f>D4*12</f>
        <v>805429.4503488309</v>
      </c>
    </row>
    <row r="6" spans="3:4" x14ac:dyDescent="0.25">
      <c r="C6" t="s">
        <v>77</v>
      </c>
      <c r="D6" s="7">
        <f>'Debt calculations'!M10</f>
        <v>2204814.5417961222</v>
      </c>
    </row>
    <row r="10" spans="3:4" ht="15.75" x14ac:dyDescent="0.25">
      <c r="C10" s="14" t="s">
        <v>81</v>
      </c>
    </row>
    <row r="11" spans="3:4" x14ac:dyDescent="0.25">
      <c r="C11" t="s">
        <v>82</v>
      </c>
      <c r="D11" s="9">
        <f>'Property Pro Forma Financials'!C6</f>
        <v>1728000</v>
      </c>
    </row>
    <row r="12" spans="3:4" x14ac:dyDescent="0.25">
      <c r="C12" t="s">
        <v>84</v>
      </c>
      <c r="D12" s="9">
        <f>'Property Pro Forma Financials'!C25</f>
        <v>989443.2</v>
      </c>
    </row>
    <row r="21" spans="3:4" x14ac:dyDescent="0.25">
      <c r="C21" t="s">
        <v>89</v>
      </c>
      <c r="D21" s="20">
        <f>SUM('Debt calculations'!G3:G14)*(1-'Input Data'!K12)+SUM('Debt calculations'!H3:H14)</f>
        <v>665689.46796163206</v>
      </c>
    </row>
    <row r="23" spans="3:4" x14ac:dyDescent="0.25">
      <c r="C23" t="s">
        <v>80</v>
      </c>
      <c r="D23" s="9">
        <f>'Input Data'!C27*'Input Data'!B17</f>
        <v>10920000</v>
      </c>
    </row>
    <row r="24" spans="3:4" x14ac:dyDescent="0.25">
      <c r="C24" t="s">
        <v>33</v>
      </c>
      <c r="D24" s="25">
        <f>D12/D21</f>
        <v>1.4863434793849373</v>
      </c>
    </row>
    <row r="25" spans="3:4" x14ac:dyDescent="0.25">
      <c r="C25" t="s">
        <v>34</v>
      </c>
      <c r="D25" s="25">
        <f>D3/'Input Data'!J3</f>
        <v>0.6</v>
      </c>
    </row>
    <row r="26" spans="3:4" x14ac:dyDescent="0.25">
      <c r="C26" t="s">
        <v>35</v>
      </c>
      <c r="D26" s="8">
        <f>D12/D3</f>
        <v>9.8159047619047618E-2</v>
      </c>
    </row>
  </sheetData>
  <conditionalFormatting sqref="D23">
    <cfRule type="cellIs" dxfId="21" priority="7" operator="lessThan">
      <formula>$D$3</formula>
    </cfRule>
    <cfRule type="cellIs" dxfId="20" priority="8" operator="greaterThan">
      <formula>$D$3</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ellIs" priority="13" operator="lessThan" id="{7A678CBC-E456-460D-9797-D122DA22ACED}">
            <xm:f>'Input Data'!$B$27</xm:f>
            <x14:dxf>
              <font>
                <color rgb="FF9C0006"/>
              </font>
              <fill>
                <patternFill>
                  <bgColor rgb="FFFFC7CE"/>
                </patternFill>
              </fill>
            </x14:dxf>
          </x14:cfRule>
          <x14:cfRule type="cellIs" priority="14" operator="greaterThan" id="{035CF8FC-71D1-4893-828D-DE60CA214A42}">
            <xm:f>'Input Data'!$B$27</xm:f>
            <x14:dxf>
              <font>
                <color rgb="FF006100"/>
              </font>
              <fill>
                <patternFill>
                  <bgColor rgb="FFC6EFCE"/>
                </patternFill>
              </fill>
            </x14:dxf>
          </x14:cfRule>
          <xm:sqref>D24</xm:sqref>
        </x14:conditionalFormatting>
        <x14:conditionalFormatting xmlns:xm="http://schemas.microsoft.com/office/excel/2006/main">
          <x14:cfRule type="cellIs" priority="15" operator="lessThan" id="{79DEDD14-2A60-40F4-A86B-20B64241D118}">
            <xm:f>'Input Data'!$C$27</xm:f>
            <x14:dxf>
              <font>
                <color rgb="FF006100"/>
              </font>
              <fill>
                <patternFill>
                  <bgColor rgb="FFC6EFCE"/>
                </patternFill>
              </fill>
            </x14:dxf>
          </x14:cfRule>
          <x14:cfRule type="cellIs" priority="16" operator="greaterThan" id="{BBA2AB04-CCCF-43A1-BC48-163DDF61F064}">
            <xm:f>'Input Data'!$C$27</xm:f>
            <x14:dxf>
              <font>
                <color rgb="FF9C0006"/>
              </font>
              <fill>
                <patternFill>
                  <bgColor rgb="FFFFC7CE"/>
                </patternFill>
              </fill>
            </x14:dxf>
          </x14:cfRule>
          <xm:sqref>D25</xm:sqref>
        </x14:conditionalFormatting>
        <x14:conditionalFormatting xmlns:xm="http://schemas.microsoft.com/office/excel/2006/main">
          <x14:cfRule type="cellIs" priority="17" operator="lessThan" id="{863C72BF-2B2B-47A7-B50D-B5E37C24B48E}">
            <xm:f>'Input Data'!$D$27</xm:f>
            <x14:dxf>
              <font>
                <color rgb="FF9C0006"/>
              </font>
              <fill>
                <patternFill>
                  <bgColor rgb="FFFFC7CE"/>
                </patternFill>
              </fill>
            </x14:dxf>
          </x14:cfRule>
          <x14:cfRule type="cellIs" priority="18" operator="greaterThan" id="{ED57365E-E881-4852-9E40-D00E3F82B1FA}">
            <xm:f>'Input Data'!$D$27</xm:f>
            <x14:dxf>
              <font>
                <color rgb="FF006100"/>
              </font>
              <fill>
                <patternFill>
                  <bgColor rgb="FFC6EFCE"/>
                </patternFill>
              </fill>
            </x14:dxf>
          </x14:cfRule>
          <xm:sqref>D26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459CA-6A17-42B2-A185-31C50B579034}">
  <sheetPr>
    <tabColor rgb="FFFF0000"/>
  </sheetPr>
  <dimension ref="A1:AG68"/>
  <sheetViews>
    <sheetView showGridLines="0" zoomScaleNormal="100" workbookViewId="0">
      <selection activeCell="D18" sqref="D18"/>
    </sheetView>
  </sheetViews>
  <sheetFormatPr defaultColWidth="9.28515625" defaultRowHeight="15" x14ac:dyDescent="0.25"/>
  <cols>
    <col min="1" max="1" width="43.85546875" customWidth="1"/>
    <col min="2" max="2" width="37.28515625" bestFit="1" customWidth="1"/>
    <col min="3" max="3" width="23.42578125" bestFit="1" customWidth="1"/>
    <col min="4" max="4" width="20.5703125" bestFit="1" customWidth="1"/>
    <col min="5" max="5" width="19.42578125" bestFit="1" customWidth="1"/>
    <col min="6" max="6" width="18.7109375" customWidth="1"/>
    <col min="7" max="7" width="18.28515625" customWidth="1"/>
    <col min="8" max="8" width="18.42578125" bestFit="1" customWidth="1"/>
    <col min="9" max="9" width="16.85546875" bestFit="1" customWidth="1"/>
    <col min="10" max="10" width="15.28515625" customWidth="1"/>
    <col min="11" max="11" width="8.42578125" bestFit="1" customWidth="1"/>
    <col min="13" max="13" width="34.5703125" customWidth="1"/>
    <col min="14" max="14" width="20" bestFit="1" customWidth="1"/>
    <col min="15" max="15" width="9.5703125" customWidth="1"/>
    <col min="17" max="17" width="39.7109375" bestFit="1" customWidth="1"/>
    <col min="18" max="18" width="15.7109375" bestFit="1" customWidth="1"/>
    <col min="19" max="19" width="2.42578125" hidden="1" customWidth="1"/>
    <col min="20" max="20" width="0.85546875" hidden="1" customWidth="1"/>
    <col min="21" max="21" width="39.7109375" bestFit="1" customWidth="1"/>
    <col min="22" max="22" width="13.85546875" bestFit="1" customWidth="1"/>
  </cols>
  <sheetData>
    <row r="1" spans="1:33" ht="36" x14ac:dyDescent="0.55000000000000004">
      <c r="A1" s="108" t="s">
        <v>100</v>
      </c>
      <c r="B1" s="118" t="s">
        <v>12</v>
      </c>
      <c r="C1" s="118"/>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row>
    <row r="2" spans="1:33" ht="15.75" customHeight="1" x14ac:dyDescent="0.25">
      <c r="A2" s="186" t="s">
        <v>102</v>
      </c>
      <c r="B2" s="3" t="s">
        <v>0</v>
      </c>
      <c r="C2" s="3" t="s">
        <v>1</v>
      </c>
      <c r="D2" s="3" t="s">
        <v>2</v>
      </c>
      <c r="E2" s="3" t="s">
        <v>3</v>
      </c>
      <c r="F2" s="3" t="s">
        <v>4</v>
      </c>
      <c r="G2" s="11" t="s">
        <v>5</v>
      </c>
      <c r="H2" s="12"/>
      <c r="I2" s="3" t="s">
        <v>6</v>
      </c>
      <c r="J2" s="11" t="s">
        <v>90</v>
      </c>
      <c r="K2" s="12"/>
      <c r="L2" s="107"/>
      <c r="M2" s="189" t="s">
        <v>57</v>
      </c>
      <c r="N2" s="189"/>
      <c r="O2" s="107"/>
      <c r="P2" s="107"/>
      <c r="Q2" s="107"/>
      <c r="R2" s="107"/>
      <c r="S2" s="107"/>
      <c r="T2" s="107"/>
      <c r="U2" s="107"/>
      <c r="V2" s="107"/>
      <c r="W2" s="107"/>
      <c r="X2" s="107"/>
      <c r="Y2" s="107"/>
      <c r="Z2" s="107"/>
      <c r="AA2" s="107"/>
      <c r="AB2" s="107"/>
      <c r="AC2" s="107"/>
      <c r="AD2" s="107"/>
      <c r="AE2" s="107"/>
      <c r="AF2" s="107"/>
      <c r="AG2" s="107"/>
    </row>
    <row r="3" spans="1:33" x14ac:dyDescent="0.25">
      <c r="A3" s="186"/>
      <c r="B3" s="4" t="str">
        <f>'Input Data'!B3</f>
        <v>Test Property 1</v>
      </c>
      <c r="C3" s="4" t="str">
        <f>'Input Data'!C3</f>
        <v>Garden Style Multifamily</v>
      </c>
      <c r="D3" s="4">
        <f>'Input Data'!D3</f>
        <v>96</v>
      </c>
      <c r="E3" s="4">
        <f>'Input Data'!E3</f>
        <v>1998</v>
      </c>
      <c r="F3" s="4">
        <f>'Input Data'!F3</f>
        <v>0.93</v>
      </c>
      <c r="G3" s="6" t="str">
        <f>'Input Data'!G3</f>
        <v>Secondary metro, growing pop</v>
      </c>
      <c r="H3" s="13"/>
      <c r="I3" s="6" t="str">
        <f>'Input Data'!I3</f>
        <v>900 Sq Ft</v>
      </c>
      <c r="J3" s="26">
        <f>'Input Data'!J3</f>
        <v>16800000</v>
      </c>
      <c r="K3" s="46"/>
      <c r="L3" s="107"/>
      <c r="M3" s="187" t="s">
        <v>75</v>
      </c>
      <c r="N3" s="188"/>
      <c r="O3" s="107"/>
      <c r="P3" s="107"/>
      <c r="Q3" s="107"/>
      <c r="R3" s="107"/>
      <c r="S3" s="107"/>
      <c r="T3" s="107"/>
      <c r="U3" s="107"/>
      <c r="V3" s="107"/>
      <c r="W3" s="107"/>
      <c r="X3" s="107"/>
      <c r="Y3" s="107"/>
      <c r="Z3" s="107"/>
      <c r="AA3" s="107"/>
      <c r="AB3" s="107"/>
      <c r="AC3" s="107"/>
      <c r="AD3" s="107"/>
      <c r="AE3" s="107"/>
      <c r="AF3" s="107"/>
      <c r="AG3" s="107"/>
    </row>
    <row r="4" spans="1:33" x14ac:dyDescent="0.25">
      <c r="A4" s="186"/>
      <c r="B4" s="107"/>
      <c r="C4" s="107"/>
      <c r="D4" s="107"/>
      <c r="E4" s="107"/>
      <c r="F4" s="107"/>
      <c r="G4" s="107"/>
      <c r="H4" s="107"/>
      <c r="I4" s="107"/>
      <c r="J4" s="107"/>
      <c r="K4" s="107"/>
      <c r="L4" s="107"/>
      <c r="M4" s="48" t="s">
        <v>153</v>
      </c>
      <c r="N4" s="48">
        <f>'Input Data'!N4</f>
        <v>22</v>
      </c>
      <c r="O4" s="107"/>
      <c r="P4" s="107"/>
      <c r="Q4" s="107"/>
      <c r="R4" s="107"/>
      <c r="S4" s="107"/>
      <c r="T4" s="107"/>
      <c r="U4" s="107"/>
      <c r="V4" s="107"/>
      <c r="W4" s="107"/>
      <c r="X4" s="107"/>
      <c r="Y4" s="107"/>
      <c r="Z4" s="107"/>
      <c r="AA4" s="107"/>
      <c r="AB4" s="107"/>
      <c r="AC4" s="107"/>
      <c r="AD4" s="107"/>
      <c r="AE4" s="107"/>
      <c r="AF4" s="107"/>
      <c r="AG4" s="107"/>
    </row>
    <row r="5" spans="1:33" x14ac:dyDescent="0.25">
      <c r="A5" s="186"/>
      <c r="B5" s="107"/>
      <c r="C5" s="107"/>
      <c r="D5" s="107"/>
      <c r="E5" s="107"/>
      <c r="F5" s="107"/>
      <c r="G5" s="107"/>
      <c r="H5" s="107"/>
      <c r="I5" s="107"/>
      <c r="J5" s="107"/>
      <c r="K5" s="107"/>
      <c r="L5" s="107"/>
      <c r="M5" s="48" t="s">
        <v>154</v>
      </c>
      <c r="N5" s="48">
        <f>'Input Data'!N5</f>
        <v>25</v>
      </c>
      <c r="O5" s="107"/>
      <c r="P5" s="107"/>
      <c r="Q5" s="107"/>
      <c r="R5" s="107"/>
      <c r="S5" s="107"/>
      <c r="T5" s="107"/>
      <c r="U5" s="107"/>
      <c r="V5" s="107"/>
      <c r="W5" s="107"/>
      <c r="X5" s="107"/>
      <c r="Y5" s="107"/>
      <c r="Z5" s="107"/>
      <c r="AA5" s="107"/>
      <c r="AB5" s="107"/>
      <c r="AC5" s="107"/>
      <c r="AD5" s="107"/>
      <c r="AE5" s="107"/>
      <c r="AF5" s="107"/>
      <c r="AG5" s="107"/>
    </row>
    <row r="6" spans="1:33" ht="23.25" x14ac:dyDescent="0.35">
      <c r="A6" s="186"/>
      <c r="B6" s="123" t="s">
        <v>11</v>
      </c>
      <c r="C6" s="123"/>
      <c r="D6" s="107"/>
      <c r="E6" s="107"/>
      <c r="F6" s="107"/>
      <c r="G6" s="107"/>
      <c r="H6" s="107"/>
      <c r="I6" s="107"/>
      <c r="J6" s="107"/>
      <c r="K6" s="107"/>
      <c r="L6" s="107"/>
      <c r="M6" s="107"/>
      <c r="N6" s="107"/>
      <c r="O6" s="107"/>
      <c r="P6" s="107"/>
      <c r="Q6" s="107"/>
      <c r="R6" s="107"/>
      <c r="S6" s="107"/>
      <c r="T6" s="107"/>
      <c r="U6" s="107"/>
      <c r="V6" s="107"/>
      <c r="W6" s="107"/>
      <c r="X6" s="107"/>
      <c r="Y6" s="107"/>
      <c r="Z6" s="107"/>
      <c r="AA6" s="107"/>
      <c r="AB6" s="107"/>
      <c r="AC6" s="107"/>
      <c r="AD6" s="107"/>
      <c r="AE6" s="107"/>
      <c r="AF6" s="107"/>
      <c r="AG6" s="107"/>
    </row>
    <row r="7" spans="1:33" x14ac:dyDescent="0.25">
      <c r="A7" s="186"/>
      <c r="B7" s="11" t="s">
        <v>13</v>
      </c>
      <c r="C7" s="11" t="s">
        <v>14</v>
      </c>
      <c r="D7" s="3" t="s">
        <v>15</v>
      </c>
      <c r="E7" s="11" t="s">
        <v>17</v>
      </c>
      <c r="F7" s="42"/>
      <c r="G7" s="12"/>
      <c r="H7" s="12" t="s">
        <v>16</v>
      </c>
      <c r="I7" s="107"/>
      <c r="J7" s="107"/>
      <c r="K7" s="107"/>
      <c r="L7" s="107"/>
      <c r="M7" s="107"/>
      <c r="N7" s="107"/>
      <c r="O7" s="107"/>
      <c r="P7" s="107"/>
      <c r="Q7" s="107"/>
      <c r="R7" s="107"/>
      <c r="S7" s="107"/>
      <c r="T7" s="107"/>
      <c r="U7" s="107"/>
      <c r="V7" s="107"/>
      <c r="W7" s="107"/>
      <c r="X7" s="107"/>
      <c r="Y7" s="107"/>
      <c r="Z7" s="107"/>
      <c r="AA7" s="107"/>
      <c r="AB7" s="107"/>
      <c r="AC7" s="107"/>
      <c r="AD7" s="107"/>
      <c r="AE7" s="107"/>
      <c r="AF7" s="107"/>
      <c r="AG7" s="107"/>
    </row>
    <row r="8" spans="1:33" x14ac:dyDescent="0.25">
      <c r="A8" s="107"/>
      <c r="B8" s="59">
        <f>'Input Data'!B8</f>
        <v>1425</v>
      </c>
      <c r="C8" s="59">
        <f>'Input Data'!C8</f>
        <v>1500</v>
      </c>
      <c r="D8" s="58">
        <f>'Input Data'!D8</f>
        <v>7.0000000000000007E-2</v>
      </c>
      <c r="E8" s="57">
        <f>'Input Data'!E8</f>
        <v>0.03</v>
      </c>
      <c r="F8" s="60"/>
      <c r="G8" s="61"/>
      <c r="H8" s="43">
        <f>'Input Data'!H8</f>
        <v>2.75E-2</v>
      </c>
      <c r="I8" s="107"/>
      <c r="J8" s="107"/>
      <c r="K8" s="107"/>
      <c r="L8" s="107"/>
      <c r="M8" s="107"/>
      <c r="N8" s="107"/>
      <c r="O8" s="107"/>
      <c r="P8" s="107"/>
      <c r="Q8" s="107"/>
      <c r="R8" s="107"/>
      <c r="S8" s="107"/>
      <c r="T8" s="107"/>
      <c r="U8" s="107"/>
      <c r="V8" s="107"/>
      <c r="W8" s="107"/>
      <c r="X8" s="107"/>
      <c r="Y8" s="107"/>
      <c r="Z8" s="107"/>
      <c r="AA8" s="107"/>
      <c r="AB8" s="107"/>
      <c r="AC8" s="107"/>
      <c r="AD8" s="107"/>
      <c r="AE8" s="107"/>
      <c r="AF8" s="107"/>
      <c r="AG8" s="107"/>
    </row>
    <row r="9" spans="1:33" x14ac:dyDescent="0.25">
      <c r="A9" s="107"/>
      <c r="B9" s="107"/>
      <c r="C9" s="107"/>
      <c r="D9" s="107"/>
      <c r="E9" s="107"/>
      <c r="F9" s="107"/>
      <c r="G9" s="107"/>
      <c r="H9" s="107"/>
      <c r="I9" s="107"/>
      <c r="J9" s="107"/>
      <c r="K9" s="107"/>
      <c r="L9" s="107"/>
      <c r="M9" s="107"/>
      <c r="N9" s="107"/>
      <c r="O9" s="107"/>
      <c r="P9" s="107"/>
      <c r="Q9" s="107"/>
      <c r="R9" s="107"/>
      <c r="S9" s="107"/>
      <c r="T9" s="107"/>
      <c r="U9" s="107"/>
      <c r="V9" s="107"/>
      <c r="W9" s="107"/>
      <c r="X9" s="107"/>
      <c r="Y9" s="107"/>
      <c r="Z9" s="107"/>
      <c r="AA9" s="107"/>
      <c r="AB9" s="107"/>
      <c r="AC9" s="107"/>
      <c r="AD9" s="107"/>
      <c r="AE9" s="107"/>
      <c r="AF9" s="107"/>
      <c r="AG9" s="107"/>
    </row>
    <row r="10" spans="1:33" ht="23.25" x14ac:dyDescent="0.35">
      <c r="A10" s="107"/>
      <c r="B10" s="123" t="s">
        <v>18</v>
      </c>
      <c r="C10" s="123"/>
      <c r="D10" s="107" t="s">
        <v>25</v>
      </c>
      <c r="E10" s="107"/>
      <c r="F10" s="107"/>
      <c r="G10" s="107"/>
      <c r="H10" s="107" t="s">
        <v>27</v>
      </c>
      <c r="I10" s="107"/>
      <c r="J10" s="107"/>
      <c r="K10" s="107"/>
      <c r="L10" s="107"/>
      <c r="M10" s="107"/>
      <c r="N10" s="107"/>
      <c r="O10" s="107"/>
      <c r="P10" s="107"/>
      <c r="Q10" s="107"/>
      <c r="R10" s="107"/>
      <c r="S10" s="107"/>
      <c r="T10" s="107"/>
      <c r="U10" s="107"/>
      <c r="V10" s="107"/>
      <c r="W10" s="107"/>
      <c r="X10" s="107"/>
      <c r="Y10" s="107"/>
      <c r="Z10" s="107"/>
      <c r="AA10" s="107"/>
      <c r="AB10" s="107"/>
      <c r="AC10" s="107"/>
      <c r="AD10" s="107"/>
      <c r="AE10" s="107"/>
      <c r="AF10" s="107"/>
      <c r="AG10" s="107"/>
    </row>
    <row r="11" spans="1:33" x14ac:dyDescent="0.25">
      <c r="A11" s="107"/>
      <c r="B11" s="11" t="s">
        <v>19</v>
      </c>
      <c r="C11" s="3" t="s">
        <v>20</v>
      </c>
      <c r="D11" s="3" t="s">
        <v>21</v>
      </c>
      <c r="E11" s="3" t="s">
        <v>22</v>
      </c>
      <c r="F11" s="11" t="s">
        <v>26</v>
      </c>
      <c r="G11" s="12"/>
      <c r="H11" s="12" t="s">
        <v>23</v>
      </c>
      <c r="I11" s="11" t="s">
        <v>24</v>
      </c>
      <c r="J11" s="12"/>
      <c r="K11" s="3" t="s">
        <v>88</v>
      </c>
      <c r="L11" s="107"/>
      <c r="M11" s="107"/>
      <c r="N11" s="107"/>
      <c r="O11" s="107"/>
      <c r="P11" s="107"/>
      <c r="Q11" s="107"/>
      <c r="R11" s="107"/>
      <c r="S11" s="107"/>
      <c r="T11" s="107"/>
      <c r="U11" s="107"/>
      <c r="V11" s="107"/>
      <c r="W11" s="107"/>
      <c r="X11" s="107"/>
      <c r="Y11" s="107"/>
      <c r="Z11" s="107"/>
      <c r="AA11" s="107"/>
      <c r="AB11" s="107"/>
      <c r="AC11" s="107"/>
      <c r="AD11" s="107"/>
      <c r="AE11" s="107"/>
      <c r="AF11" s="107"/>
      <c r="AG11" s="107"/>
    </row>
    <row r="12" spans="1:33" x14ac:dyDescent="0.25">
      <c r="A12" s="107"/>
      <c r="B12" s="43">
        <f>'Input Data'!B12</f>
        <v>0.06</v>
      </c>
      <c r="C12" s="43">
        <f>'Input Data'!C12</f>
        <v>0.05</v>
      </c>
      <c r="D12" s="43">
        <f>'Input Data'!D12</f>
        <v>7.4999999999999997E-2</v>
      </c>
      <c r="E12" s="43">
        <f>'Input Data'!E12</f>
        <v>0.05</v>
      </c>
      <c r="F12" s="43">
        <f>'Input Data'!F12</f>
        <v>1.2500000000000001E-2</v>
      </c>
      <c r="G12" s="45"/>
      <c r="H12" s="27">
        <f>'Input Data'!H12</f>
        <v>425</v>
      </c>
      <c r="I12" s="26">
        <f>'Input Data'!I12</f>
        <v>300</v>
      </c>
      <c r="J12" s="27"/>
      <c r="K12" s="47">
        <f>'Input Data'!K12</f>
        <v>0.22</v>
      </c>
      <c r="L12" s="107"/>
      <c r="M12" s="184" t="s">
        <v>43</v>
      </c>
      <c r="N12" s="184"/>
      <c r="O12" s="107"/>
      <c r="P12" s="107"/>
      <c r="Q12" s="107"/>
      <c r="R12" s="107"/>
      <c r="S12" s="107"/>
      <c r="T12" s="107"/>
      <c r="U12" s="107"/>
      <c r="V12" s="107"/>
      <c r="W12" s="107"/>
      <c r="X12" s="107"/>
      <c r="Y12" s="107"/>
      <c r="Z12" s="107"/>
      <c r="AA12" s="107"/>
      <c r="AB12" s="107"/>
      <c r="AC12" s="107"/>
      <c r="AD12" s="107"/>
      <c r="AE12" s="107"/>
      <c r="AF12" s="107"/>
      <c r="AG12" s="107"/>
    </row>
    <row r="13" spans="1:33" x14ac:dyDescent="0.25">
      <c r="A13" s="107"/>
      <c r="B13" s="107"/>
      <c r="C13" s="107"/>
      <c r="D13" s="107"/>
      <c r="E13" s="107"/>
      <c r="F13" s="107"/>
      <c r="G13" s="107"/>
      <c r="H13" s="107"/>
      <c r="I13" s="107"/>
      <c r="J13" s="107"/>
      <c r="K13" s="107"/>
      <c r="L13" s="107"/>
      <c r="M13" s="185" t="s">
        <v>44</v>
      </c>
      <c r="N13" s="185"/>
      <c r="O13" s="107"/>
      <c r="P13" s="107"/>
      <c r="Q13" s="107"/>
      <c r="R13" s="107"/>
      <c r="S13" s="107"/>
      <c r="T13" s="107"/>
      <c r="U13" s="107"/>
      <c r="V13" s="107"/>
      <c r="W13" s="107"/>
      <c r="X13" s="107"/>
      <c r="Y13" s="107"/>
      <c r="Z13" s="107"/>
      <c r="AA13" s="107"/>
      <c r="AB13" s="107"/>
      <c r="AC13" s="107"/>
      <c r="AD13" s="107"/>
      <c r="AE13" s="107"/>
      <c r="AF13" s="107"/>
      <c r="AG13" s="107"/>
    </row>
    <row r="14" spans="1:33" x14ac:dyDescent="0.25">
      <c r="A14" s="107"/>
      <c r="B14" s="107"/>
      <c r="C14" s="107"/>
      <c r="D14" s="107"/>
      <c r="E14" s="107"/>
      <c r="F14" s="107"/>
      <c r="G14" s="107"/>
      <c r="H14" s="107"/>
      <c r="I14" s="107"/>
      <c r="J14" s="107"/>
      <c r="K14" s="107"/>
      <c r="L14" s="107"/>
      <c r="M14" s="124"/>
      <c r="N14" s="124"/>
      <c r="O14" s="107"/>
      <c r="P14" s="107"/>
      <c r="Q14" s="107"/>
      <c r="R14" s="107"/>
      <c r="S14" s="107"/>
      <c r="T14" s="107"/>
      <c r="U14" s="107"/>
      <c r="V14" s="107"/>
      <c r="W14" s="107"/>
      <c r="X14" s="107"/>
      <c r="Y14" s="107"/>
      <c r="Z14" s="107"/>
      <c r="AA14" s="107"/>
      <c r="AB14" s="107"/>
      <c r="AC14" s="107"/>
      <c r="AD14" s="107"/>
      <c r="AE14" s="107"/>
      <c r="AF14" s="107"/>
      <c r="AG14" s="107"/>
    </row>
    <row r="15" spans="1:33" ht="23.25" x14ac:dyDescent="0.35">
      <c r="A15" s="107"/>
      <c r="B15" s="123" t="s">
        <v>28</v>
      </c>
      <c r="C15" s="123"/>
      <c r="D15" s="107"/>
      <c r="E15" s="107"/>
      <c r="F15" s="107"/>
      <c r="G15" s="107"/>
      <c r="H15" s="107"/>
      <c r="I15" s="107"/>
      <c r="J15" s="107"/>
      <c r="K15" s="107"/>
      <c r="L15" s="107"/>
      <c r="O15" s="107"/>
      <c r="P15" s="107"/>
      <c r="Q15" s="107"/>
      <c r="R15" s="107"/>
      <c r="S15" s="107"/>
      <c r="T15" s="107"/>
      <c r="U15" s="107"/>
      <c r="V15" s="107"/>
      <c r="W15" s="107"/>
      <c r="X15" s="107"/>
      <c r="Y15" s="107"/>
      <c r="Z15" s="107"/>
      <c r="AA15" s="107"/>
      <c r="AB15" s="107"/>
      <c r="AC15" s="107"/>
      <c r="AD15" s="107"/>
      <c r="AE15" s="107"/>
      <c r="AF15" s="107"/>
      <c r="AG15" s="107"/>
    </row>
    <row r="16" spans="1:33" ht="17.25" customHeight="1" x14ac:dyDescent="0.3">
      <c r="A16" s="107"/>
      <c r="B16" s="39" t="s">
        <v>91</v>
      </c>
      <c r="C16" s="41" t="s">
        <v>86</v>
      </c>
      <c r="D16" s="107"/>
      <c r="E16" s="107"/>
      <c r="F16" s="107"/>
      <c r="G16" s="107"/>
      <c r="H16" s="107"/>
      <c r="I16" s="107"/>
      <c r="J16" s="107"/>
      <c r="K16" s="107"/>
      <c r="L16" s="107"/>
      <c r="M16" s="148" t="s">
        <v>87</v>
      </c>
      <c r="N16" s="149"/>
      <c r="O16" s="107"/>
      <c r="P16" s="107"/>
      <c r="Q16" s="107"/>
      <c r="R16" s="107"/>
      <c r="S16" s="107"/>
      <c r="T16" s="107"/>
      <c r="U16" s="107"/>
      <c r="V16" s="107"/>
      <c r="W16" s="107"/>
      <c r="X16" s="107"/>
      <c r="Y16" s="107"/>
      <c r="Z16" s="107"/>
      <c r="AA16" s="107"/>
      <c r="AB16" s="107"/>
      <c r="AC16" s="107"/>
      <c r="AD16" s="107"/>
      <c r="AE16" s="107"/>
      <c r="AF16" s="107"/>
      <c r="AG16" s="107"/>
    </row>
    <row r="17" spans="1:33" ht="17.25" customHeight="1" x14ac:dyDescent="0.25">
      <c r="A17" s="107"/>
      <c r="B17" s="26">
        <f>'Input Data'!B17</f>
        <v>16800000</v>
      </c>
      <c r="C17" s="50">
        <f>'Input Data'!C17</f>
        <v>0.4</v>
      </c>
      <c r="D17" s="107"/>
      <c r="E17" s="107"/>
      <c r="F17" s="107"/>
      <c r="G17" s="107"/>
      <c r="H17" s="107"/>
      <c r="I17" s="107"/>
      <c r="J17" s="107"/>
      <c r="K17" s="107"/>
      <c r="L17" s="107"/>
      <c r="M17" s="31" t="s">
        <v>45</v>
      </c>
      <c r="N17" s="32" t="s">
        <v>46</v>
      </c>
      <c r="O17" s="107"/>
      <c r="P17" s="107"/>
      <c r="Q17" s="107"/>
      <c r="R17" s="107"/>
      <c r="S17" s="107"/>
      <c r="T17" s="107"/>
      <c r="U17" s="107"/>
      <c r="V17" s="107"/>
      <c r="W17" s="107"/>
      <c r="X17" s="107"/>
      <c r="Y17" s="107"/>
      <c r="Z17" s="107"/>
      <c r="AA17" s="107"/>
      <c r="AB17" s="107"/>
      <c r="AC17" s="107"/>
      <c r="AD17" s="107"/>
      <c r="AE17" s="107"/>
      <c r="AF17" s="107"/>
      <c r="AG17" s="107"/>
    </row>
    <row r="18" spans="1:33" x14ac:dyDescent="0.25">
      <c r="A18" s="107"/>
      <c r="B18" s="107"/>
      <c r="C18" s="107"/>
      <c r="D18" s="107"/>
      <c r="E18" s="107"/>
      <c r="F18" s="107"/>
      <c r="G18" s="107"/>
      <c r="H18" s="107"/>
      <c r="I18" s="107"/>
      <c r="J18" s="107"/>
      <c r="K18" s="107"/>
      <c r="L18" s="107"/>
      <c r="M18" s="33">
        <f>IF('Input Data'!M18=0,"",'Input Data'!M18)</f>
        <v>30</v>
      </c>
      <c r="N18" s="62">
        <f>IF('Input Data'!N18=0,"",'Input Data'!N18)</f>
        <v>0.06</v>
      </c>
      <c r="O18" s="107"/>
      <c r="P18" s="107"/>
      <c r="Q18" s="107"/>
      <c r="R18" s="107"/>
      <c r="S18" s="107"/>
      <c r="T18" s="107"/>
      <c r="U18" s="107"/>
      <c r="V18" s="107"/>
      <c r="W18" s="107"/>
      <c r="X18" s="107"/>
      <c r="Y18" s="107"/>
      <c r="Z18" s="107"/>
      <c r="AA18" s="107"/>
      <c r="AB18" s="107"/>
      <c r="AC18" s="107"/>
      <c r="AD18" s="107"/>
      <c r="AE18" s="107"/>
      <c r="AF18" s="107"/>
      <c r="AG18" s="107"/>
    </row>
    <row r="19" spans="1:33" x14ac:dyDescent="0.25">
      <c r="A19" s="107"/>
      <c r="B19" s="107"/>
      <c r="C19" s="107"/>
      <c r="D19" s="107"/>
      <c r="E19" s="107"/>
      <c r="F19" s="107"/>
      <c r="G19" s="107"/>
      <c r="H19" s="107"/>
      <c r="I19" s="107"/>
      <c r="J19" s="107"/>
      <c r="K19" s="107"/>
      <c r="L19" s="107"/>
      <c r="M19" s="33" t="str">
        <f>IF('Input Data'!M19=0,"",'Input Data'!M19)</f>
        <v/>
      </c>
      <c r="N19" s="62" t="str">
        <f>IF('Input Data'!N19=0,"",'Input Data'!N19)</f>
        <v/>
      </c>
      <c r="O19" s="107"/>
      <c r="P19" s="107"/>
      <c r="Q19" s="107"/>
      <c r="R19" s="107"/>
      <c r="S19" s="107"/>
      <c r="T19" s="107"/>
      <c r="U19" s="107"/>
      <c r="V19" s="107"/>
      <c r="W19" s="107"/>
      <c r="X19" s="107"/>
      <c r="Y19" s="107"/>
      <c r="Z19" s="107"/>
      <c r="AA19" s="107"/>
      <c r="AB19" s="107"/>
      <c r="AC19" s="107"/>
      <c r="AD19" s="107"/>
      <c r="AE19" s="107"/>
      <c r="AF19" s="107"/>
      <c r="AG19" s="107"/>
    </row>
    <row r="20" spans="1:33" x14ac:dyDescent="0.25">
      <c r="A20" s="107"/>
      <c r="B20" s="107"/>
      <c r="C20" s="107"/>
      <c r="D20" s="107"/>
      <c r="E20" s="107"/>
      <c r="F20" s="107"/>
      <c r="G20" s="107"/>
      <c r="H20" s="107"/>
      <c r="I20" s="107"/>
      <c r="J20" s="107"/>
      <c r="K20" s="107"/>
      <c r="L20" s="107"/>
      <c r="M20" s="33" t="str">
        <f>IF('Input Data'!M20=0,"",'Input Data'!M20)</f>
        <v/>
      </c>
      <c r="N20" s="62" t="str">
        <f>IF('Input Data'!N20=0,"",'Input Data'!N20)</f>
        <v/>
      </c>
      <c r="O20" s="107"/>
      <c r="P20" s="107"/>
      <c r="Q20" s="107"/>
      <c r="R20" s="107"/>
      <c r="S20" s="107"/>
      <c r="T20" s="107"/>
      <c r="U20" s="107"/>
      <c r="V20" s="107"/>
      <c r="W20" s="107"/>
      <c r="X20" s="107"/>
      <c r="Y20" s="107"/>
      <c r="Z20" s="107"/>
      <c r="AA20" s="107"/>
      <c r="AB20" s="107"/>
      <c r="AC20" s="107"/>
      <c r="AD20" s="107"/>
      <c r="AE20" s="107"/>
      <c r="AF20" s="107"/>
      <c r="AG20" s="107"/>
    </row>
    <row r="21" spans="1:33" ht="15.75" x14ac:dyDescent="0.25">
      <c r="A21" s="107"/>
      <c r="B21" s="122" t="s">
        <v>29</v>
      </c>
      <c r="C21" s="107"/>
      <c r="D21" s="107"/>
      <c r="E21" s="107"/>
      <c r="F21" s="107"/>
      <c r="G21" s="107"/>
      <c r="H21" s="107"/>
      <c r="I21" s="107"/>
      <c r="J21" s="107"/>
      <c r="K21" s="107"/>
      <c r="L21" s="107"/>
      <c r="M21" s="33" t="str">
        <f>IF('Input Data'!M21=0,"",'Input Data'!M21)</f>
        <v/>
      </c>
      <c r="N21" s="62" t="str">
        <f>IF('Input Data'!N21=0,"",'Input Data'!N21)</f>
        <v/>
      </c>
      <c r="O21" s="107"/>
      <c r="P21" s="107"/>
      <c r="Q21" s="107"/>
      <c r="R21" s="107"/>
      <c r="S21" s="107"/>
      <c r="T21" s="107"/>
      <c r="U21" s="107"/>
      <c r="V21" s="107"/>
      <c r="W21" s="107"/>
      <c r="X21" s="107"/>
      <c r="Y21" s="107"/>
      <c r="Z21" s="107"/>
      <c r="AA21" s="107"/>
      <c r="AB21" s="107"/>
      <c r="AC21" s="107"/>
      <c r="AD21" s="107"/>
      <c r="AE21" s="107"/>
      <c r="AF21" s="107"/>
      <c r="AG21" s="107"/>
    </row>
    <row r="22" spans="1:33" x14ac:dyDescent="0.25">
      <c r="A22" s="186" t="s">
        <v>101</v>
      </c>
      <c r="B22" s="39" t="s">
        <v>50</v>
      </c>
      <c r="C22" s="40" t="s">
        <v>42</v>
      </c>
      <c r="D22" s="40" t="s">
        <v>40</v>
      </c>
      <c r="E22" s="41" t="s">
        <v>49</v>
      </c>
      <c r="F22" s="107"/>
      <c r="G22" s="107"/>
      <c r="H22" s="107"/>
      <c r="I22" s="107"/>
      <c r="J22" s="107"/>
      <c r="K22" s="107"/>
      <c r="L22" s="107"/>
      <c r="M22" s="33" t="str">
        <f>IF('Input Data'!M22=0,"",'Input Data'!M22)</f>
        <v/>
      </c>
      <c r="N22" s="62" t="str">
        <f>IF('Input Data'!N22=0,"",'Input Data'!N22)</f>
        <v/>
      </c>
      <c r="O22" s="107"/>
      <c r="P22" s="107"/>
      <c r="Q22" s="107"/>
      <c r="R22" s="107"/>
      <c r="S22" s="107"/>
      <c r="T22" s="107"/>
      <c r="U22" s="107"/>
      <c r="V22" s="107"/>
      <c r="W22" s="107"/>
      <c r="X22" s="107"/>
      <c r="Y22" s="107"/>
      <c r="Z22" s="107"/>
      <c r="AA22" s="107"/>
      <c r="AB22" s="107"/>
      <c r="AC22" s="107"/>
      <c r="AD22" s="107"/>
      <c r="AE22" s="107"/>
      <c r="AF22" s="107"/>
      <c r="AG22" s="107"/>
    </row>
    <row r="23" spans="1:33" x14ac:dyDescent="0.25">
      <c r="A23" s="186"/>
      <c r="B23" s="53">
        <v>10</v>
      </c>
      <c r="C23" s="52" t="s">
        <v>93</v>
      </c>
      <c r="D23" s="54">
        <v>6.3500000000000001E-2</v>
      </c>
      <c r="E23" s="55">
        <f>$N$5</f>
        <v>25</v>
      </c>
      <c r="F23" s="107"/>
      <c r="G23" s="107"/>
      <c r="H23" s="107"/>
      <c r="I23" s="107"/>
      <c r="J23" s="107"/>
      <c r="K23" s="107"/>
      <c r="L23" s="107"/>
      <c r="M23" s="33" t="str">
        <f>IF('Input Data'!M23=0,"",'Input Data'!M23)</f>
        <v/>
      </c>
      <c r="N23" s="62" t="str">
        <f>IF('Input Data'!N23=0,"",'Input Data'!N23)</f>
        <v/>
      </c>
      <c r="O23" s="107"/>
      <c r="P23" s="107"/>
      <c r="Q23" s="107"/>
      <c r="R23" s="107"/>
      <c r="S23" s="107"/>
      <c r="T23" s="107"/>
      <c r="U23" s="107"/>
      <c r="V23" s="107"/>
      <c r="W23" s="107"/>
      <c r="X23" s="107"/>
      <c r="Y23" s="107"/>
      <c r="Z23" s="107"/>
      <c r="AA23" s="107"/>
      <c r="AB23" s="107"/>
      <c r="AC23" s="107"/>
      <c r="AD23" s="107"/>
      <c r="AE23" s="107"/>
      <c r="AF23" s="107"/>
      <c r="AG23" s="107"/>
    </row>
    <row r="24" spans="1:33" x14ac:dyDescent="0.25">
      <c r="A24" s="186"/>
      <c r="B24" s="107"/>
      <c r="C24" s="107"/>
      <c r="D24" s="107"/>
      <c r="E24" s="107"/>
      <c r="F24" s="107"/>
      <c r="G24" s="107"/>
      <c r="H24" s="107"/>
      <c r="I24" s="107"/>
      <c r="J24" s="107"/>
      <c r="K24" s="107"/>
      <c r="L24" s="107"/>
      <c r="M24" s="33" t="str">
        <f>IF('Input Data'!M24=0,"",'Input Data'!M24)</f>
        <v/>
      </c>
      <c r="N24" s="62" t="str">
        <f>IF('Input Data'!N24=0,"",'Input Data'!N24)</f>
        <v/>
      </c>
      <c r="O24" s="107"/>
      <c r="P24" s="107"/>
      <c r="Q24" s="107"/>
      <c r="R24" s="107"/>
      <c r="S24" s="107"/>
      <c r="T24" s="107"/>
      <c r="U24" s="107"/>
      <c r="V24" s="107"/>
      <c r="W24" s="107"/>
      <c r="X24" s="107"/>
      <c r="Y24" s="107"/>
      <c r="Z24" s="107"/>
      <c r="AA24" s="107"/>
      <c r="AB24" s="107"/>
      <c r="AC24" s="107"/>
      <c r="AD24" s="107"/>
      <c r="AE24" s="107"/>
      <c r="AF24" s="107"/>
      <c r="AG24" s="107"/>
    </row>
    <row r="25" spans="1:33" x14ac:dyDescent="0.25">
      <c r="A25" s="186"/>
      <c r="B25" s="121" t="s">
        <v>79</v>
      </c>
      <c r="C25" s="107"/>
      <c r="D25" s="107"/>
      <c r="E25" s="107"/>
      <c r="F25" s="107"/>
      <c r="G25" s="107"/>
      <c r="H25" s="107"/>
      <c r="I25" s="107"/>
      <c r="J25" s="107"/>
      <c r="K25" s="107"/>
      <c r="L25" s="107"/>
      <c r="M25" s="33" t="str">
        <f>IF('Input Data'!M25=0,"",'Input Data'!M25)</f>
        <v/>
      </c>
      <c r="N25" s="62" t="str">
        <f>IF('Input Data'!N25=0,"",'Input Data'!N25)</f>
        <v/>
      </c>
      <c r="O25" s="107"/>
      <c r="P25" s="107"/>
      <c r="Q25" s="107"/>
      <c r="R25" s="107"/>
      <c r="S25" s="107"/>
      <c r="T25" s="107"/>
      <c r="U25" s="107"/>
      <c r="V25" s="107"/>
      <c r="W25" s="107"/>
      <c r="X25" s="107"/>
      <c r="Y25" s="107"/>
      <c r="Z25" s="107"/>
      <c r="AA25" s="107"/>
      <c r="AB25" s="107"/>
      <c r="AC25" s="107"/>
      <c r="AD25" s="107"/>
      <c r="AE25" s="107"/>
      <c r="AF25" s="107"/>
      <c r="AG25" s="107"/>
    </row>
    <row r="26" spans="1:33" x14ac:dyDescent="0.25">
      <c r="A26" s="107"/>
      <c r="B26" s="39" t="s">
        <v>30</v>
      </c>
      <c r="C26" s="40" t="s">
        <v>31</v>
      </c>
      <c r="D26" s="41" t="s">
        <v>32</v>
      </c>
      <c r="E26" s="107"/>
      <c r="F26" s="107"/>
      <c r="G26" s="107"/>
      <c r="H26" s="107"/>
      <c r="I26" s="107"/>
      <c r="J26" s="107"/>
      <c r="K26" s="107"/>
      <c r="L26" s="107"/>
      <c r="M26" s="33" t="str">
        <f>IF('Input Data'!M26=0,"",'Input Data'!M26)</f>
        <v/>
      </c>
      <c r="N26" s="62" t="str">
        <f>IF('Input Data'!N26=0,"",'Input Data'!N26)</f>
        <v/>
      </c>
      <c r="O26" s="107"/>
      <c r="P26" s="107"/>
      <c r="Q26" s="107"/>
      <c r="R26" s="107"/>
      <c r="S26" s="107"/>
      <c r="T26" s="107"/>
      <c r="U26" s="107"/>
      <c r="V26" s="107"/>
      <c r="W26" s="107"/>
      <c r="X26" s="107"/>
      <c r="Y26" s="107"/>
      <c r="Z26" s="107"/>
      <c r="AA26" s="107"/>
      <c r="AB26" s="107"/>
      <c r="AC26" s="107"/>
      <c r="AD26" s="107"/>
      <c r="AE26" s="107"/>
      <c r="AF26" s="107"/>
      <c r="AG26" s="107"/>
    </row>
    <row r="27" spans="1:33" x14ac:dyDescent="0.25">
      <c r="A27" s="107"/>
      <c r="B27" s="56">
        <v>1.25</v>
      </c>
      <c r="C27" s="49">
        <v>0.65</v>
      </c>
      <c r="D27" s="51">
        <v>8.7499999999999994E-2</v>
      </c>
      <c r="E27" s="107"/>
      <c r="F27" s="120"/>
      <c r="G27" s="120"/>
      <c r="H27" s="107"/>
      <c r="I27" s="107"/>
      <c r="J27" s="107"/>
      <c r="K27" s="107"/>
      <c r="L27" s="107"/>
      <c r="M27" s="33" t="str">
        <f>IF('Input Data'!M27=0,"",'Input Data'!M27)</f>
        <v/>
      </c>
      <c r="N27" s="62" t="str">
        <f>IF('Input Data'!N27=0,"",'Input Data'!N27)</f>
        <v/>
      </c>
      <c r="O27" s="107"/>
      <c r="P27" s="107"/>
      <c r="Q27" s="107"/>
      <c r="R27" s="107"/>
      <c r="S27" s="107"/>
      <c r="T27" s="107"/>
      <c r="U27" s="107"/>
      <c r="V27" s="107"/>
      <c r="W27" s="107"/>
      <c r="X27" s="107"/>
      <c r="Y27" s="107"/>
      <c r="Z27" s="107"/>
      <c r="AA27" s="107"/>
      <c r="AB27" s="107"/>
      <c r="AC27" s="107"/>
      <c r="AD27" s="107"/>
      <c r="AE27" s="107"/>
      <c r="AF27" s="107"/>
      <c r="AG27" s="107"/>
    </row>
    <row r="28" spans="1:33" x14ac:dyDescent="0.25">
      <c r="A28" s="107"/>
      <c r="B28" s="107"/>
      <c r="C28" s="107"/>
      <c r="D28" s="107"/>
      <c r="E28" s="107"/>
      <c r="F28" s="119"/>
      <c r="G28" s="119"/>
      <c r="H28" s="107"/>
      <c r="I28" s="107"/>
      <c r="J28" s="107"/>
      <c r="K28" s="107"/>
      <c r="L28" s="107"/>
      <c r="M28" s="33" t="str">
        <f>IF('Input Data'!M28=0,"",'Input Data'!M28)</f>
        <v/>
      </c>
      <c r="N28" s="62" t="str">
        <f>IF('Input Data'!N28=0,"",'Input Data'!N28)</f>
        <v/>
      </c>
      <c r="O28" s="107"/>
      <c r="P28" s="107"/>
      <c r="Q28" s="107"/>
      <c r="R28" s="107"/>
      <c r="S28" s="107"/>
      <c r="T28" s="107"/>
      <c r="U28" s="107"/>
      <c r="V28" s="107"/>
      <c r="W28" s="107"/>
      <c r="X28" s="107"/>
      <c r="Y28" s="107"/>
      <c r="Z28" s="107"/>
      <c r="AA28" s="107"/>
      <c r="AB28" s="107"/>
      <c r="AC28" s="107"/>
      <c r="AD28" s="107"/>
      <c r="AE28" s="107"/>
      <c r="AF28" s="107"/>
      <c r="AG28" s="107"/>
    </row>
    <row r="29" spans="1:33" x14ac:dyDescent="0.25">
      <c r="A29" s="107"/>
      <c r="B29" s="107"/>
      <c r="C29" s="107"/>
      <c r="D29" s="107"/>
      <c r="E29" s="107"/>
      <c r="F29" s="107"/>
      <c r="G29" s="107"/>
      <c r="H29" s="107"/>
      <c r="I29" s="107"/>
      <c r="J29" s="107"/>
      <c r="K29" s="107"/>
      <c r="L29" s="107"/>
      <c r="M29" s="33" t="str">
        <f>IF('Input Data'!M29=0,"",'Input Data'!M29)</f>
        <v/>
      </c>
      <c r="N29" s="62" t="str">
        <f>IF('Input Data'!N29=0,"",'Input Data'!N29)</f>
        <v/>
      </c>
      <c r="O29" s="107"/>
      <c r="P29" s="107"/>
      <c r="Q29" s="107"/>
      <c r="R29" s="107"/>
      <c r="S29" s="107"/>
      <c r="T29" s="107"/>
      <c r="U29" s="107"/>
      <c r="V29" s="107"/>
      <c r="W29" s="107"/>
      <c r="X29" s="107"/>
      <c r="Y29" s="107"/>
      <c r="Z29" s="107"/>
      <c r="AA29" s="107"/>
      <c r="AB29" s="107"/>
      <c r="AC29" s="107"/>
      <c r="AD29" s="107"/>
      <c r="AE29" s="107"/>
      <c r="AF29" s="107"/>
      <c r="AG29" s="107"/>
    </row>
    <row r="30" spans="1:33" x14ac:dyDescent="0.25">
      <c r="A30" s="107"/>
      <c r="B30" s="107"/>
      <c r="C30" s="107"/>
      <c r="D30" s="107"/>
      <c r="E30" s="107"/>
      <c r="F30" s="107"/>
      <c r="G30" s="107"/>
      <c r="H30" s="107"/>
      <c r="I30" s="107"/>
      <c r="J30" s="107"/>
      <c r="K30" s="107"/>
      <c r="L30" s="107"/>
      <c r="M30" s="33" t="str">
        <f>IF('Input Data'!M30=0,"",'Input Data'!M30)</f>
        <v/>
      </c>
      <c r="N30" s="62" t="str">
        <f>IF('Input Data'!N30=0,"",'Input Data'!N30)</f>
        <v/>
      </c>
      <c r="O30" s="107"/>
      <c r="P30" s="107"/>
      <c r="Q30" s="107"/>
      <c r="R30" s="107"/>
      <c r="S30" s="107"/>
      <c r="T30" s="107"/>
      <c r="U30" s="107"/>
      <c r="V30" s="107"/>
      <c r="W30" s="107"/>
      <c r="X30" s="107"/>
      <c r="Y30" s="107"/>
      <c r="Z30" s="107"/>
      <c r="AA30" s="107"/>
      <c r="AB30" s="107"/>
      <c r="AC30" s="107"/>
      <c r="AD30" s="107"/>
      <c r="AE30" s="107"/>
      <c r="AF30" s="107"/>
      <c r="AG30" s="107"/>
    </row>
    <row r="31" spans="1:33" x14ac:dyDescent="0.25">
      <c r="A31" s="107"/>
      <c r="B31" s="107"/>
      <c r="C31" s="107"/>
      <c r="D31" s="107"/>
      <c r="E31" s="107"/>
      <c r="F31" s="107"/>
      <c r="G31" s="107"/>
      <c r="H31" s="107"/>
      <c r="I31" s="107"/>
      <c r="J31" s="107"/>
      <c r="K31" s="107"/>
      <c r="L31" s="107"/>
      <c r="M31" s="107"/>
      <c r="N31" s="107"/>
      <c r="O31" s="107"/>
      <c r="P31" s="107"/>
      <c r="Q31" s="107"/>
      <c r="R31" s="107"/>
      <c r="S31" s="107"/>
      <c r="T31" s="107"/>
      <c r="U31" s="107"/>
      <c r="V31" s="107"/>
      <c r="W31" s="107"/>
      <c r="X31" s="107"/>
      <c r="Y31" s="107"/>
      <c r="Z31" s="107"/>
      <c r="AA31" s="107"/>
      <c r="AB31" s="107"/>
      <c r="AC31" s="107"/>
      <c r="AD31" s="107"/>
      <c r="AE31" s="107"/>
      <c r="AF31" s="107"/>
      <c r="AG31" s="107"/>
    </row>
    <row r="32" spans="1:33" x14ac:dyDescent="0.25">
      <c r="A32" s="107"/>
      <c r="B32" s="107"/>
      <c r="C32" s="107"/>
      <c r="D32" s="107"/>
      <c r="E32" s="107"/>
      <c r="F32" s="107"/>
      <c r="G32" s="107"/>
      <c r="H32" s="107"/>
      <c r="I32" s="107"/>
      <c r="J32" s="107"/>
      <c r="K32" s="107"/>
      <c r="L32" s="107"/>
      <c r="M32" s="107"/>
      <c r="N32" s="107"/>
      <c r="O32" s="107"/>
      <c r="P32" s="107"/>
      <c r="Q32" s="107"/>
      <c r="R32" s="107"/>
      <c r="S32" s="107"/>
      <c r="T32" s="107"/>
      <c r="U32" s="107"/>
      <c r="V32" s="107"/>
      <c r="W32" s="107"/>
      <c r="X32" s="107"/>
      <c r="Y32" s="107"/>
      <c r="Z32" s="107"/>
      <c r="AA32" s="107"/>
      <c r="AB32" s="107"/>
      <c r="AC32" s="107"/>
      <c r="AD32" s="107"/>
      <c r="AE32" s="107"/>
      <c r="AF32" s="107"/>
      <c r="AG32" s="107"/>
    </row>
    <row r="33" spans="1:33" x14ac:dyDescent="0.25">
      <c r="A33" s="107"/>
      <c r="B33" s="107"/>
      <c r="C33" s="107"/>
      <c r="D33" s="107"/>
      <c r="E33" s="107"/>
      <c r="F33" s="107"/>
      <c r="G33" s="107"/>
      <c r="H33" s="107"/>
      <c r="I33" s="107"/>
      <c r="J33" s="107"/>
      <c r="K33" s="107"/>
      <c r="L33" s="107"/>
      <c r="M33" s="107"/>
      <c r="N33" s="107"/>
      <c r="O33" s="107"/>
      <c r="P33" s="107"/>
      <c r="Q33" s="107"/>
      <c r="R33" s="107"/>
      <c r="S33" s="107"/>
      <c r="T33" s="107"/>
      <c r="U33" s="107"/>
      <c r="V33" s="107"/>
      <c r="W33" s="107"/>
      <c r="X33" s="107"/>
      <c r="Y33" s="107"/>
      <c r="Z33" s="107"/>
      <c r="AA33" s="107"/>
      <c r="AB33" s="107"/>
      <c r="AC33" s="107"/>
      <c r="AD33" s="107"/>
      <c r="AE33" s="107"/>
      <c r="AF33" s="107"/>
      <c r="AG33" s="107"/>
    </row>
    <row r="34" spans="1:33" x14ac:dyDescent="0.25">
      <c r="A34" s="107"/>
      <c r="B34" s="107"/>
      <c r="C34" s="107"/>
      <c r="D34" s="107"/>
      <c r="E34" s="107"/>
      <c r="F34" s="107"/>
      <c r="G34" s="107"/>
      <c r="H34" s="107"/>
      <c r="I34" s="107"/>
      <c r="J34" s="107"/>
      <c r="K34" s="107"/>
      <c r="L34" s="107"/>
      <c r="M34" s="107"/>
      <c r="N34" s="107"/>
      <c r="O34" s="107"/>
      <c r="P34" s="107"/>
      <c r="Q34" s="107"/>
      <c r="R34" s="107"/>
      <c r="S34" s="107"/>
      <c r="T34" s="107"/>
      <c r="U34" s="107"/>
      <c r="V34" s="107"/>
      <c r="W34" s="107"/>
      <c r="X34" s="107"/>
      <c r="Y34" s="107"/>
      <c r="Z34" s="107"/>
      <c r="AA34" s="107"/>
      <c r="AB34" s="107"/>
      <c r="AC34" s="107"/>
      <c r="AD34" s="107"/>
      <c r="AE34" s="107"/>
      <c r="AF34" s="107"/>
      <c r="AG34" s="107"/>
    </row>
    <row r="35" spans="1:33" x14ac:dyDescent="0.25">
      <c r="A35" s="107"/>
      <c r="B35" s="107"/>
      <c r="C35" s="107"/>
      <c r="D35" s="107"/>
      <c r="E35" s="107"/>
      <c r="F35" s="107"/>
      <c r="G35" s="107"/>
      <c r="H35" s="107"/>
      <c r="I35" s="107"/>
      <c r="J35" s="107"/>
      <c r="K35" s="107"/>
      <c r="L35" s="107"/>
      <c r="M35" s="107"/>
      <c r="N35" s="107"/>
      <c r="O35" s="107"/>
      <c r="P35" s="107"/>
      <c r="Q35" s="107"/>
      <c r="R35" s="107"/>
      <c r="S35" s="107"/>
      <c r="T35" s="107"/>
      <c r="U35" s="107"/>
      <c r="V35" s="107"/>
      <c r="W35" s="107"/>
      <c r="X35" s="107"/>
      <c r="Y35" s="107"/>
      <c r="Z35" s="107"/>
      <c r="AA35" s="107"/>
      <c r="AB35" s="107"/>
      <c r="AC35" s="107"/>
      <c r="AD35" s="107"/>
      <c r="AE35" s="107"/>
      <c r="AF35" s="107"/>
      <c r="AG35" s="107"/>
    </row>
    <row r="36" spans="1:33" x14ac:dyDescent="0.25">
      <c r="A36" s="107"/>
      <c r="B36" s="107"/>
      <c r="C36" s="107"/>
      <c r="D36" s="107"/>
      <c r="E36" s="107"/>
      <c r="F36" s="107"/>
      <c r="G36" s="107"/>
      <c r="H36" s="107"/>
      <c r="I36" s="107"/>
      <c r="J36" s="107"/>
      <c r="K36" s="107"/>
      <c r="L36" s="107"/>
      <c r="M36" s="107"/>
      <c r="N36" s="107"/>
      <c r="O36" s="107"/>
      <c r="P36" s="107"/>
      <c r="Q36" s="107"/>
      <c r="R36" s="107"/>
      <c r="S36" s="107"/>
      <c r="T36" s="107"/>
      <c r="U36" s="107"/>
      <c r="V36" s="107"/>
      <c r="W36" s="107"/>
      <c r="X36" s="107"/>
      <c r="Y36" s="107"/>
      <c r="Z36" s="107"/>
      <c r="AA36" s="107"/>
      <c r="AB36" s="107"/>
      <c r="AC36" s="107"/>
      <c r="AD36" s="107"/>
      <c r="AE36" s="107"/>
      <c r="AF36" s="107"/>
      <c r="AG36" s="107"/>
    </row>
    <row r="37" spans="1:33" x14ac:dyDescent="0.25">
      <c r="A37" s="107"/>
      <c r="B37" s="107"/>
      <c r="C37" s="107"/>
      <c r="D37" s="107"/>
      <c r="E37" s="107"/>
      <c r="F37" s="107"/>
      <c r="G37" s="107"/>
      <c r="H37" s="107"/>
      <c r="I37" s="107"/>
      <c r="J37" s="107"/>
      <c r="K37" s="107"/>
      <c r="L37" s="107"/>
      <c r="M37" s="107"/>
      <c r="N37" s="107"/>
      <c r="O37" s="107"/>
      <c r="P37" s="107"/>
      <c r="Q37" s="107"/>
      <c r="R37" s="107"/>
      <c r="S37" s="107"/>
      <c r="T37" s="107"/>
      <c r="U37" s="107"/>
      <c r="V37" s="107"/>
      <c r="W37" s="107"/>
      <c r="X37" s="107"/>
      <c r="Y37" s="107"/>
      <c r="Z37" s="107"/>
      <c r="AA37" s="107"/>
      <c r="AB37" s="107"/>
      <c r="AC37" s="107"/>
      <c r="AD37" s="107"/>
      <c r="AE37" s="107"/>
      <c r="AF37" s="107"/>
      <c r="AG37" s="107"/>
    </row>
    <row r="38" spans="1:33" x14ac:dyDescent="0.25">
      <c r="A38" s="107"/>
      <c r="B38" s="107"/>
      <c r="C38" s="107"/>
      <c r="D38" s="107"/>
      <c r="E38" s="107"/>
      <c r="F38" s="107"/>
      <c r="G38" s="107"/>
      <c r="H38" s="107"/>
      <c r="I38" s="107"/>
      <c r="J38" s="107"/>
      <c r="K38" s="107"/>
      <c r="L38" s="107"/>
      <c r="M38" s="107"/>
      <c r="N38" s="107"/>
      <c r="O38" s="107"/>
      <c r="P38" s="107"/>
      <c r="Q38" s="107"/>
      <c r="R38" s="107"/>
      <c r="S38" s="107"/>
      <c r="T38" s="107"/>
      <c r="U38" s="107"/>
      <c r="V38" s="107"/>
      <c r="W38" s="107"/>
      <c r="X38" s="107"/>
      <c r="Y38" s="107"/>
      <c r="Z38" s="107"/>
      <c r="AA38" s="107"/>
      <c r="AB38" s="107"/>
      <c r="AC38" s="107"/>
      <c r="AD38" s="107"/>
      <c r="AE38" s="107"/>
      <c r="AF38" s="107"/>
      <c r="AG38" s="107"/>
    </row>
    <row r="39" spans="1:33" x14ac:dyDescent="0.25">
      <c r="A39" s="107"/>
      <c r="B39" s="107"/>
      <c r="C39" s="107"/>
      <c r="D39" s="107"/>
      <c r="E39" s="107"/>
      <c r="F39" s="107"/>
      <c r="G39" s="107"/>
      <c r="H39" s="107"/>
      <c r="I39" s="107"/>
      <c r="J39" s="107"/>
      <c r="K39" s="107"/>
      <c r="L39" s="107"/>
      <c r="M39" s="107"/>
      <c r="N39" s="107"/>
      <c r="O39" s="107"/>
      <c r="P39" s="107"/>
      <c r="Q39" s="107"/>
      <c r="R39" s="107"/>
      <c r="S39" s="107"/>
      <c r="T39" s="107"/>
      <c r="U39" s="107"/>
      <c r="V39" s="107"/>
      <c r="W39" s="107"/>
      <c r="X39" s="107"/>
      <c r="Y39" s="107"/>
      <c r="Z39" s="107"/>
      <c r="AA39" s="107"/>
      <c r="AB39" s="107"/>
      <c r="AC39" s="107"/>
      <c r="AD39" s="107"/>
      <c r="AE39" s="107"/>
      <c r="AF39" s="107"/>
      <c r="AG39" s="107"/>
    </row>
    <row r="40" spans="1:33" x14ac:dyDescent="0.25">
      <c r="A40" s="107"/>
      <c r="B40" s="107"/>
      <c r="C40" s="107"/>
      <c r="D40" s="107"/>
      <c r="E40" s="107"/>
      <c r="F40" s="107"/>
      <c r="G40" s="107"/>
      <c r="H40" s="107"/>
      <c r="I40" s="107"/>
      <c r="J40" s="107"/>
      <c r="K40" s="107"/>
      <c r="L40" s="107"/>
      <c r="M40" s="107"/>
      <c r="N40" s="107"/>
      <c r="O40" s="107"/>
      <c r="P40" s="107"/>
      <c r="Q40" s="107"/>
      <c r="R40" s="107"/>
      <c r="S40" s="107"/>
      <c r="T40" s="107"/>
      <c r="U40" s="107"/>
      <c r="V40" s="107"/>
      <c r="W40" s="107"/>
      <c r="X40" s="107"/>
      <c r="Y40" s="107"/>
      <c r="Z40" s="107"/>
      <c r="AA40" s="107"/>
      <c r="AB40" s="107"/>
      <c r="AC40" s="107"/>
      <c r="AD40" s="107"/>
      <c r="AE40" s="107"/>
      <c r="AF40" s="107"/>
      <c r="AG40" s="107"/>
    </row>
    <row r="41" spans="1:33" x14ac:dyDescent="0.25">
      <c r="A41" s="107"/>
      <c r="B41" s="107"/>
      <c r="C41" s="107"/>
      <c r="D41" s="107"/>
      <c r="E41" s="107"/>
      <c r="F41" s="107"/>
      <c r="G41" s="107"/>
      <c r="H41" s="107"/>
      <c r="I41" s="107"/>
      <c r="J41" s="107"/>
      <c r="K41" s="107"/>
      <c r="L41" s="107"/>
      <c r="M41" s="107"/>
      <c r="N41" s="107"/>
      <c r="O41" s="107"/>
      <c r="P41" s="107"/>
      <c r="Q41" s="107"/>
      <c r="R41" s="107"/>
      <c r="S41" s="107"/>
      <c r="T41" s="107"/>
      <c r="U41" s="107"/>
      <c r="V41" s="107"/>
      <c r="W41" s="107"/>
      <c r="X41" s="107"/>
      <c r="Y41" s="107"/>
      <c r="Z41" s="107"/>
      <c r="AA41" s="107"/>
      <c r="AB41" s="107"/>
      <c r="AC41" s="107"/>
      <c r="AD41" s="107"/>
      <c r="AE41" s="107"/>
      <c r="AF41" s="107"/>
      <c r="AG41" s="107"/>
    </row>
    <row r="42" spans="1:33" x14ac:dyDescent="0.25">
      <c r="A42" s="107"/>
      <c r="B42" s="107"/>
      <c r="C42" s="107"/>
      <c r="D42" s="107"/>
      <c r="E42" s="107"/>
      <c r="F42" s="107"/>
      <c r="G42" s="107"/>
      <c r="H42" s="107"/>
      <c r="I42" s="107"/>
      <c r="J42" s="107"/>
      <c r="K42" s="107"/>
      <c r="L42" s="107"/>
      <c r="M42" s="107"/>
      <c r="N42" s="107"/>
      <c r="O42" s="107"/>
      <c r="P42" s="107"/>
      <c r="Q42" s="107"/>
      <c r="R42" s="107"/>
      <c r="S42" s="107"/>
      <c r="T42" s="107"/>
      <c r="U42" s="107"/>
      <c r="V42" s="107"/>
      <c r="W42" s="107"/>
      <c r="X42" s="107"/>
      <c r="Y42" s="107"/>
      <c r="Z42" s="107"/>
      <c r="AA42" s="107"/>
      <c r="AB42" s="107"/>
      <c r="AC42" s="107"/>
      <c r="AD42" s="107"/>
      <c r="AE42" s="107"/>
      <c r="AF42" s="107"/>
      <c r="AG42" s="107"/>
    </row>
    <row r="43" spans="1:33" x14ac:dyDescent="0.25">
      <c r="A43" s="107"/>
      <c r="B43" s="107"/>
      <c r="C43" s="107"/>
      <c r="D43" s="107"/>
      <c r="E43" s="107"/>
      <c r="F43" s="107"/>
      <c r="G43" s="107"/>
      <c r="H43" s="107"/>
      <c r="I43" s="107"/>
      <c r="J43" s="107"/>
      <c r="K43" s="107"/>
      <c r="L43" s="107"/>
      <c r="M43" s="107"/>
      <c r="N43" s="107"/>
      <c r="O43" s="107"/>
      <c r="P43" s="107"/>
      <c r="Q43" s="107"/>
      <c r="R43" s="107"/>
      <c r="S43" s="107"/>
      <c r="T43" s="107"/>
      <c r="U43" s="107"/>
      <c r="V43" s="107"/>
      <c r="W43" s="107"/>
      <c r="X43" s="107"/>
      <c r="Y43" s="107"/>
      <c r="Z43" s="107"/>
      <c r="AA43" s="107"/>
      <c r="AB43" s="107"/>
      <c r="AC43" s="107"/>
      <c r="AD43" s="107"/>
      <c r="AE43" s="107"/>
      <c r="AF43" s="107"/>
      <c r="AG43" s="107"/>
    </row>
    <row r="44" spans="1:33" x14ac:dyDescent="0.25">
      <c r="A44" s="107"/>
      <c r="B44" s="107"/>
      <c r="C44" s="107"/>
      <c r="D44" s="107"/>
      <c r="E44" s="107"/>
      <c r="F44" s="107"/>
      <c r="G44" s="107"/>
      <c r="H44" s="107"/>
      <c r="I44" s="107"/>
      <c r="J44" s="107"/>
      <c r="K44" s="107"/>
      <c r="L44" s="107"/>
      <c r="M44" s="107"/>
      <c r="N44" s="107"/>
      <c r="O44" s="107"/>
      <c r="P44" s="107"/>
      <c r="Q44" s="107"/>
      <c r="R44" s="107"/>
      <c r="S44" s="107"/>
      <c r="T44" s="107"/>
      <c r="U44" s="107"/>
      <c r="V44" s="107"/>
      <c r="W44" s="107"/>
      <c r="X44" s="107"/>
      <c r="Y44" s="107"/>
      <c r="Z44" s="107"/>
      <c r="AA44" s="107"/>
      <c r="AB44" s="107"/>
      <c r="AC44" s="107"/>
      <c r="AD44" s="107"/>
      <c r="AE44" s="107"/>
      <c r="AF44" s="107"/>
      <c r="AG44" s="107"/>
    </row>
    <row r="45" spans="1:33" x14ac:dyDescent="0.25">
      <c r="A45" s="107"/>
      <c r="B45" s="107"/>
      <c r="C45" s="107"/>
      <c r="D45" s="107"/>
      <c r="E45" s="107"/>
      <c r="F45" s="107"/>
      <c r="G45" s="107"/>
      <c r="H45" s="107"/>
      <c r="I45" s="107"/>
      <c r="J45" s="107"/>
      <c r="K45" s="107"/>
      <c r="L45" s="107"/>
      <c r="M45" s="107"/>
      <c r="N45" s="107"/>
      <c r="O45" s="107"/>
      <c r="P45" s="107"/>
      <c r="Q45" s="107"/>
      <c r="R45" s="107"/>
      <c r="S45" s="107"/>
      <c r="T45" s="107"/>
      <c r="U45" s="107"/>
      <c r="V45" s="107"/>
      <c r="W45" s="107"/>
      <c r="X45" s="107"/>
      <c r="Y45" s="107"/>
      <c r="Z45" s="107"/>
      <c r="AA45" s="107"/>
      <c r="AB45" s="107"/>
      <c r="AC45" s="107"/>
      <c r="AD45" s="107"/>
      <c r="AE45" s="107"/>
      <c r="AF45" s="107"/>
      <c r="AG45" s="107"/>
    </row>
    <row r="46" spans="1:33" x14ac:dyDescent="0.25">
      <c r="A46" s="107"/>
      <c r="B46" s="107"/>
      <c r="C46" s="107"/>
      <c r="D46" s="107"/>
      <c r="E46" s="107"/>
      <c r="F46" s="107"/>
      <c r="G46" s="107"/>
      <c r="H46" s="107"/>
      <c r="I46" s="107"/>
      <c r="J46" s="107"/>
      <c r="K46" s="107"/>
      <c r="L46" s="107"/>
      <c r="M46" s="107"/>
      <c r="N46" s="107"/>
      <c r="O46" s="107"/>
      <c r="P46" s="107"/>
      <c r="Q46" s="107"/>
      <c r="R46" s="107"/>
      <c r="S46" s="107"/>
      <c r="T46" s="107"/>
      <c r="U46" s="107"/>
      <c r="V46" s="107"/>
      <c r="W46" s="107"/>
      <c r="X46" s="107"/>
      <c r="Y46" s="107"/>
      <c r="Z46" s="107"/>
      <c r="AA46" s="107"/>
      <c r="AB46" s="107"/>
      <c r="AC46" s="107"/>
      <c r="AD46" s="107"/>
      <c r="AE46" s="107"/>
      <c r="AF46" s="107"/>
      <c r="AG46" s="107"/>
    </row>
    <row r="47" spans="1:33" x14ac:dyDescent="0.25">
      <c r="A47" s="107"/>
      <c r="B47" s="107"/>
      <c r="C47" s="107"/>
      <c r="D47" s="107"/>
      <c r="E47" s="107"/>
      <c r="F47" s="107"/>
      <c r="G47" s="107"/>
      <c r="H47" s="107"/>
      <c r="I47" s="107"/>
      <c r="J47" s="107"/>
      <c r="K47" s="107"/>
      <c r="L47" s="107"/>
      <c r="M47" s="107"/>
      <c r="N47" s="107"/>
      <c r="O47" s="107"/>
      <c r="P47" s="107"/>
      <c r="Q47" s="107"/>
      <c r="R47" s="107"/>
      <c r="S47" s="107"/>
      <c r="T47" s="107"/>
      <c r="U47" s="107"/>
      <c r="V47" s="107"/>
      <c r="W47" s="107"/>
      <c r="X47" s="107"/>
      <c r="Y47" s="107"/>
      <c r="Z47" s="107"/>
      <c r="AA47" s="107"/>
      <c r="AB47" s="107"/>
      <c r="AC47" s="107"/>
      <c r="AD47" s="107"/>
      <c r="AE47" s="107"/>
      <c r="AF47" s="107"/>
      <c r="AG47" s="107"/>
    </row>
    <row r="48" spans="1:33" x14ac:dyDescent="0.25">
      <c r="A48" s="107"/>
      <c r="B48" s="107"/>
      <c r="C48" s="107"/>
      <c r="D48" s="107"/>
      <c r="E48" s="107"/>
      <c r="F48" s="107"/>
      <c r="G48" s="107"/>
      <c r="H48" s="107"/>
      <c r="I48" s="107"/>
      <c r="J48" s="107"/>
      <c r="K48" s="107"/>
      <c r="L48" s="107"/>
      <c r="M48" s="107"/>
      <c r="N48" s="107"/>
      <c r="O48" s="107"/>
      <c r="P48" s="107"/>
      <c r="Q48" s="107"/>
      <c r="R48" s="107"/>
      <c r="S48" s="107"/>
      <c r="T48" s="107"/>
      <c r="U48" s="107"/>
      <c r="V48" s="107"/>
      <c r="W48" s="107"/>
      <c r="X48" s="107"/>
      <c r="Y48" s="107"/>
      <c r="Z48" s="107"/>
      <c r="AA48" s="107"/>
      <c r="AB48" s="107"/>
      <c r="AC48" s="107"/>
      <c r="AD48" s="107"/>
      <c r="AE48" s="107"/>
      <c r="AF48" s="107"/>
      <c r="AG48" s="107"/>
    </row>
    <row r="49" spans="1:33" x14ac:dyDescent="0.25">
      <c r="A49" s="107"/>
      <c r="B49" s="107"/>
      <c r="C49" s="107"/>
      <c r="D49" s="107"/>
      <c r="E49" s="107"/>
      <c r="F49" s="107"/>
      <c r="G49" s="107"/>
      <c r="H49" s="107"/>
      <c r="I49" s="107"/>
      <c r="J49" s="107"/>
      <c r="K49" s="107"/>
      <c r="L49" s="107"/>
      <c r="M49" s="107"/>
      <c r="N49" s="107"/>
      <c r="O49" s="107"/>
      <c r="P49" s="107"/>
      <c r="Q49" s="107"/>
      <c r="R49" s="107"/>
      <c r="S49" s="107"/>
      <c r="T49" s="107"/>
      <c r="U49" s="107"/>
      <c r="V49" s="107"/>
      <c r="W49" s="107"/>
      <c r="X49" s="107"/>
      <c r="Y49" s="107"/>
      <c r="Z49" s="107"/>
      <c r="AA49" s="107"/>
      <c r="AB49" s="107"/>
      <c r="AC49" s="107"/>
      <c r="AD49" s="107"/>
      <c r="AE49" s="107"/>
      <c r="AF49" s="107"/>
      <c r="AG49" s="107"/>
    </row>
    <row r="50" spans="1:33" x14ac:dyDescent="0.25">
      <c r="A50" s="107"/>
      <c r="B50" s="107"/>
      <c r="C50" s="107"/>
      <c r="D50" s="107"/>
      <c r="E50" s="107"/>
      <c r="F50" s="107"/>
      <c r="G50" s="107"/>
      <c r="H50" s="107"/>
      <c r="I50" s="107"/>
      <c r="J50" s="107"/>
      <c r="K50" s="107"/>
      <c r="L50" s="107"/>
      <c r="M50" s="107"/>
      <c r="N50" s="107"/>
      <c r="O50" s="107"/>
      <c r="P50" s="107"/>
      <c r="Q50" s="107"/>
      <c r="R50" s="107"/>
      <c r="S50" s="107"/>
      <c r="T50" s="107"/>
      <c r="U50" s="107"/>
      <c r="V50" s="107"/>
      <c r="W50" s="107"/>
      <c r="X50" s="107"/>
      <c r="Y50" s="107"/>
      <c r="Z50" s="107"/>
      <c r="AA50" s="107"/>
      <c r="AB50" s="107"/>
      <c r="AC50" s="107"/>
      <c r="AD50" s="107"/>
      <c r="AE50" s="107"/>
      <c r="AF50" s="107"/>
      <c r="AG50" s="107"/>
    </row>
    <row r="51" spans="1:33" x14ac:dyDescent="0.25">
      <c r="A51" s="107"/>
      <c r="B51" s="107"/>
      <c r="C51" s="107"/>
      <c r="D51" s="107"/>
      <c r="E51" s="107"/>
      <c r="F51" s="107"/>
      <c r="G51" s="107"/>
      <c r="H51" s="107"/>
      <c r="I51" s="107"/>
      <c r="J51" s="107"/>
      <c r="K51" s="107"/>
      <c r="L51" s="107"/>
      <c r="M51" s="107"/>
      <c r="N51" s="107"/>
      <c r="O51" s="107"/>
      <c r="P51" s="107"/>
      <c r="Q51" s="107"/>
      <c r="R51" s="107"/>
      <c r="S51" s="107"/>
      <c r="T51" s="107"/>
      <c r="U51" s="107"/>
      <c r="V51" s="107"/>
      <c r="W51" s="107"/>
      <c r="X51" s="107"/>
      <c r="Y51" s="107"/>
      <c r="Z51" s="107"/>
      <c r="AA51" s="107"/>
      <c r="AB51" s="107"/>
      <c r="AC51" s="107"/>
      <c r="AD51" s="107"/>
      <c r="AE51" s="107"/>
      <c r="AF51" s="107"/>
      <c r="AG51" s="107"/>
    </row>
    <row r="52" spans="1:33" x14ac:dyDescent="0.25">
      <c r="A52" s="107"/>
      <c r="B52" s="107"/>
      <c r="C52" s="107"/>
      <c r="D52" s="107"/>
      <c r="E52" s="107"/>
      <c r="F52" s="107"/>
      <c r="G52" s="107"/>
      <c r="H52" s="107"/>
      <c r="I52" s="107"/>
      <c r="J52" s="107"/>
      <c r="K52" s="107"/>
      <c r="L52" s="107"/>
      <c r="M52" s="107"/>
      <c r="N52" s="107"/>
      <c r="O52" s="107"/>
      <c r="P52" s="107"/>
      <c r="Q52" s="107"/>
      <c r="R52" s="107"/>
      <c r="S52" s="107"/>
      <c r="T52" s="107"/>
      <c r="U52" s="107"/>
      <c r="V52" s="107"/>
      <c r="W52" s="107"/>
      <c r="X52" s="107"/>
      <c r="Y52" s="107"/>
      <c r="Z52" s="107"/>
      <c r="AA52" s="107"/>
      <c r="AB52" s="107"/>
      <c r="AC52" s="107"/>
      <c r="AD52" s="107"/>
      <c r="AE52" s="107"/>
      <c r="AF52" s="107"/>
      <c r="AG52" s="107"/>
    </row>
    <row r="53" spans="1:33" x14ac:dyDescent="0.25">
      <c r="A53" s="107"/>
      <c r="B53" s="107"/>
      <c r="C53" s="107"/>
      <c r="D53" s="107"/>
      <c r="E53" s="107"/>
      <c r="F53" s="107"/>
      <c r="G53" s="107"/>
      <c r="H53" s="107"/>
      <c r="I53" s="107"/>
      <c r="J53" s="107"/>
      <c r="K53" s="107"/>
      <c r="L53" s="107"/>
      <c r="M53" s="107"/>
      <c r="N53" s="107"/>
      <c r="O53" s="107"/>
      <c r="P53" s="107"/>
      <c r="Q53" s="107"/>
      <c r="R53" s="107"/>
      <c r="S53" s="107"/>
      <c r="T53" s="107"/>
      <c r="U53" s="107"/>
      <c r="V53" s="107"/>
      <c r="W53" s="107"/>
      <c r="X53" s="107"/>
      <c r="Y53" s="107"/>
      <c r="Z53" s="107"/>
      <c r="AA53" s="107"/>
      <c r="AB53" s="107"/>
      <c r="AC53" s="107"/>
      <c r="AD53" s="107"/>
      <c r="AE53" s="107"/>
      <c r="AF53" s="107"/>
      <c r="AG53" s="107"/>
    </row>
    <row r="54" spans="1:33" x14ac:dyDescent="0.25">
      <c r="A54" s="107"/>
      <c r="B54" s="107"/>
      <c r="C54" s="107"/>
      <c r="D54" s="107"/>
      <c r="E54" s="107"/>
      <c r="F54" s="107"/>
      <c r="G54" s="107"/>
      <c r="H54" s="107"/>
      <c r="I54" s="107"/>
      <c r="J54" s="107"/>
      <c r="K54" s="107"/>
      <c r="L54" s="107"/>
      <c r="M54" s="107"/>
      <c r="N54" s="107"/>
      <c r="O54" s="107"/>
      <c r="P54" s="107"/>
      <c r="Q54" s="107"/>
      <c r="R54" s="107"/>
      <c r="S54" s="107"/>
      <c r="T54" s="107"/>
      <c r="U54" s="107"/>
      <c r="V54" s="107"/>
      <c r="W54" s="107"/>
      <c r="X54" s="107"/>
      <c r="Y54" s="107"/>
      <c r="Z54" s="107"/>
      <c r="AA54" s="107"/>
      <c r="AB54" s="107"/>
      <c r="AC54" s="107"/>
      <c r="AD54" s="107"/>
      <c r="AE54" s="107"/>
      <c r="AF54" s="107"/>
      <c r="AG54" s="107"/>
    </row>
    <row r="55" spans="1:33" x14ac:dyDescent="0.25">
      <c r="A55" s="107"/>
      <c r="B55" s="107"/>
      <c r="C55" s="107"/>
      <c r="D55" s="107"/>
      <c r="E55" s="107"/>
      <c r="F55" s="107"/>
      <c r="G55" s="107"/>
      <c r="H55" s="107"/>
      <c r="I55" s="107"/>
      <c r="J55" s="107"/>
      <c r="K55" s="107"/>
      <c r="L55" s="107"/>
      <c r="M55" s="107"/>
      <c r="N55" s="107"/>
      <c r="O55" s="107"/>
      <c r="P55" s="107"/>
      <c r="Q55" s="107"/>
      <c r="R55" s="107"/>
      <c r="S55" s="107"/>
      <c r="T55" s="107"/>
      <c r="U55" s="107"/>
      <c r="V55" s="107"/>
      <c r="W55" s="107"/>
      <c r="X55" s="107"/>
      <c r="Y55" s="107"/>
      <c r="Z55" s="107"/>
      <c r="AA55" s="107"/>
      <c r="AB55" s="107"/>
      <c r="AC55" s="107"/>
      <c r="AD55" s="107"/>
      <c r="AE55" s="107"/>
      <c r="AF55" s="107"/>
      <c r="AG55" s="107"/>
    </row>
    <row r="56" spans="1:33" x14ac:dyDescent="0.25">
      <c r="A56" s="107"/>
      <c r="B56" s="107"/>
      <c r="C56" s="107"/>
      <c r="D56" s="107"/>
      <c r="E56" s="107"/>
      <c r="F56" s="107"/>
      <c r="G56" s="107"/>
      <c r="H56" s="107"/>
      <c r="I56" s="107"/>
      <c r="J56" s="107"/>
      <c r="K56" s="107"/>
      <c r="L56" s="107"/>
      <c r="M56" s="107"/>
      <c r="N56" s="107"/>
      <c r="O56" s="107"/>
      <c r="P56" s="107"/>
      <c r="Q56" s="107"/>
      <c r="R56" s="107"/>
      <c r="S56" s="107"/>
      <c r="T56" s="107"/>
      <c r="U56" s="107"/>
      <c r="V56" s="107"/>
      <c r="W56" s="107"/>
      <c r="X56" s="107"/>
      <c r="Y56" s="107"/>
      <c r="Z56" s="107"/>
      <c r="AA56" s="107"/>
      <c r="AB56" s="107"/>
      <c r="AC56" s="107"/>
      <c r="AD56" s="107"/>
      <c r="AE56" s="107"/>
      <c r="AF56" s="107"/>
      <c r="AG56" s="107"/>
    </row>
    <row r="57" spans="1:33" x14ac:dyDescent="0.25">
      <c r="A57" s="107"/>
      <c r="B57" s="107"/>
      <c r="C57" s="107"/>
      <c r="D57" s="107"/>
      <c r="E57" s="107"/>
      <c r="F57" s="107"/>
      <c r="G57" s="107"/>
      <c r="H57" s="107"/>
      <c r="I57" s="107"/>
      <c r="J57" s="107"/>
      <c r="K57" s="107"/>
      <c r="L57" s="107"/>
      <c r="M57" s="107"/>
      <c r="N57" s="107"/>
      <c r="O57" s="107"/>
      <c r="P57" s="107"/>
      <c r="Q57" s="107"/>
      <c r="R57" s="107"/>
      <c r="S57" s="107"/>
      <c r="T57" s="107"/>
      <c r="U57" s="107"/>
      <c r="V57" s="107"/>
      <c r="W57" s="107"/>
      <c r="X57" s="107"/>
      <c r="Y57" s="107"/>
      <c r="Z57" s="107"/>
      <c r="AA57" s="107"/>
      <c r="AB57" s="107"/>
      <c r="AC57" s="107"/>
      <c r="AD57" s="107"/>
      <c r="AE57" s="107"/>
      <c r="AF57" s="107"/>
      <c r="AG57" s="107"/>
    </row>
    <row r="58" spans="1:33" x14ac:dyDescent="0.25">
      <c r="A58" s="107"/>
      <c r="B58" s="107"/>
      <c r="C58" s="107"/>
      <c r="D58" s="107"/>
      <c r="E58" s="107"/>
      <c r="F58" s="107"/>
      <c r="G58" s="107"/>
      <c r="H58" s="107"/>
      <c r="I58" s="107"/>
      <c r="J58" s="107"/>
      <c r="K58" s="107"/>
      <c r="L58" s="107"/>
      <c r="M58" s="107"/>
      <c r="N58" s="107"/>
      <c r="O58" s="107"/>
      <c r="P58" s="107"/>
      <c r="Q58" s="107"/>
      <c r="R58" s="107"/>
      <c r="S58" s="107"/>
      <c r="T58" s="107"/>
      <c r="U58" s="107"/>
      <c r="V58" s="107"/>
      <c r="W58" s="107"/>
      <c r="X58" s="107"/>
      <c r="Y58" s="107"/>
      <c r="Z58" s="107"/>
      <c r="AA58" s="107"/>
      <c r="AB58" s="107"/>
      <c r="AC58" s="107"/>
      <c r="AD58" s="107"/>
      <c r="AE58" s="107"/>
      <c r="AF58" s="107"/>
      <c r="AG58" s="107"/>
    </row>
    <row r="59" spans="1:33" x14ac:dyDescent="0.25">
      <c r="A59" s="107"/>
      <c r="B59" s="107"/>
      <c r="C59" s="107"/>
      <c r="D59" s="107"/>
      <c r="E59" s="107"/>
      <c r="F59" s="107"/>
      <c r="G59" s="107"/>
      <c r="H59" s="107"/>
      <c r="I59" s="107"/>
      <c r="J59" s="107"/>
      <c r="K59" s="107"/>
      <c r="L59" s="107"/>
      <c r="M59" s="107"/>
      <c r="N59" s="107"/>
      <c r="O59" s="107"/>
      <c r="P59" s="107"/>
      <c r="Q59" s="107"/>
      <c r="R59" s="107"/>
      <c r="S59" s="107"/>
      <c r="T59" s="107"/>
      <c r="U59" s="107"/>
      <c r="V59" s="107"/>
      <c r="W59" s="107"/>
      <c r="X59" s="107"/>
      <c r="Y59" s="107"/>
      <c r="Z59" s="107"/>
      <c r="AA59" s="107"/>
      <c r="AB59" s="107"/>
      <c r="AC59" s="107"/>
      <c r="AD59" s="107"/>
      <c r="AE59" s="107"/>
      <c r="AF59" s="107"/>
      <c r="AG59" s="107"/>
    </row>
    <row r="60" spans="1:33" x14ac:dyDescent="0.25">
      <c r="A60" s="107"/>
      <c r="B60" s="107"/>
      <c r="C60" s="107"/>
      <c r="D60" s="107"/>
      <c r="E60" s="107"/>
      <c r="F60" s="107"/>
      <c r="G60" s="107"/>
      <c r="H60" s="107"/>
      <c r="I60" s="107"/>
      <c r="J60" s="107"/>
      <c r="K60" s="107"/>
      <c r="L60" s="107"/>
      <c r="M60" s="107"/>
      <c r="N60" s="107"/>
      <c r="O60" s="107"/>
      <c r="P60" s="107"/>
      <c r="Q60" s="107"/>
      <c r="R60" s="107"/>
      <c r="S60" s="107"/>
      <c r="T60" s="107"/>
      <c r="U60" s="107"/>
      <c r="V60" s="107"/>
      <c r="W60" s="107"/>
      <c r="X60" s="107"/>
      <c r="Y60" s="107"/>
      <c r="Z60" s="107"/>
      <c r="AA60" s="107"/>
      <c r="AB60" s="107"/>
      <c r="AC60" s="107"/>
      <c r="AD60" s="107"/>
      <c r="AE60" s="107"/>
      <c r="AF60" s="107"/>
      <c r="AG60" s="107"/>
    </row>
    <row r="61" spans="1:33" x14ac:dyDescent="0.25">
      <c r="A61" s="107"/>
      <c r="B61" s="107"/>
      <c r="C61" s="107"/>
      <c r="D61" s="107"/>
      <c r="E61" s="107"/>
      <c r="F61" s="107"/>
      <c r="G61" s="107"/>
      <c r="H61" s="107"/>
      <c r="I61" s="107"/>
      <c r="J61" s="107"/>
      <c r="K61" s="107"/>
      <c r="L61" s="107"/>
      <c r="M61" s="107"/>
      <c r="N61" s="107"/>
      <c r="O61" s="107"/>
      <c r="P61" s="107"/>
      <c r="Q61" s="107"/>
      <c r="R61" s="107"/>
      <c r="S61" s="107"/>
      <c r="T61" s="107"/>
      <c r="U61" s="107"/>
      <c r="V61" s="107"/>
      <c r="W61" s="107"/>
      <c r="X61" s="107"/>
      <c r="Y61" s="107"/>
      <c r="Z61" s="107"/>
      <c r="AA61" s="107"/>
      <c r="AB61" s="107"/>
      <c r="AC61" s="107"/>
      <c r="AD61" s="107"/>
      <c r="AE61" s="107"/>
      <c r="AF61" s="107"/>
      <c r="AG61" s="107"/>
    </row>
    <row r="62" spans="1:33" x14ac:dyDescent="0.25">
      <c r="A62" s="107"/>
      <c r="B62" s="107"/>
      <c r="C62" s="107"/>
      <c r="D62" s="107"/>
      <c r="E62" s="107"/>
      <c r="F62" s="107"/>
      <c r="G62" s="107"/>
      <c r="H62" s="107"/>
      <c r="I62" s="107"/>
      <c r="J62" s="107"/>
      <c r="K62" s="107"/>
      <c r="L62" s="107"/>
      <c r="M62" s="107"/>
      <c r="N62" s="107"/>
      <c r="O62" s="107"/>
      <c r="P62" s="107"/>
      <c r="Q62" s="107"/>
      <c r="R62" s="107"/>
      <c r="S62" s="107"/>
      <c r="T62" s="107"/>
      <c r="U62" s="107"/>
      <c r="V62" s="107"/>
      <c r="W62" s="107"/>
      <c r="X62" s="107"/>
      <c r="Y62" s="107"/>
      <c r="Z62" s="107"/>
      <c r="AA62" s="107"/>
      <c r="AB62" s="107"/>
      <c r="AC62" s="107"/>
      <c r="AD62" s="107"/>
      <c r="AE62" s="107"/>
      <c r="AF62" s="107"/>
      <c r="AG62" s="107"/>
    </row>
    <row r="63" spans="1:33" x14ac:dyDescent="0.25">
      <c r="A63" s="107"/>
      <c r="B63" s="107"/>
      <c r="C63" s="107"/>
      <c r="D63" s="107"/>
      <c r="E63" s="107"/>
      <c r="F63" s="107"/>
      <c r="G63" s="107"/>
      <c r="H63" s="107"/>
      <c r="I63" s="107"/>
      <c r="J63" s="107"/>
      <c r="K63" s="107"/>
      <c r="L63" s="107"/>
      <c r="M63" s="107"/>
      <c r="N63" s="107"/>
      <c r="O63" s="107"/>
      <c r="P63" s="107"/>
      <c r="Q63" s="107"/>
      <c r="R63" s="107"/>
      <c r="S63" s="107"/>
      <c r="T63" s="107"/>
      <c r="U63" s="107"/>
      <c r="V63" s="107"/>
      <c r="W63" s="107"/>
      <c r="X63" s="107"/>
      <c r="Y63" s="107"/>
      <c r="Z63" s="107"/>
      <c r="AA63" s="107"/>
      <c r="AB63" s="107"/>
      <c r="AC63" s="107"/>
      <c r="AD63" s="107"/>
      <c r="AE63" s="107"/>
      <c r="AF63" s="107"/>
      <c r="AG63" s="107"/>
    </row>
    <row r="64" spans="1:33" x14ac:dyDescent="0.25">
      <c r="A64" s="107"/>
      <c r="B64" s="107"/>
      <c r="C64" s="107"/>
      <c r="D64" s="107"/>
      <c r="E64" s="107"/>
      <c r="F64" s="107"/>
      <c r="G64" s="107"/>
      <c r="H64" s="107"/>
      <c r="I64" s="107"/>
      <c r="J64" s="107"/>
      <c r="K64" s="107"/>
      <c r="L64" s="107"/>
      <c r="M64" s="107"/>
      <c r="N64" s="107"/>
      <c r="O64" s="107"/>
      <c r="P64" s="107"/>
      <c r="Q64" s="107"/>
      <c r="R64" s="107"/>
      <c r="S64" s="107"/>
      <c r="T64" s="107"/>
      <c r="U64" s="107"/>
      <c r="V64" s="107"/>
      <c r="W64" s="107"/>
      <c r="X64" s="107"/>
      <c r="Y64" s="107"/>
      <c r="Z64" s="107"/>
      <c r="AA64" s="107"/>
      <c r="AB64" s="107"/>
      <c r="AC64" s="107"/>
      <c r="AD64" s="107"/>
      <c r="AE64" s="107"/>
      <c r="AF64" s="107"/>
      <c r="AG64" s="107"/>
    </row>
    <row r="65" spans="1:33" x14ac:dyDescent="0.25">
      <c r="A65" s="107"/>
      <c r="B65" s="107"/>
      <c r="C65" s="107"/>
      <c r="D65" s="107"/>
      <c r="E65" s="107"/>
      <c r="F65" s="107"/>
      <c r="G65" s="107"/>
      <c r="H65" s="107"/>
      <c r="I65" s="107"/>
      <c r="J65" s="107"/>
      <c r="K65" s="107"/>
      <c r="L65" s="107"/>
      <c r="M65" s="107"/>
      <c r="N65" s="107"/>
      <c r="O65" s="107"/>
      <c r="P65" s="107"/>
      <c r="Q65" s="107"/>
      <c r="R65" s="107"/>
      <c r="S65" s="107"/>
      <c r="T65" s="107"/>
      <c r="U65" s="107"/>
      <c r="V65" s="107"/>
      <c r="W65" s="107"/>
      <c r="X65" s="107"/>
      <c r="Y65" s="107"/>
      <c r="Z65" s="107"/>
      <c r="AA65" s="107"/>
      <c r="AB65" s="107"/>
      <c r="AC65" s="107"/>
      <c r="AD65" s="107"/>
      <c r="AE65" s="107"/>
      <c r="AF65" s="107"/>
      <c r="AG65" s="107"/>
    </row>
    <row r="66" spans="1:33" x14ac:dyDescent="0.25">
      <c r="A66" s="107"/>
      <c r="B66" s="107"/>
      <c r="C66" s="107"/>
      <c r="D66" s="107"/>
      <c r="E66" s="107"/>
      <c r="F66" s="107"/>
      <c r="G66" s="107"/>
      <c r="H66" s="107"/>
      <c r="I66" s="107"/>
      <c r="J66" s="107"/>
      <c r="K66" s="107"/>
      <c r="L66" s="107"/>
      <c r="M66" s="107"/>
      <c r="N66" s="107"/>
      <c r="O66" s="107"/>
      <c r="P66" s="107"/>
      <c r="Q66" s="107"/>
      <c r="R66" s="107"/>
      <c r="S66" s="107"/>
      <c r="T66" s="107"/>
      <c r="U66" s="107"/>
      <c r="V66" s="107"/>
      <c r="W66" s="107"/>
      <c r="X66" s="107"/>
      <c r="Y66" s="107"/>
      <c r="Z66" s="107"/>
      <c r="AA66" s="107"/>
      <c r="AB66" s="107"/>
      <c r="AC66" s="107"/>
      <c r="AD66" s="107"/>
      <c r="AE66" s="107"/>
      <c r="AF66" s="107"/>
      <c r="AG66" s="107"/>
    </row>
    <row r="67" spans="1:33" x14ac:dyDescent="0.25">
      <c r="A67" s="107"/>
      <c r="B67" s="107"/>
      <c r="C67" s="107"/>
      <c r="D67" s="107"/>
      <c r="E67" s="107"/>
      <c r="F67" s="107"/>
      <c r="G67" s="107"/>
      <c r="H67" s="107"/>
      <c r="I67" s="107"/>
      <c r="J67" s="107"/>
      <c r="K67" s="107"/>
      <c r="L67" s="107"/>
      <c r="M67" s="107"/>
      <c r="N67" s="107"/>
      <c r="O67" s="107"/>
      <c r="P67" s="107"/>
      <c r="Q67" s="107"/>
      <c r="R67" s="107"/>
      <c r="S67" s="107"/>
      <c r="T67" s="107"/>
      <c r="U67" s="107"/>
      <c r="V67" s="107"/>
      <c r="W67" s="107"/>
      <c r="X67" s="107"/>
      <c r="Y67" s="107"/>
      <c r="Z67" s="107"/>
      <c r="AA67" s="107"/>
      <c r="AB67" s="107"/>
      <c r="AC67" s="107"/>
      <c r="AD67" s="107"/>
      <c r="AE67" s="107"/>
      <c r="AF67" s="107"/>
      <c r="AG67" s="107"/>
    </row>
    <row r="68" spans="1:33" x14ac:dyDescent="0.25">
      <c r="A68" s="107"/>
      <c r="B68" s="107"/>
      <c r="C68" s="107"/>
      <c r="D68" s="107"/>
      <c r="E68" s="107"/>
      <c r="F68" s="107"/>
      <c r="G68" s="107"/>
      <c r="H68" s="107"/>
      <c r="I68" s="107"/>
      <c r="J68" s="107"/>
      <c r="K68" s="107"/>
      <c r="L68" s="107"/>
      <c r="M68" s="107"/>
      <c r="N68" s="107"/>
      <c r="O68" s="107"/>
      <c r="P68" s="107"/>
      <c r="Q68" s="107"/>
      <c r="R68" s="107"/>
      <c r="S68" s="107"/>
      <c r="T68" s="107"/>
      <c r="U68" s="107"/>
      <c r="V68" s="107"/>
      <c r="W68" s="107"/>
      <c r="X68" s="107"/>
      <c r="Y68" s="107"/>
      <c r="Z68" s="107"/>
      <c r="AA68" s="107"/>
      <c r="AB68" s="107"/>
      <c r="AC68" s="107"/>
      <c r="AD68" s="107"/>
      <c r="AE68" s="107"/>
      <c r="AF68" s="107"/>
      <c r="AG68" s="107"/>
    </row>
  </sheetData>
  <mergeCells count="7">
    <mergeCell ref="M12:N12"/>
    <mergeCell ref="M13:N13"/>
    <mergeCell ref="A22:A25"/>
    <mergeCell ref="A2:A7"/>
    <mergeCell ref="M3:N3"/>
    <mergeCell ref="M2:N2"/>
    <mergeCell ref="M16:N16"/>
  </mergeCells>
  <conditionalFormatting sqref="M15:N15">
    <cfRule type="expression" dxfId="13" priority="1">
      <formula>$C$23="FRM"</formula>
    </cfRule>
    <cfRule type="expression" dxfId="12" priority="2">
      <formula>$C$23="ARM"</formula>
    </cfRule>
  </conditionalFormatting>
  <dataValidations count="3">
    <dataValidation type="list" allowBlank="1" showInputMessage="1" showErrorMessage="1" sqref="C23" xr:uid="{4D8E9D8E-4453-4A12-A65E-A22C53890408}">
      <formula1>"FRM,ARM"</formula1>
    </dataValidation>
    <dataValidation type="list" allowBlank="1" showInputMessage="1" showErrorMessage="1" sqref="E23" xr:uid="{7B3A6F03-5325-4E8B-B696-96A6B3E11AB7}">
      <formula1>"10, 15, 30,=$N$5"</formula1>
    </dataValidation>
    <dataValidation type="list" allowBlank="1" showInputMessage="1" showErrorMessage="1" sqref="B23" xr:uid="{3E9B64AE-C936-4A20-BCA1-1C1B05E00412}">
      <formula1>"10, 15 , 30,=$N$4"</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A4122-E61D-4237-91A1-3BDC7D7E2821}">
  <sheetPr>
    <tabColor rgb="FFFF0000"/>
  </sheetPr>
  <dimension ref="A1:M362"/>
  <sheetViews>
    <sheetView tabSelected="1" topLeftCell="B1" zoomScale="115" zoomScaleNormal="115" workbookViewId="0">
      <selection activeCell="E65" sqref="E65:E76"/>
    </sheetView>
  </sheetViews>
  <sheetFormatPr defaultRowHeight="15" x14ac:dyDescent="0.25"/>
  <cols>
    <col min="1" max="1" width="10.5703125" style="107" hidden="1" customWidth="1"/>
    <col min="2" max="2" width="12" style="107" bestFit="1" customWidth="1"/>
    <col min="3" max="3" width="7.28515625" style="107" customWidth="1"/>
    <col min="4" max="4" width="17.5703125" style="109" bestFit="1" customWidth="1"/>
    <col min="5" max="5" width="15.85546875" style="109" customWidth="1"/>
    <col min="6" max="6" width="26.28515625" style="109" bestFit="1" customWidth="1"/>
    <col min="7" max="7" width="15.42578125" style="109" bestFit="1" customWidth="1"/>
    <col min="8" max="8" width="29.7109375" style="109" customWidth="1"/>
    <col min="9" max="9" width="29.7109375" style="109" bestFit="1" customWidth="1"/>
    <col min="10" max="10" width="70.5703125" style="107" bestFit="1" customWidth="1"/>
    <col min="11" max="11" width="9.140625" style="107"/>
    <col min="12" max="12" width="21.7109375" style="107" bestFit="1" customWidth="1"/>
    <col min="13" max="13" width="20.7109375" style="107" bestFit="1" customWidth="1"/>
    <col min="14" max="16384" width="9.140625" style="107"/>
  </cols>
  <sheetData>
    <row r="1" spans="1:13" ht="36" x14ac:dyDescent="0.55000000000000004">
      <c r="B1" s="108" t="s">
        <v>99</v>
      </c>
    </row>
    <row r="2" spans="1:13" x14ac:dyDescent="0.25">
      <c r="A2" s="107" t="s">
        <v>47</v>
      </c>
      <c r="B2" s="111" t="s">
        <v>48</v>
      </c>
      <c r="C2" s="111" t="s">
        <v>36</v>
      </c>
      <c r="D2" s="112" t="s">
        <v>51</v>
      </c>
      <c r="E2" s="112" t="s">
        <v>37</v>
      </c>
      <c r="F2" s="112" t="s">
        <v>38</v>
      </c>
      <c r="G2" s="112" t="s">
        <v>39</v>
      </c>
      <c r="H2" s="112" t="s">
        <v>41</v>
      </c>
      <c r="I2" s="112" t="s">
        <v>52</v>
      </c>
      <c r="J2" s="111" t="s">
        <v>97</v>
      </c>
    </row>
    <row r="3" spans="1:13" x14ac:dyDescent="0.25">
      <c r="A3" s="107" t="b">
        <f>IF(('Stress Test Inputs'!$C$23)="FRM", FALSE, ISNUMBER(MATCH(C3,'Stress Test Inputs'!$M$18:$M$30,0)))</f>
        <v>0</v>
      </c>
      <c r="B3" s="113">
        <f>'Stress Test Inputs'!$D$23+'Stress Test Financial Analysis'!D5</f>
        <v>6.3500000000000001E-2</v>
      </c>
      <c r="C3" s="114">
        <v>1</v>
      </c>
      <c r="D3" s="115">
        <f>'Stress Test Inputs'!B17*(1-'Stress Test Inputs'!C17)</f>
        <v>10080000</v>
      </c>
      <c r="E3" s="112">
        <f>IF(OR(D3&lt;=0,C3&gt;'Stress Test Inputs'!$B$23*12),0,IF(AND(C3='Stress Test Inputs'!$B$23*12,'Stress Test Inputs'!$E$23&gt;'Stress Test Inputs'!$B$23),D3+D3*B3/12,IF('Stress Test Inputs'!$C$23="FRM",-PMT($B$3/12,'Stress Test Inputs'!$E$23*12,$D$3),IF($A3,-PMT(B3/12,('Stress Test Inputs'!$E$23*12)-C3+1,D3),-PMT(B3/12,'Stress Test Inputs'!E23*12,'Stress Test Debt Calc'!D3)))))</f>
        <v>67119.120862402575</v>
      </c>
      <c r="F3" s="112">
        <f>IF(D3-E3&lt;0,0,D3-E3)</f>
        <v>10012880.879137598</v>
      </c>
      <c r="G3" s="112">
        <f>IF(C3&gt;'Stress Test Inputs'!$B$23*12,0,D3*B3/12)</f>
        <v>53340</v>
      </c>
      <c r="H3" s="112">
        <f>MIN(E3-G3,D3)</f>
        <v>13779.120862402575</v>
      </c>
      <c r="I3" s="112">
        <f>IF(ROUND(D3-H3,2)=0,0,D3-H3)</f>
        <v>10066220.879137598</v>
      </c>
      <c r="J3" s="111"/>
    </row>
    <row r="4" spans="1:13" x14ac:dyDescent="0.25">
      <c r="A4" s="107" t="b">
        <f>IF(('Stress Test Inputs'!$C$23)="FRM", FALSE, ISNUMBER(MATCH(C4,'Stress Test Inputs'!$M$18:$M$30,0)))</f>
        <v>0</v>
      </c>
      <c r="B4" s="116">
        <f>IF($A4, (_xlfn.XLOOKUP(C4,'Stress Test Inputs'!$M$17:$M$29,'Stress Test Inputs'!$N$17:$N$29)+'Stress Test Financial Analysis'!$D$5),$B3)</f>
        <v>6.3500000000000001E-2</v>
      </c>
      <c r="C4" s="114">
        <f>C3+1</f>
        <v>2</v>
      </c>
      <c r="D4" s="112">
        <f>IF(I3&gt;0,I3-J3,0)</f>
        <v>10066220.879137598</v>
      </c>
      <c r="E4" s="112">
        <f>IF(OR(D4&lt;=0,C4&gt;'Stress Test Inputs'!$B$23*12),0,IF(AND(C4='Stress Test Inputs'!$B$23*12,'Stress Test Inputs'!$E$23&gt;'Stress Test Inputs'!$B$23),D4+D4*B4/12,IF('Stress Test Inputs'!$C$23="FRM",-PMT($B$3/12,'Stress Test Inputs'!$E$23*12,$D$3),IF($A4,-PMT(B4/12,('Stress Test Inputs'!$E$23*12)-C4+1,D4),E3))))</f>
        <v>67119.120862402575</v>
      </c>
      <c r="F4" s="112">
        <f t="shared" ref="F4:F67" si="0">IF(D4-E4&lt;0,0,D4-E4)</f>
        <v>9999101.758275196</v>
      </c>
      <c r="G4" s="112">
        <f>IF(C4&gt;'Stress Test Inputs'!$B$23*12,0,D4*B4/12)</f>
        <v>53267.085485436459</v>
      </c>
      <c r="H4" s="112">
        <f t="shared" ref="H4:H66" si="1">MIN(E4-G4,D4)</f>
        <v>13852.035376966116</v>
      </c>
      <c r="I4" s="112">
        <f>IF(ROUND(D4-H4,2)=0,0,D4-H4)</f>
        <v>10052368.843760632</v>
      </c>
      <c r="J4" s="111"/>
    </row>
    <row r="5" spans="1:13" x14ac:dyDescent="0.25">
      <c r="A5" s="107" t="b">
        <f>IF(('Stress Test Inputs'!$C$23)="FRM", FALSE, ISNUMBER(MATCH(C5,'Stress Test Inputs'!$M$18:$M$30,0)))</f>
        <v>0</v>
      </c>
      <c r="B5" s="116">
        <f>IF($A5, (_xlfn.XLOOKUP(C5,'Stress Test Inputs'!$M$17:$M$29,'Stress Test Inputs'!$N$17:$N$29)+'Stress Test Financial Analysis'!$D$5),$B4)</f>
        <v>6.3500000000000001E-2</v>
      </c>
      <c r="C5" s="114">
        <f t="shared" ref="C5:C68" si="2">C4+1</f>
        <v>3</v>
      </c>
      <c r="D5" s="112">
        <f>IF(I4&gt;0,I4-J4,0)</f>
        <v>10052368.843760632</v>
      </c>
      <c r="E5" s="112">
        <f>IF(OR(D5&lt;=0,C5&gt;'Stress Test Inputs'!$B$23*12),0,IF(AND(C5='Stress Test Inputs'!$B$23*12,'Stress Test Inputs'!$E$23&gt;'Stress Test Inputs'!$B$23),D5+D5*B5/12,IF('Stress Test Inputs'!$C$23="FRM",-PMT($B$3/12,'Stress Test Inputs'!$E$23*12,$D$3),IF($A5,-PMT(B5/12,('Stress Test Inputs'!$E$23*12)-C5+1,D5),E4))))</f>
        <v>67119.120862402575</v>
      </c>
      <c r="F5" s="112">
        <f t="shared" si="0"/>
        <v>9985249.72289823</v>
      </c>
      <c r="G5" s="112">
        <f>IF(C5&gt;'Stress Test Inputs'!$B$23*12,0,D5*B5/12)</f>
        <v>53193.785131566685</v>
      </c>
      <c r="H5" s="112">
        <f t="shared" si="1"/>
        <v>13925.33573083589</v>
      </c>
      <c r="I5" s="112">
        <f t="shared" ref="I5:I68" si="3">IF(ROUND(D5-H5,2)=0,0,D5-H5)</f>
        <v>10038443.508029796</v>
      </c>
      <c r="J5" s="111"/>
    </row>
    <row r="6" spans="1:13" x14ac:dyDescent="0.25">
      <c r="A6" s="107" t="b">
        <f>IF(('Stress Test Inputs'!$C$23)="FRM", FALSE, ISNUMBER(MATCH(C6,'Stress Test Inputs'!$M$18:$M$30,0)))</f>
        <v>0</v>
      </c>
      <c r="B6" s="116">
        <f>IF($A6, (_xlfn.XLOOKUP(C6,'Stress Test Inputs'!$M$17:$M$29,'Stress Test Inputs'!$N$17:$N$29)+'Stress Test Financial Analysis'!$D$5),$B5)</f>
        <v>6.3500000000000001E-2</v>
      </c>
      <c r="C6" s="114">
        <f t="shared" si="2"/>
        <v>4</v>
      </c>
      <c r="D6" s="112">
        <f>IF(I5&gt;0,I5-J5,0)</f>
        <v>10038443.508029796</v>
      </c>
      <c r="E6" s="112">
        <f>IF(OR(D6&lt;=0,C6&gt;'Stress Test Inputs'!$B$23*12),0,IF(AND(C6='Stress Test Inputs'!$B$23*12,'Stress Test Inputs'!$E$23&gt;'Stress Test Inputs'!$B$23),D6+D6*B6/12,IF('Stress Test Inputs'!$C$23="FRM",-PMT($B$3/12,'Stress Test Inputs'!$E$23*12,$D$3),IF($A6,-PMT(B6/12,('Stress Test Inputs'!$E$23*12)-C6+1,D6),E5))))</f>
        <v>67119.120862402575</v>
      </c>
      <c r="F6" s="112">
        <f t="shared" si="0"/>
        <v>9971324.3871673942</v>
      </c>
      <c r="G6" s="112">
        <f>IF(C6&gt;'Stress Test Inputs'!$B$23*12,0,D6*B6/12)</f>
        <v>53120.096896657669</v>
      </c>
      <c r="H6" s="112">
        <f t="shared" si="1"/>
        <v>13999.023965744906</v>
      </c>
      <c r="I6" s="112">
        <f t="shared" si="3"/>
        <v>10024444.484064052</v>
      </c>
      <c r="J6" s="111"/>
    </row>
    <row r="7" spans="1:13" x14ac:dyDescent="0.25">
      <c r="A7" s="107" t="b">
        <f>IF(('Stress Test Inputs'!$C$23)="FRM", FALSE, ISNUMBER(MATCH(C7,'Stress Test Inputs'!$M$18:$M$30,0)))</f>
        <v>0</v>
      </c>
      <c r="B7" s="116">
        <f>IF($A7, (_xlfn.XLOOKUP(C7,'Stress Test Inputs'!$M$17:$M$29,'Stress Test Inputs'!$N$17:$N$29)+'Stress Test Financial Analysis'!$D$5),$B6)</f>
        <v>6.3500000000000001E-2</v>
      </c>
      <c r="C7" s="114">
        <f>C6+1</f>
        <v>5</v>
      </c>
      <c r="D7" s="112">
        <f t="shared" ref="D7:D70" si="4">IF(I6&gt;0,I6-J6,0)</f>
        <v>10024444.484064052</v>
      </c>
      <c r="E7" s="112">
        <f>IF(OR(D7&lt;=0,C7&gt;'Stress Test Inputs'!$B$23*12),0,IF(AND(C7='Stress Test Inputs'!$B$23*12,'Stress Test Inputs'!$E$23&gt;'Stress Test Inputs'!$B$23),D7+D7*B7/12,IF('Stress Test Inputs'!$C$23="FRM",-PMT($B$3/12,'Stress Test Inputs'!$E$23*12,$D$3),IF($A7,-PMT(B7/12,('Stress Test Inputs'!$E$23*12)-C7+1,D7),E6))))</f>
        <v>67119.120862402575</v>
      </c>
      <c r="F7" s="112">
        <f t="shared" si="0"/>
        <v>9957325.3632016499</v>
      </c>
      <c r="G7" s="112">
        <f>IF(C7&gt;'Stress Test Inputs'!$B$23*12,0,D7*B7/12)</f>
        <v>53046.018728172268</v>
      </c>
      <c r="H7" s="112">
        <f t="shared" si="1"/>
        <v>14073.102134230307</v>
      </c>
      <c r="I7" s="112">
        <f t="shared" si="3"/>
        <v>10010371.381929822</v>
      </c>
      <c r="J7" s="111"/>
    </row>
    <row r="8" spans="1:13" x14ac:dyDescent="0.25">
      <c r="A8" s="107" t="b">
        <f>IF(('Stress Test Inputs'!$C$23)="FRM", FALSE, ISNUMBER(MATCH(C8,'Stress Test Inputs'!$M$18:$M$30,0)))</f>
        <v>0</v>
      </c>
      <c r="B8" s="116">
        <f>IF($A8, (_xlfn.XLOOKUP(C8,'Stress Test Inputs'!$M$17:$M$29,'Stress Test Inputs'!$N$17:$N$29)+'Stress Test Financial Analysis'!$D$5),$B7)</f>
        <v>6.3500000000000001E-2</v>
      </c>
      <c r="C8" s="114">
        <f t="shared" si="2"/>
        <v>6</v>
      </c>
      <c r="D8" s="112">
        <f t="shared" si="4"/>
        <v>10010371.381929822</v>
      </c>
      <c r="E8" s="112">
        <f>IF(OR(D8&lt;=0,C8&gt;'Stress Test Inputs'!$B$23*12),0,IF(AND(C8='Stress Test Inputs'!$B$23*12,'Stress Test Inputs'!$E$23&gt;'Stress Test Inputs'!$B$23),D8+D8*B8/12,IF('Stress Test Inputs'!$C$23="FRM",-PMT($B$3/12,'Stress Test Inputs'!$E$23*12,$D$3),IF($A8,-PMT(B8/12,('Stress Test Inputs'!$E$23*12)-C8+1,D8),E7))))</f>
        <v>67119.120862402575</v>
      </c>
      <c r="F8" s="112">
        <f t="shared" si="0"/>
        <v>9943252.2610674202</v>
      </c>
      <c r="G8" s="112">
        <f>IF(C8&gt;'Stress Test Inputs'!$B$23*12,0,D8*B8/12)</f>
        <v>52971.548562711978</v>
      </c>
      <c r="H8" s="112">
        <f t="shared" si="1"/>
        <v>14147.572299690597</v>
      </c>
      <c r="I8" s="112">
        <f t="shared" si="3"/>
        <v>9996223.8096301313</v>
      </c>
      <c r="J8" s="111"/>
      <c r="M8" s="110"/>
    </row>
    <row r="9" spans="1:13" x14ac:dyDescent="0.25">
      <c r="A9" s="107" t="b">
        <f>IF(('Stress Test Inputs'!$C$23)="FRM", FALSE, ISNUMBER(MATCH(C9,'Stress Test Inputs'!$M$18:$M$30,0)))</f>
        <v>0</v>
      </c>
      <c r="B9" s="116">
        <f>IF($A9, (_xlfn.XLOOKUP(C9,'Stress Test Inputs'!$M$17:$M$29,'Stress Test Inputs'!$N$17:$N$29)+'Stress Test Financial Analysis'!$D$5),$B8)</f>
        <v>6.3500000000000001E-2</v>
      </c>
      <c r="C9" s="114">
        <f t="shared" si="2"/>
        <v>7</v>
      </c>
      <c r="D9" s="112">
        <f t="shared" si="4"/>
        <v>9996223.8096301313</v>
      </c>
      <c r="E9" s="112">
        <f>IF(OR(D9&lt;=0,C9&gt;'Stress Test Inputs'!$B$23*12),0,IF(AND(C9='Stress Test Inputs'!$B$23*12,'Stress Test Inputs'!$E$23&gt;'Stress Test Inputs'!$B$23),D9+D9*B9/12,IF('Stress Test Inputs'!$C$23="FRM",-PMT($B$3/12,'Stress Test Inputs'!$E$23*12,$D$3),IF($A9,-PMT(B9/12,('Stress Test Inputs'!$E$23*12)-C9+1,D9),E8))))</f>
        <v>67119.120862402575</v>
      </c>
      <c r="F9" s="112">
        <f t="shared" si="0"/>
        <v>9929104.6887677293</v>
      </c>
      <c r="G9" s="112">
        <f>IF(C9&gt;'Stress Test Inputs'!$B$23*12,0,D9*B9/12)</f>
        <v>52896.684325959446</v>
      </c>
      <c r="H9" s="112">
        <f t="shared" si="1"/>
        <v>14222.436536443129</v>
      </c>
      <c r="I9" s="112">
        <f t="shared" si="3"/>
        <v>9982001.3730936889</v>
      </c>
      <c r="J9" s="111"/>
      <c r="L9" s="21" t="s">
        <v>73</v>
      </c>
      <c r="M9" s="22">
        <f>12*'Stress Test Inputs'!B23</f>
        <v>120</v>
      </c>
    </row>
    <row r="10" spans="1:13" x14ac:dyDescent="0.25">
      <c r="A10" s="107" t="b">
        <f>IF(('Stress Test Inputs'!$C$23)="FRM", FALSE, ISNUMBER(MATCH(C10,'Stress Test Inputs'!$M$18:$M$30,0)))</f>
        <v>0</v>
      </c>
      <c r="B10" s="116">
        <f>IF($A10, (_xlfn.XLOOKUP(C10,'Stress Test Inputs'!$M$17:$M$29,'Stress Test Inputs'!$N$17:$N$29)+'Stress Test Financial Analysis'!$D$5),$B9)</f>
        <v>6.3500000000000001E-2</v>
      </c>
      <c r="C10" s="114">
        <f t="shared" si="2"/>
        <v>8</v>
      </c>
      <c r="D10" s="112">
        <f t="shared" si="4"/>
        <v>9982001.3730936889</v>
      </c>
      <c r="E10" s="112">
        <f>IF(OR(D10&lt;=0,C10&gt;'Stress Test Inputs'!$B$23*12),0,IF(AND(C10='Stress Test Inputs'!$B$23*12,'Stress Test Inputs'!$E$23&gt;'Stress Test Inputs'!$B$23),D10+D10*B10/12,IF('Stress Test Inputs'!$C$23="FRM",-PMT($B$3/12,'Stress Test Inputs'!$E$23*12,$D$3),IF($A10,-PMT(B10/12,('Stress Test Inputs'!$E$23*12)-C10+1,D10),E9))))</f>
        <v>67119.120862402575</v>
      </c>
      <c r="F10" s="112">
        <f t="shared" si="0"/>
        <v>9914882.2522312868</v>
      </c>
      <c r="G10" s="112">
        <f>IF(C10&gt;'Stress Test Inputs'!$B$23*12,0,D10*B10/12)</f>
        <v>52821.423932620768</v>
      </c>
      <c r="H10" s="112">
        <f t="shared" si="1"/>
        <v>14297.696929781807</v>
      </c>
      <c r="I10" s="112">
        <f t="shared" si="3"/>
        <v>9967703.6761639062</v>
      </c>
      <c r="J10" s="111"/>
      <c r="L10" s="23" t="s">
        <v>77</v>
      </c>
      <c r="M10" s="117">
        <f>IF('Stress Test Inputs'!$E$23&lt;='Stress Test Inputs'!$B$23,"No Balloon Payment",_xlfn.XLOOKUP(M9,C3:C362,E3:E362,"Value Not  Found"))</f>
        <v>7779013.3332177773</v>
      </c>
    </row>
    <row r="11" spans="1:13" x14ac:dyDescent="0.25">
      <c r="A11" s="107" t="b">
        <f>IF(('Stress Test Inputs'!$C$23)="FRM", FALSE, ISNUMBER(MATCH(C11,'Stress Test Inputs'!$M$18:$M$30,0)))</f>
        <v>0</v>
      </c>
      <c r="B11" s="116">
        <f>IF($A11, (_xlfn.XLOOKUP(C11,'Stress Test Inputs'!$M$17:$M$29,'Stress Test Inputs'!$N$17:$N$29)+'Stress Test Financial Analysis'!$D$5),$B10)</f>
        <v>6.3500000000000001E-2</v>
      </c>
      <c r="C11" s="114">
        <f t="shared" si="2"/>
        <v>9</v>
      </c>
      <c r="D11" s="112">
        <f t="shared" si="4"/>
        <v>9967703.6761639062</v>
      </c>
      <c r="E11" s="112">
        <f>IF(OR(D11&lt;=0,C11&gt;'Stress Test Inputs'!$B$23*12),0,IF(AND(C11='Stress Test Inputs'!$B$23*12,'Stress Test Inputs'!$E$23&gt;'Stress Test Inputs'!$B$23),D11+D11*B11/12,IF('Stress Test Inputs'!$C$23="FRM",-PMT($B$3/12,'Stress Test Inputs'!$E$23*12,$D$3),IF($A11,-PMT(B11/12,('Stress Test Inputs'!$E$23*12)-C11+1,D11),E10))))</f>
        <v>67119.120862402575</v>
      </c>
      <c r="F11" s="112">
        <f t="shared" si="0"/>
        <v>9900584.5553015042</v>
      </c>
      <c r="G11" s="112">
        <f>IF(C11&gt;'Stress Test Inputs'!$B$23*12,0,D11*B11/12)</f>
        <v>52745.765286367336</v>
      </c>
      <c r="H11" s="112">
        <f t="shared" si="1"/>
        <v>14373.355576035239</v>
      </c>
      <c r="I11" s="112">
        <f t="shared" si="3"/>
        <v>9953330.3205878716</v>
      </c>
      <c r="J11" s="111"/>
    </row>
    <row r="12" spans="1:13" x14ac:dyDescent="0.25">
      <c r="A12" s="107" t="b">
        <f>IF(('Stress Test Inputs'!$C$23)="FRM", FALSE, ISNUMBER(MATCH(C12,'Stress Test Inputs'!$M$18:$M$30,0)))</f>
        <v>0</v>
      </c>
      <c r="B12" s="116">
        <f>IF($A12, (_xlfn.XLOOKUP(C12,'Stress Test Inputs'!$M$17:$M$29,'Stress Test Inputs'!$N$17:$N$29)+'Stress Test Financial Analysis'!$D$5),$B11)</f>
        <v>6.3500000000000001E-2</v>
      </c>
      <c r="C12" s="114">
        <f t="shared" si="2"/>
        <v>10</v>
      </c>
      <c r="D12" s="112">
        <f t="shared" si="4"/>
        <v>9953330.3205878716</v>
      </c>
      <c r="E12" s="112">
        <f>IF(OR(D12&lt;=0,C12&gt;'Stress Test Inputs'!$B$23*12),0,IF(AND(C12='Stress Test Inputs'!$B$23*12,'Stress Test Inputs'!$E$23&gt;'Stress Test Inputs'!$B$23),D12+D12*B12/12,IF('Stress Test Inputs'!$C$23="FRM",-PMT($B$3/12,'Stress Test Inputs'!$E$23*12,$D$3),IF($A12,-PMT(B12/12,('Stress Test Inputs'!$E$23*12)-C12+1,D12),E11))))</f>
        <v>67119.120862402575</v>
      </c>
      <c r="F12" s="112">
        <f t="shared" si="0"/>
        <v>9886211.1997254696</v>
      </c>
      <c r="G12" s="112">
        <f>IF(C12&gt;'Stress Test Inputs'!$B$23*12,0,D12*B12/12)</f>
        <v>52669.706279777485</v>
      </c>
      <c r="H12" s="112">
        <f t="shared" si="1"/>
        <v>14449.41458262509</v>
      </c>
      <c r="I12" s="112">
        <f t="shared" si="3"/>
        <v>9938880.9060052466</v>
      </c>
      <c r="J12" s="111"/>
    </row>
    <row r="13" spans="1:13" x14ac:dyDescent="0.25">
      <c r="A13" s="107" t="b">
        <f>IF(('Stress Test Inputs'!$C$23)="FRM", FALSE, ISNUMBER(MATCH(C13,'Stress Test Inputs'!$M$18:$M$30,0)))</f>
        <v>0</v>
      </c>
      <c r="B13" s="116">
        <f>IF($A13, (_xlfn.XLOOKUP(C13,'Stress Test Inputs'!$M$17:$M$29,'Stress Test Inputs'!$N$17:$N$29)+'Stress Test Financial Analysis'!$D$5),$B12)</f>
        <v>6.3500000000000001E-2</v>
      </c>
      <c r="C13" s="114">
        <f t="shared" si="2"/>
        <v>11</v>
      </c>
      <c r="D13" s="112">
        <f t="shared" si="4"/>
        <v>9938880.9060052466</v>
      </c>
      <c r="E13" s="112">
        <f>IF(OR(D13&lt;=0,C13&gt;'Stress Test Inputs'!$B$23*12),0,IF(AND(C13='Stress Test Inputs'!$B$23*12,'Stress Test Inputs'!$E$23&gt;'Stress Test Inputs'!$B$23),D13+D13*B13/12,IF('Stress Test Inputs'!$C$23="FRM",-PMT($B$3/12,'Stress Test Inputs'!$E$23*12,$D$3),IF($A13,-PMT(B13/12,('Stress Test Inputs'!$E$23*12)-C13+1,D13),E12))))</f>
        <v>67119.120862402575</v>
      </c>
      <c r="F13" s="112">
        <f t="shared" si="0"/>
        <v>9871761.7851428445</v>
      </c>
      <c r="G13" s="112">
        <f>IF(C13&gt;'Stress Test Inputs'!$B$23*12,0,D13*B13/12)</f>
        <v>52593.244794277765</v>
      </c>
      <c r="H13" s="112">
        <f t="shared" si="1"/>
        <v>14525.87606812481</v>
      </c>
      <c r="I13" s="112">
        <f t="shared" si="3"/>
        <v>9924355.029937122</v>
      </c>
      <c r="J13" s="111"/>
    </row>
    <row r="14" spans="1:13" x14ac:dyDescent="0.25">
      <c r="A14" s="107" t="b">
        <f>IF(('Stress Test Inputs'!$C$23)="FRM", FALSE, ISNUMBER(MATCH(C14,'Stress Test Inputs'!$M$18:$M$30,0)))</f>
        <v>0</v>
      </c>
      <c r="B14" s="116">
        <f>IF($A14, (_xlfn.XLOOKUP(C14,'Stress Test Inputs'!$M$17:$M$29,'Stress Test Inputs'!$N$17:$N$29)+'Stress Test Financial Analysis'!$D$5),$B13)</f>
        <v>6.3500000000000001E-2</v>
      </c>
      <c r="C14" s="114">
        <f t="shared" si="2"/>
        <v>12</v>
      </c>
      <c r="D14" s="112">
        <f t="shared" si="4"/>
        <v>9924355.029937122</v>
      </c>
      <c r="E14" s="112">
        <f>IF(OR(D14&lt;=0,C14&gt;'Stress Test Inputs'!$B$23*12),0,IF(AND(C14='Stress Test Inputs'!$B$23*12,'Stress Test Inputs'!$E$23&gt;'Stress Test Inputs'!$B$23),D14+D14*B14/12,IF('Stress Test Inputs'!$C$23="FRM",-PMT($B$3/12,'Stress Test Inputs'!$E$23*12,$D$3),IF($A14,-PMT(B14/12,('Stress Test Inputs'!$E$23*12)-C14+1,D14),E13))))</f>
        <v>67119.120862402575</v>
      </c>
      <c r="F14" s="112">
        <f t="shared" si="0"/>
        <v>9857235.90907472</v>
      </c>
      <c r="G14" s="112">
        <f>IF(C14&gt;'Stress Test Inputs'!$B$23*12,0,D14*B14/12)</f>
        <v>52516.378700083937</v>
      </c>
      <c r="H14" s="112">
        <f t="shared" si="1"/>
        <v>14602.742162318638</v>
      </c>
      <c r="I14" s="112">
        <f t="shared" si="3"/>
        <v>9909752.2877748031</v>
      </c>
      <c r="J14" s="111"/>
    </row>
    <row r="15" spans="1:13" x14ac:dyDescent="0.25">
      <c r="A15" s="107" t="b">
        <f>IF(('Stress Test Inputs'!$C$23)="FRM", FALSE, ISNUMBER(MATCH(C15,'Stress Test Inputs'!$M$18:$M$30,0)))</f>
        <v>0</v>
      </c>
      <c r="B15" s="116">
        <f>IF($A15, (_xlfn.XLOOKUP(C15,'Stress Test Inputs'!$M$17:$M$29,'Stress Test Inputs'!$N$17:$N$29)+'Stress Test Financial Analysis'!$D$5),$B14)</f>
        <v>6.3500000000000001E-2</v>
      </c>
      <c r="C15" s="114">
        <f t="shared" si="2"/>
        <v>13</v>
      </c>
      <c r="D15" s="112">
        <f t="shared" si="4"/>
        <v>9909752.2877748031</v>
      </c>
      <c r="E15" s="112">
        <f>IF(OR(D15&lt;=0,C15&gt;'Stress Test Inputs'!$B$23*12),0,IF(AND(C15='Stress Test Inputs'!$B$23*12,'Stress Test Inputs'!$E$23&gt;'Stress Test Inputs'!$B$23),D15+D15*B15/12,IF('Stress Test Inputs'!$C$23="FRM",-PMT($B$3/12,'Stress Test Inputs'!$E$23*12,$D$3),IF($A15,-PMT(B15/12,('Stress Test Inputs'!$E$23*12)-C15+1,D15),E14))))</f>
        <v>67119.120862402575</v>
      </c>
      <c r="F15" s="112">
        <f t="shared" si="0"/>
        <v>9842633.1669124011</v>
      </c>
      <c r="G15" s="112">
        <f>IF(C15&gt;'Stress Test Inputs'!$B$23*12,0,D15*B15/12)</f>
        <v>52439.105856141665</v>
      </c>
      <c r="H15" s="112">
        <f t="shared" si="1"/>
        <v>14680.01500626091</v>
      </c>
      <c r="I15" s="112">
        <f t="shared" si="3"/>
        <v>9895072.2727685422</v>
      </c>
      <c r="J15" s="111"/>
    </row>
    <row r="16" spans="1:13" x14ac:dyDescent="0.25">
      <c r="A16" s="107" t="b">
        <f>IF(('Stress Test Inputs'!$C$23)="FRM", FALSE, ISNUMBER(MATCH(C16,'Stress Test Inputs'!$M$18:$M$30,0)))</f>
        <v>0</v>
      </c>
      <c r="B16" s="116">
        <f>IF($A16, (_xlfn.XLOOKUP(C16,'Stress Test Inputs'!$M$17:$M$29,'Stress Test Inputs'!$N$17:$N$29)+'Stress Test Financial Analysis'!$D$5),$B15)</f>
        <v>6.3500000000000001E-2</v>
      </c>
      <c r="C16" s="114">
        <f t="shared" si="2"/>
        <v>14</v>
      </c>
      <c r="D16" s="112">
        <f t="shared" si="4"/>
        <v>9895072.2727685422</v>
      </c>
      <c r="E16" s="112">
        <f>IF(OR(D16&lt;=0,C16&gt;'Stress Test Inputs'!$B$23*12),0,IF(AND(C16='Stress Test Inputs'!$B$23*12,'Stress Test Inputs'!$E$23&gt;'Stress Test Inputs'!$B$23),D16+D16*B16/12,IF('Stress Test Inputs'!$C$23="FRM",-PMT($B$3/12,'Stress Test Inputs'!$E$23*12,$D$3),IF($A16,-PMT(B16/12,('Stress Test Inputs'!$E$23*12)-C16+1,D16),E15))))</f>
        <v>67119.120862402575</v>
      </c>
      <c r="F16" s="112">
        <f t="shared" si="0"/>
        <v>9827953.1519061401</v>
      </c>
      <c r="G16" s="112">
        <f>IF(C16&gt;'Stress Test Inputs'!$B$23*12,0,D16*B16/12)</f>
        <v>52361.424110066873</v>
      </c>
      <c r="H16" s="112">
        <f t="shared" si="1"/>
        <v>14757.696752335702</v>
      </c>
      <c r="I16" s="112">
        <f t="shared" si="3"/>
        <v>9880314.5760162063</v>
      </c>
      <c r="J16" s="111"/>
    </row>
    <row r="17" spans="1:10" x14ac:dyDescent="0.25">
      <c r="A17" s="107" t="b">
        <f>IF(('Stress Test Inputs'!$C$23)="FRM", FALSE, ISNUMBER(MATCH(C17,'Stress Test Inputs'!$M$18:$M$30,0)))</f>
        <v>0</v>
      </c>
      <c r="B17" s="116">
        <f>IF($A17, (_xlfn.XLOOKUP(C17,'Stress Test Inputs'!$M$17:$M$29,'Stress Test Inputs'!$N$17:$N$29)+'Stress Test Financial Analysis'!$D$5),$B16)</f>
        <v>6.3500000000000001E-2</v>
      </c>
      <c r="C17" s="114">
        <f t="shared" si="2"/>
        <v>15</v>
      </c>
      <c r="D17" s="112">
        <f t="shared" si="4"/>
        <v>9880314.5760162063</v>
      </c>
      <c r="E17" s="112">
        <f>IF(OR(D17&lt;=0,C17&gt;'Stress Test Inputs'!$B$23*12),0,IF(AND(C17='Stress Test Inputs'!$B$23*12,'Stress Test Inputs'!$E$23&gt;'Stress Test Inputs'!$B$23),D17+D17*B17/12,IF('Stress Test Inputs'!$C$23="FRM",-PMT($B$3/12,'Stress Test Inputs'!$E$23*12,$D$3),IF($A17,-PMT(B17/12,('Stress Test Inputs'!$E$23*12)-C17+1,D17),E16))))</f>
        <v>67119.120862402575</v>
      </c>
      <c r="F17" s="112">
        <f t="shared" si="0"/>
        <v>9813195.4551538043</v>
      </c>
      <c r="G17" s="112">
        <f>IF(C17&gt;'Stress Test Inputs'!$B$23*12,0,D17*B17/12)</f>
        <v>52283.331298085752</v>
      </c>
      <c r="H17" s="112">
        <f t="shared" si="1"/>
        <v>14835.789564316823</v>
      </c>
      <c r="I17" s="112">
        <f t="shared" si="3"/>
        <v>9865478.7864518892</v>
      </c>
      <c r="J17" s="111"/>
    </row>
    <row r="18" spans="1:10" x14ac:dyDescent="0.25">
      <c r="A18" s="107" t="b">
        <f>IF(('Stress Test Inputs'!$C$23)="FRM", FALSE, ISNUMBER(MATCH(C18,'Stress Test Inputs'!$M$18:$M$30,0)))</f>
        <v>0</v>
      </c>
      <c r="B18" s="116">
        <f>IF($A18, (_xlfn.XLOOKUP(C18,'Stress Test Inputs'!$M$17:$M$29,'Stress Test Inputs'!$N$17:$N$29)+'Stress Test Financial Analysis'!$D$5),$B17)</f>
        <v>6.3500000000000001E-2</v>
      </c>
      <c r="C18" s="114">
        <f t="shared" si="2"/>
        <v>16</v>
      </c>
      <c r="D18" s="112">
        <f t="shared" si="4"/>
        <v>9865478.7864518892</v>
      </c>
      <c r="E18" s="112">
        <f>IF(OR(D18&lt;=0,C18&gt;'Stress Test Inputs'!$B$23*12),0,IF(AND(C18='Stress Test Inputs'!$B$23*12,'Stress Test Inputs'!$E$23&gt;'Stress Test Inputs'!$B$23),D18+D18*B18/12,IF('Stress Test Inputs'!$C$23="FRM",-PMT($B$3/12,'Stress Test Inputs'!$E$23*12,$D$3),IF($A18,-PMT(B18/12,('Stress Test Inputs'!$E$23*12)-C18+1,D18),E17))))</f>
        <v>67119.120862402575</v>
      </c>
      <c r="F18" s="112">
        <f t="shared" si="0"/>
        <v>9798359.6655894872</v>
      </c>
      <c r="G18" s="112">
        <f>IF(C18&gt;'Stress Test Inputs'!$B$23*12,0,D18*B18/12)</f>
        <v>52204.825244974578</v>
      </c>
      <c r="H18" s="112">
        <f t="shared" si="1"/>
        <v>14914.295617427997</v>
      </c>
      <c r="I18" s="112">
        <f t="shared" si="3"/>
        <v>9850564.4908344615</v>
      </c>
      <c r="J18" s="111"/>
    </row>
    <row r="19" spans="1:10" x14ac:dyDescent="0.25">
      <c r="A19" s="107" t="b">
        <f>IF(('Stress Test Inputs'!$C$23)="FRM", FALSE, ISNUMBER(MATCH(C19,'Stress Test Inputs'!$M$18:$M$30,0)))</f>
        <v>0</v>
      </c>
      <c r="B19" s="116">
        <f>IF($A19, (_xlfn.XLOOKUP(C19,'Stress Test Inputs'!$M$17:$M$29,'Stress Test Inputs'!$N$17:$N$29)+'Stress Test Financial Analysis'!$D$5),$B18)</f>
        <v>6.3500000000000001E-2</v>
      </c>
      <c r="C19" s="114">
        <f t="shared" si="2"/>
        <v>17</v>
      </c>
      <c r="D19" s="112">
        <f t="shared" si="4"/>
        <v>9850564.4908344615</v>
      </c>
      <c r="E19" s="112">
        <f>IF(OR(D19&lt;=0,C19&gt;'Stress Test Inputs'!$B$23*12),0,IF(AND(C19='Stress Test Inputs'!$B$23*12,'Stress Test Inputs'!$E$23&gt;'Stress Test Inputs'!$B$23),D19+D19*B19/12,IF('Stress Test Inputs'!$C$23="FRM",-PMT($B$3/12,'Stress Test Inputs'!$E$23*12,$D$3),IF($A19,-PMT(B19/12,('Stress Test Inputs'!$E$23*12)-C19+1,D19),E18))))</f>
        <v>67119.120862402575</v>
      </c>
      <c r="F19" s="112">
        <f t="shared" si="0"/>
        <v>9783445.3699720595</v>
      </c>
      <c r="G19" s="112">
        <f>IF(C19&gt;'Stress Test Inputs'!$B$23*12,0,D19*B19/12)</f>
        <v>52125.903763999027</v>
      </c>
      <c r="H19" s="112">
        <f t="shared" si="1"/>
        <v>14993.217098403547</v>
      </c>
      <c r="I19" s="112">
        <f t="shared" si="3"/>
        <v>9835571.2737360578</v>
      </c>
      <c r="J19" s="111"/>
    </row>
    <row r="20" spans="1:10" x14ac:dyDescent="0.25">
      <c r="A20" s="107" t="b">
        <f>IF(('Stress Test Inputs'!$C$23)="FRM", FALSE, ISNUMBER(MATCH(C20,'Stress Test Inputs'!$M$18:$M$30,0)))</f>
        <v>0</v>
      </c>
      <c r="B20" s="116">
        <f>IF($A20, (_xlfn.XLOOKUP(C20,'Stress Test Inputs'!$M$17:$M$29,'Stress Test Inputs'!$N$17:$N$29)+'Stress Test Financial Analysis'!$D$5),$B19)</f>
        <v>6.3500000000000001E-2</v>
      </c>
      <c r="C20" s="114">
        <f t="shared" si="2"/>
        <v>18</v>
      </c>
      <c r="D20" s="112">
        <f t="shared" si="4"/>
        <v>9835571.2737360578</v>
      </c>
      <c r="E20" s="112">
        <f>IF(OR(D20&lt;=0,C20&gt;'Stress Test Inputs'!$B$23*12),0,IF(AND(C20='Stress Test Inputs'!$B$23*12,'Stress Test Inputs'!$E$23&gt;'Stress Test Inputs'!$B$23),D20+D20*B20/12,IF('Stress Test Inputs'!$C$23="FRM",-PMT($B$3/12,'Stress Test Inputs'!$E$23*12,$D$3),IF($A20,-PMT(B20/12,('Stress Test Inputs'!$E$23*12)-C20+1,D20),E19))))</f>
        <v>67119.120862402575</v>
      </c>
      <c r="F20" s="112">
        <f t="shared" si="0"/>
        <v>9768452.1528736558</v>
      </c>
      <c r="G20" s="112">
        <f>IF(C20&gt;'Stress Test Inputs'!$B$23*12,0,D20*B20/12)</f>
        <v>52046.564656853305</v>
      </c>
      <c r="H20" s="112">
        <f t="shared" si="1"/>
        <v>15072.55620554927</v>
      </c>
      <c r="I20" s="112">
        <f t="shared" si="3"/>
        <v>9820498.7175305095</v>
      </c>
      <c r="J20" s="111"/>
    </row>
    <row r="21" spans="1:10" x14ac:dyDescent="0.25">
      <c r="A21" s="107" t="b">
        <f>IF(('Stress Test Inputs'!$C$23)="FRM", FALSE, ISNUMBER(MATCH(C21,'Stress Test Inputs'!$M$18:$M$30,0)))</f>
        <v>0</v>
      </c>
      <c r="B21" s="116">
        <f>IF($A21, (_xlfn.XLOOKUP(C21,'Stress Test Inputs'!$M$17:$M$29,'Stress Test Inputs'!$N$17:$N$29)+'Stress Test Financial Analysis'!$D$5),$B20)</f>
        <v>6.3500000000000001E-2</v>
      </c>
      <c r="C21" s="114">
        <f t="shared" si="2"/>
        <v>19</v>
      </c>
      <c r="D21" s="112">
        <f t="shared" si="4"/>
        <v>9820498.7175305095</v>
      </c>
      <c r="E21" s="112">
        <f>IF(OR(D21&lt;=0,C21&gt;'Stress Test Inputs'!$B$23*12),0,IF(AND(C21='Stress Test Inputs'!$B$23*12,'Stress Test Inputs'!$E$23&gt;'Stress Test Inputs'!$B$23),D21+D21*B21/12,IF('Stress Test Inputs'!$C$23="FRM",-PMT($B$3/12,'Stress Test Inputs'!$E$23*12,$D$3),IF($A21,-PMT(B21/12,('Stress Test Inputs'!$E$23*12)-C21+1,D21),E20))))</f>
        <v>67119.120862402575</v>
      </c>
      <c r="F21" s="112">
        <f t="shared" si="0"/>
        <v>9753379.5966681074</v>
      </c>
      <c r="G21" s="112">
        <f>IF(C21&gt;'Stress Test Inputs'!$B$23*12,0,D21*B21/12)</f>
        <v>51966.805713598944</v>
      </c>
      <c r="H21" s="112">
        <f t="shared" si="1"/>
        <v>15152.315148803631</v>
      </c>
      <c r="I21" s="112">
        <f t="shared" si="3"/>
        <v>9805346.4023817051</v>
      </c>
      <c r="J21" s="111"/>
    </row>
    <row r="22" spans="1:10" x14ac:dyDescent="0.25">
      <c r="A22" s="107" t="b">
        <f>IF(('Stress Test Inputs'!$C$23)="FRM", FALSE, ISNUMBER(MATCH(C22,'Stress Test Inputs'!$M$18:$M$30,0)))</f>
        <v>0</v>
      </c>
      <c r="B22" s="116">
        <f>IF($A22, (_xlfn.XLOOKUP(C22,'Stress Test Inputs'!$M$17:$M$29,'Stress Test Inputs'!$N$17:$N$29)+'Stress Test Financial Analysis'!$D$5),$B21)</f>
        <v>6.3500000000000001E-2</v>
      </c>
      <c r="C22" s="114">
        <f t="shared" si="2"/>
        <v>20</v>
      </c>
      <c r="D22" s="112">
        <f t="shared" si="4"/>
        <v>9805346.4023817051</v>
      </c>
      <c r="E22" s="112">
        <f>IF(OR(D22&lt;=0,C22&gt;'Stress Test Inputs'!$B$23*12),0,IF(AND(C22='Stress Test Inputs'!$B$23*12,'Stress Test Inputs'!$E$23&gt;'Stress Test Inputs'!$B$23),D22+D22*B22/12,IF('Stress Test Inputs'!$C$23="FRM",-PMT($B$3/12,'Stress Test Inputs'!$E$23*12,$D$3),IF($A22,-PMT(B22/12,('Stress Test Inputs'!$E$23*12)-C22+1,D22),E21))))</f>
        <v>67119.120862402575</v>
      </c>
      <c r="F22" s="112">
        <f t="shared" si="0"/>
        <v>9738227.2815193031</v>
      </c>
      <c r="G22" s="112">
        <f>IF(C22&gt;'Stress Test Inputs'!$B$23*12,0,D22*B22/12)</f>
        <v>51886.624712603189</v>
      </c>
      <c r="H22" s="112">
        <f t="shared" si="1"/>
        <v>15232.496149799386</v>
      </c>
      <c r="I22" s="112">
        <f t="shared" si="3"/>
        <v>9790113.9062319063</v>
      </c>
      <c r="J22" s="111"/>
    </row>
    <row r="23" spans="1:10" x14ac:dyDescent="0.25">
      <c r="A23" s="107" t="b">
        <f>IF(('Stress Test Inputs'!$C$23)="FRM", FALSE, ISNUMBER(MATCH(C23,'Stress Test Inputs'!$M$18:$M$30,0)))</f>
        <v>0</v>
      </c>
      <c r="B23" s="116">
        <f>IF($A23, (_xlfn.XLOOKUP(C23,'Stress Test Inputs'!$M$17:$M$29,'Stress Test Inputs'!$N$17:$N$29)+'Stress Test Financial Analysis'!$D$5),$B22)</f>
        <v>6.3500000000000001E-2</v>
      </c>
      <c r="C23" s="114">
        <f t="shared" si="2"/>
        <v>21</v>
      </c>
      <c r="D23" s="112">
        <f t="shared" si="4"/>
        <v>9790113.9062319063</v>
      </c>
      <c r="E23" s="112">
        <f>IF(OR(D23&lt;=0,C23&gt;'Stress Test Inputs'!$B$23*12),0,IF(AND(C23='Stress Test Inputs'!$B$23*12,'Stress Test Inputs'!$E$23&gt;'Stress Test Inputs'!$B$23),D23+D23*B23/12,IF('Stress Test Inputs'!$C$23="FRM",-PMT($B$3/12,'Stress Test Inputs'!$E$23*12,$D$3),IF($A23,-PMT(B23/12,('Stress Test Inputs'!$E$23*12)-C23+1,D23),E22))))</f>
        <v>67119.120862402575</v>
      </c>
      <c r="F23" s="112">
        <f t="shared" si="0"/>
        <v>9722994.7853695042</v>
      </c>
      <c r="G23" s="112">
        <f>IF(C23&gt;'Stress Test Inputs'!$B$23*12,0,D23*B23/12)</f>
        <v>51806.019420477176</v>
      </c>
      <c r="H23" s="112">
        <f t="shared" si="1"/>
        <v>15313.101441925399</v>
      </c>
      <c r="I23" s="112">
        <f t="shared" si="3"/>
        <v>9774800.8047899809</v>
      </c>
      <c r="J23" s="111"/>
    </row>
    <row r="24" spans="1:10" x14ac:dyDescent="0.25">
      <c r="A24" s="107" t="b">
        <f>IF(('Stress Test Inputs'!$C$23)="FRM", FALSE, ISNUMBER(MATCH(C24,'Stress Test Inputs'!$M$18:$M$30,0)))</f>
        <v>0</v>
      </c>
      <c r="B24" s="116">
        <f>IF($A24, (_xlfn.XLOOKUP(C24,'Stress Test Inputs'!$M$17:$M$29,'Stress Test Inputs'!$N$17:$N$29)+'Stress Test Financial Analysis'!$D$5),$B23)</f>
        <v>6.3500000000000001E-2</v>
      </c>
      <c r="C24" s="114">
        <f t="shared" si="2"/>
        <v>22</v>
      </c>
      <c r="D24" s="112">
        <f t="shared" si="4"/>
        <v>9774800.8047899809</v>
      </c>
      <c r="E24" s="112">
        <f>IF(OR(D24&lt;=0,C24&gt;'Stress Test Inputs'!$B$23*12),0,IF(AND(C24='Stress Test Inputs'!$B$23*12,'Stress Test Inputs'!$E$23&gt;'Stress Test Inputs'!$B$23),D24+D24*B24/12,IF('Stress Test Inputs'!$C$23="FRM",-PMT($B$3/12,'Stress Test Inputs'!$E$23*12,$D$3),IF($A24,-PMT(B24/12,('Stress Test Inputs'!$E$23*12)-C24+1,D24),E23))))</f>
        <v>67119.120862402575</v>
      </c>
      <c r="F24" s="112">
        <f t="shared" si="0"/>
        <v>9707681.6839275789</v>
      </c>
      <c r="G24" s="112">
        <f>IF(C24&gt;'Stress Test Inputs'!$B$23*12,0,D24*B24/12)</f>
        <v>51724.987592013647</v>
      </c>
      <c r="H24" s="112">
        <f t="shared" si="1"/>
        <v>15394.133270388927</v>
      </c>
      <c r="I24" s="112">
        <f t="shared" si="3"/>
        <v>9759406.6715195924</v>
      </c>
      <c r="J24" s="111"/>
    </row>
    <row r="25" spans="1:10" x14ac:dyDescent="0.25">
      <c r="A25" s="107" t="b">
        <f>IF(('Stress Test Inputs'!$C$23)="FRM", FALSE, ISNUMBER(MATCH(C25,'Stress Test Inputs'!$M$18:$M$30,0)))</f>
        <v>0</v>
      </c>
      <c r="B25" s="116">
        <f>IF($A25, (_xlfn.XLOOKUP(C25,'Stress Test Inputs'!$M$17:$M$29,'Stress Test Inputs'!$N$17:$N$29)+'Stress Test Financial Analysis'!$D$5),$B24)</f>
        <v>6.3500000000000001E-2</v>
      </c>
      <c r="C25" s="114">
        <f t="shared" si="2"/>
        <v>23</v>
      </c>
      <c r="D25" s="112">
        <f t="shared" si="4"/>
        <v>9759406.6715195924</v>
      </c>
      <c r="E25" s="112">
        <f>IF(OR(D25&lt;=0,C25&gt;'Stress Test Inputs'!$B$23*12),0,IF(AND(C25='Stress Test Inputs'!$B$23*12,'Stress Test Inputs'!$E$23&gt;'Stress Test Inputs'!$B$23),D25+D25*B25/12,IF('Stress Test Inputs'!$C$23="FRM",-PMT($B$3/12,'Stress Test Inputs'!$E$23*12,$D$3),IF($A25,-PMT(B25/12,('Stress Test Inputs'!$E$23*12)-C25+1,D25),E24))))</f>
        <v>67119.120862402575</v>
      </c>
      <c r="F25" s="112">
        <f t="shared" si="0"/>
        <v>9692287.5506571904</v>
      </c>
      <c r="G25" s="112">
        <f>IF(C25&gt;'Stress Test Inputs'!$B$23*12,0,D25*B25/12)</f>
        <v>51643.526970124512</v>
      </c>
      <c r="H25" s="112">
        <f t="shared" si="1"/>
        <v>15475.593892278062</v>
      </c>
      <c r="I25" s="112">
        <f t="shared" si="3"/>
        <v>9743931.0776273143</v>
      </c>
      <c r="J25" s="111"/>
    </row>
    <row r="26" spans="1:10" x14ac:dyDescent="0.25">
      <c r="A26" s="107" t="b">
        <f>IF(('Stress Test Inputs'!$C$23)="FRM", FALSE, ISNUMBER(MATCH(C26,'Stress Test Inputs'!$M$18:$M$30,0)))</f>
        <v>0</v>
      </c>
      <c r="B26" s="116">
        <f>IF($A26, (_xlfn.XLOOKUP(C26,'Stress Test Inputs'!$M$17:$M$29,'Stress Test Inputs'!$N$17:$N$29)+'Stress Test Financial Analysis'!$D$5),$B25)</f>
        <v>6.3500000000000001E-2</v>
      </c>
      <c r="C26" s="114">
        <f t="shared" si="2"/>
        <v>24</v>
      </c>
      <c r="D26" s="112">
        <f t="shared" si="4"/>
        <v>9743931.0776273143</v>
      </c>
      <c r="E26" s="112">
        <f>IF(OR(D26&lt;=0,C26&gt;'Stress Test Inputs'!$B$23*12),0,IF(AND(C26='Stress Test Inputs'!$B$23*12,'Stress Test Inputs'!$E$23&gt;'Stress Test Inputs'!$B$23),D26+D26*B26/12,IF('Stress Test Inputs'!$C$23="FRM",-PMT($B$3/12,'Stress Test Inputs'!$E$23*12,$D$3),IF($A26,-PMT(B26/12,('Stress Test Inputs'!$E$23*12)-C26+1,D26),E25))))</f>
        <v>67119.120862402575</v>
      </c>
      <c r="F26" s="112">
        <f t="shared" si="0"/>
        <v>9676811.9567649122</v>
      </c>
      <c r="G26" s="112">
        <f>IF(C26&gt;'Stress Test Inputs'!$B$23*12,0,D26*B26/12)</f>
        <v>51561.635285777877</v>
      </c>
      <c r="H26" s="112">
        <f t="shared" si="1"/>
        <v>15557.485576624698</v>
      </c>
      <c r="I26" s="112">
        <f t="shared" si="3"/>
        <v>9728373.5920506902</v>
      </c>
      <c r="J26" s="111"/>
    </row>
    <row r="27" spans="1:10" x14ac:dyDescent="0.25">
      <c r="A27" s="107" t="b">
        <f>IF(('Stress Test Inputs'!$C$23)="FRM", FALSE, ISNUMBER(MATCH(C27,'Stress Test Inputs'!$M$18:$M$30,0)))</f>
        <v>0</v>
      </c>
      <c r="B27" s="116">
        <f>IF($A27, (_xlfn.XLOOKUP(C27,'Stress Test Inputs'!$M$17:$M$29,'Stress Test Inputs'!$N$17:$N$29)+'Stress Test Financial Analysis'!$D$5),$B26)</f>
        <v>6.3500000000000001E-2</v>
      </c>
      <c r="C27" s="114">
        <f t="shared" si="2"/>
        <v>25</v>
      </c>
      <c r="D27" s="112">
        <f t="shared" si="4"/>
        <v>9728373.5920506902</v>
      </c>
      <c r="E27" s="112">
        <f>IF(OR(D27&lt;=0,C27&gt;'Stress Test Inputs'!$B$23*12),0,IF(AND(C27='Stress Test Inputs'!$B$23*12,'Stress Test Inputs'!$E$23&gt;'Stress Test Inputs'!$B$23),D27+D27*B27/12,IF('Stress Test Inputs'!$C$23="FRM",-PMT($B$3/12,'Stress Test Inputs'!$E$23*12,$D$3),IF($A27,-PMT(B27/12,('Stress Test Inputs'!$E$23*12)-C27+1,D27),E26))))</f>
        <v>67119.120862402575</v>
      </c>
      <c r="F27" s="112">
        <f t="shared" si="0"/>
        <v>9661254.4711882882</v>
      </c>
      <c r="G27" s="112">
        <f>IF(C27&gt;'Stress Test Inputs'!$B$23*12,0,D27*B27/12)</f>
        <v>51479.310257934907</v>
      </c>
      <c r="H27" s="112">
        <f t="shared" si="1"/>
        <v>15639.810604467668</v>
      </c>
      <c r="I27" s="112">
        <f t="shared" si="3"/>
        <v>9712733.7814462222</v>
      </c>
      <c r="J27" s="111"/>
    </row>
    <row r="28" spans="1:10" x14ac:dyDescent="0.25">
      <c r="A28" s="107" t="b">
        <f>IF(('Stress Test Inputs'!$C$23)="FRM", FALSE, ISNUMBER(MATCH(C28,'Stress Test Inputs'!$M$18:$M$30,0)))</f>
        <v>0</v>
      </c>
      <c r="B28" s="116">
        <f>IF($A28, (_xlfn.XLOOKUP(C28,'Stress Test Inputs'!$M$17:$M$29,'Stress Test Inputs'!$N$17:$N$29)+'Stress Test Financial Analysis'!$D$5),$B27)</f>
        <v>6.3500000000000001E-2</v>
      </c>
      <c r="C28" s="114">
        <f t="shared" si="2"/>
        <v>26</v>
      </c>
      <c r="D28" s="112">
        <f t="shared" si="4"/>
        <v>9712733.7814462222</v>
      </c>
      <c r="E28" s="112">
        <f>IF(OR(D28&lt;=0,C28&gt;'Stress Test Inputs'!$B$23*12),0,IF(AND(C28='Stress Test Inputs'!$B$23*12,'Stress Test Inputs'!$E$23&gt;'Stress Test Inputs'!$B$23),D28+D28*B28/12,IF('Stress Test Inputs'!$C$23="FRM",-PMT($B$3/12,'Stress Test Inputs'!$E$23*12,$D$3),IF($A28,-PMT(B28/12,('Stress Test Inputs'!$E$23*12)-C28+1,D28),E27))))</f>
        <v>67119.120862402575</v>
      </c>
      <c r="F28" s="112">
        <f t="shared" si="0"/>
        <v>9645614.6605838202</v>
      </c>
      <c r="G28" s="112">
        <f>IF(C28&gt;'Stress Test Inputs'!$B$23*12,0,D28*B28/12)</f>
        <v>51396.549593486263</v>
      </c>
      <c r="H28" s="112">
        <f t="shared" si="1"/>
        <v>15722.571268916312</v>
      </c>
      <c r="I28" s="112">
        <f t="shared" si="3"/>
        <v>9697011.2101773061</v>
      </c>
      <c r="J28" s="111"/>
    </row>
    <row r="29" spans="1:10" x14ac:dyDescent="0.25">
      <c r="A29" s="107" t="b">
        <f>IF(('Stress Test Inputs'!$C$23)="FRM", FALSE, ISNUMBER(MATCH(C29,'Stress Test Inputs'!$M$18:$M$30,0)))</f>
        <v>0</v>
      </c>
      <c r="B29" s="116">
        <f>IF($A29, (_xlfn.XLOOKUP(C29,'Stress Test Inputs'!$M$17:$M$29,'Stress Test Inputs'!$N$17:$N$29)+'Stress Test Financial Analysis'!$D$5),$B28)</f>
        <v>6.3500000000000001E-2</v>
      </c>
      <c r="C29" s="114">
        <f t="shared" si="2"/>
        <v>27</v>
      </c>
      <c r="D29" s="112">
        <f t="shared" si="4"/>
        <v>9697011.2101773061</v>
      </c>
      <c r="E29" s="112">
        <f>IF(OR(D29&lt;=0,C29&gt;'Stress Test Inputs'!$B$23*12),0,IF(AND(C29='Stress Test Inputs'!$B$23*12,'Stress Test Inputs'!$E$23&gt;'Stress Test Inputs'!$B$23),D29+D29*B29/12,IF('Stress Test Inputs'!$C$23="FRM",-PMT($B$3/12,'Stress Test Inputs'!$E$23*12,$D$3),IF($A29,-PMT(B29/12,('Stress Test Inputs'!$E$23*12)-C29+1,D29),E28))))</f>
        <v>67119.120862402575</v>
      </c>
      <c r="F29" s="112">
        <f t="shared" si="0"/>
        <v>9629892.0893149041</v>
      </c>
      <c r="G29" s="112">
        <f>IF(C29&gt;'Stress Test Inputs'!$B$23*12,0,D29*B29/12)</f>
        <v>51313.350987188249</v>
      </c>
      <c r="H29" s="112">
        <f t="shared" si="1"/>
        <v>15805.769875214326</v>
      </c>
      <c r="I29" s="112">
        <f t="shared" si="3"/>
        <v>9681205.4403020926</v>
      </c>
      <c r="J29" s="111"/>
    </row>
    <row r="30" spans="1:10" x14ac:dyDescent="0.25">
      <c r="A30" s="107" t="b">
        <f>IF(('Stress Test Inputs'!$C$23)="FRM", FALSE, ISNUMBER(MATCH(C30,'Stress Test Inputs'!$M$18:$M$30,0)))</f>
        <v>0</v>
      </c>
      <c r="B30" s="116">
        <f>IF($A30, (_xlfn.XLOOKUP(C30,'Stress Test Inputs'!$M$17:$M$29,'Stress Test Inputs'!$N$17:$N$29)+'Stress Test Financial Analysis'!$D$5),$B29)</f>
        <v>6.3500000000000001E-2</v>
      </c>
      <c r="C30" s="114">
        <f t="shared" si="2"/>
        <v>28</v>
      </c>
      <c r="D30" s="112">
        <f t="shared" si="4"/>
        <v>9681205.4403020926</v>
      </c>
      <c r="E30" s="112">
        <f>IF(OR(D30&lt;=0,C30&gt;'Stress Test Inputs'!$B$23*12),0,IF(AND(C30='Stress Test Inputs'!$B$23*12,'Stress Test Inputs'!$E$23&gt;'Stress Test Inputs'!$B$23),D30+D30*B30/12,IF('Stress Test Inputs'!$C$23="FRM",-PMT($B$3/12,'Stress Test Inputs'!$E$23*12,$D$3),IF($A30,-PMT(B30/12,('Stress Test Inputs'!$E$23*12)-C30+1,D30),E29))))</f>
        <v>67119.120862402575</v>
      </c>
      <c r="F30" s="112">
        <f t="shared" si="0"/>
        <v>9614086.3194396906</v>
      </c>
      <c r="G30" s="112">
        <f>IF(C30&gt;'Stress Test Inputs'!$B$23*12,0,D30*B30/12)</f>
        <v>51229.712121598575</v>
      </c>
      <c r="H30" s="112">
        <f t="shared" si="1"/>
        <v>15889.408740804</v>
      </c>
      <c r="I30" s="112">
        <f t="shared" si="3"/>
        <v>9665316.031561289</v>
      </c>
      <c r="J30" s="111"/>
    </row>
    <row r="31" spans="1:10" x14ac:dyDescent="0.25">
      <c r="A31" s="107" t="b">
        <f>IF(('Stress Test Inputs'!$C$23)="FRM", FALSE, ISNUMBER(MATCH(C31,'Stress Test Inputs'!$M$18:$M$30,0)))</f>
        <v>0</v>
      </c>
      <c r="B31" s="116">
        <f>IF($A31, (_xlfn.XLOOKUP(C31,'Stress Test Inputs'!$M$17:$M$29,'Stress Test Inputs'!$N$17:$N$29)+'Stress Test Financial Analysis'!$D$5),$B30)</f>
        <v>6.3500000000000001E-2</v>
      </c>
      <c r="C31" s="114">
        <f t="shared" si="2"/>
        <v>29</v>
      </c>
      <c r="D31" s="112">
        <f t="shared" si="4"/>
        <v>9665316.031561289</v>
      </c>
      <c r="E31" s="112">
        <f>IF(OR(D31&lt;=0,C31&gt;'Stress Test Inputs'!$B$23*12),0,IF(AND(C31='Stress Test Inputs'!$B$23*12,'Stress Test Inputs'!$E$23&gt;'Stress Test Inputs'!$B$23),D31+D31*B31/12,IF('Stress Test Inputs'!$C$23="FRM",-PMT($B$3/12,'Stress Test Inputs'!$E$23*12,$D$3),IF($A31,-PMT(B31/12,('Stress Test Inputs'!$E$23*12)-C31+1,D31),E30))))</f>
        <v>67119.120862402575</v>
      </c>
      <c r="F31" s="112">
        <f t="shared" si="0"/>
        <v>9598196.910698887</v>
      </c>
      <c r="G31" s="112">
        <f>IF(C31&gt;'Stress Test Inputs'!$B$23*12,0,D31*B31/12)</f>
        <v>51145.630667011828</v>
      </c>
      <c r="H31" s="112">
        <f t="shared" si="1"/>
        <v>15973.490195390747</v>
      </c>
      <c r="I31" s="112">
        <f t="shared" si="3"/>
        <v>9649342.5413658991</v>
      </c>
      <c r="J31" s="111"/>
    </row>
    <row r="32" spans="1:10" x14ac:dyDescent="0.25">
      <c r="A32" s="107" t="b">
        <f>IF(('Stress Test Inputs'!$C$23)="FRM", FALSE, ISNUMBER(MATCH(C32,'Stress Test Inputs'!$M$18:$M$30,0)))</f>
        <v>1</v>
      </c>
      <c r="B32" s="116">
        <f>IF($A32, (_xlfn.XLOOKUP(C32,'Stress Test Inputs'!$M$17:$M$29,'Stress Test Inputs'!$N$17:$N$29)+'Stress Test Financial Analysis'!$D$5),$B31)</f>
        <v>0.06</v>
      </c>
      <c r="C32" s="114">
        <f t="shared" si="2"/>
        <v>30</v>
      </c>
      <c r="D32" s="112">
        <f t="shared" si="4"/>
        <v>9649342.5413658991</v>
      </c>
      <c r="E32" s="112">
        <f>IF(OR(D32&lt;=0,C32&gt;'Stress Test Inputs'!$B$23*12),0,IF(AND(C32='Stress Test Inputs'!$B$23*12,'Stress Test Inputs'!$E$23&gt;'Stress Test Inputs'!$B$23),D32+D32*B32/12,IF('Stress Test Inputs'!$C$23="FRM",-PMT($B$3/12,'Stress Test Inputs'!$E$23*12,$D$3),IF($A32,-PMT(B32/12,('Stress Test Inputs'!$E$23*12)-C32+1,D32),E31))))</f>
        <v>65094.431363418102</v>
      </c>
      <c r="F32" s="112">
        <f t="shared" si="0"/>
        <v>9584248.1100024804</v>
      </c>
      <c r="G32" s="112">
        <f>IF(C32&gt;'Stress Test Inputs'!$B$23*12,0,D32*B32/12)</f>
        <v>48246.712706829487</v>
      </c>
      <c r="H32" s="112">
        <f t="shared" si="1"/>
        <v>16847.718656588615</v>
      </c>
      <c r="I32" s="112">
        <f t="shared" si="3"/>
        <v>9632494.8227093108</v>
      </c>
      <c r="J32" s="111"/>
    </row>
    <row r="33" spans="1:10" x14ac:dyDescent="0.25">
      <c r="A33" s="107" t="b">
        <f>IF(('Stress Test Inputs'!$C$23)="FRM", FALSE, ISNUMBER(MATCH(C33,'Stress Test Inputs'!$M$18:$M$30,0)))</f>
        <v>0</v>
      </c>
      <c r="B33" s="116">
        <f>IF($A33, (_xlfn.XLOOKUP(C33,'Stress Test Inputs'!$M$17:$M$29,'Stress Test Inputs'!$N$17:$N$29)+'Stress Test Financial Analysis'!$D$5),$B32)</f>
        <v>0.06</v>
      </c>
      <c r="C33" s="114">
        <f t="shared" si="2"/>
        <v>31</v>
      </c>
      <c r="D33" s="112">
        <f t="shared" si="4"/>
        <v>9632494.8227093108</v>
      </c>
      <c r="E33" s="112">
        <f>IF(OR(D33&lt;=0,C33&gt;'Stress Test Inputs'!$B$23*12),0,IF(AND(C33='Stress Test Inputs'!$B$23*12,'Stress Test Inputs'!$E$23&gt;'Stress Test Inputs'!$B$23),D33+D33*B33/12,IF('Stress Test Inputs'!$C$23="FRM",-PMT($B$3/12,'Stress Test Inputs'!$E$23*12,$D$3),IF($A33,-PMT(B33/12,('Stress Test Inputs'!$E$23*12)-C33+1,D33),E32))))</f>
        <v>65094.431363418102</v>
      </c>
      <c r="F33" s="112">
        <f t="shared" si="0"/>
        <v>9567400.3913458921</v>
      </c>
      <c r="G33" s="112">
        <f>IF(C33&gt;'Stress Test Inputs'!$B$23*12,0,D33*B33/12)</f>
        <v>48162.474113546552</v>
      </c>
      <c r="H33" s="112">
        <f t="shared" si="1"/>
        <v>16931.95724987155</v>
      </c>
      <c r="I33" s="112">
        <f t="shared" si="3"/>
        <v>9615562.8654594384</v>
      </c>
      <c r="J33" s="111"/>
    </row>
    <row r="34" spans="1:10" x14ac:dyDescent="0.25">
      <c r="A34" s="107" t="b">
        <f>IF(('Stress Test Inputs'!$C$23)="FRM", FALSE, ISNUMBER(MATCH(C34,'Stress Test Inputs'!$M$18:$M$30,0)))</f>
        <v>0</v>
      </c>
      <c r="B34" s="116">
        <f>IF($A34, (_xlfn.XLOOKUP(C34,'Stress Test Inputs'!$M$17:$M$29,'Stress Test Inputs'!$N$17:$N$29)+'Stress Test Financial Analysis'!$D$5),$B33)</f>
        <v>0.06</v>
      </c>
      <c r="C34" s="114">
        <f t="shared" si="2"/>
        <v>32</v>
      </c>
      <c r="D34" s="112">
        <f t="shared" si="4"/>
        <v>9615562.8654594384</v>
      </c>
      <c r="E34" s="112">
        <f>IF(OR(D34&lt;=0,C34&gt;'Stress Test Inputs'!$B$23*12),0,IF(AND(C34='Stress Test Inputs'!$B$23*12,'Stress Test Inputs'!$E$23&gt;'Stress Test Inputs'!$B$23),D34+D34*B34/12,IF('Stress Test Inputs'!$C$23="FRM",-PMT($B$3/12,'Stress Test Inputs'!$E$23*12,$D$3),IF($A34,-PMT(B34/12,('Stress Test Inputs'!$E$23*12)-C34+1,D34),E33))))</f>
        <v>65094.431363418102</v>
      </c>
      <c r="F34" s="112">
        <f t="shared" si="0"/>
        <v>9550468.4340960197</v>
      </c>
      <c r="G34" s="112">
        <f>IF(C34&gt;'Stress Test Inputs'!$B$23*12,0,D34*B34/12)</f>
        <v>48077.814327297187</v>
      </c>
      <c r="H34" s="112">
        <f t="shared" si="1"/>
        <v>17016.617036120915</v>
      </c>
      <c r="I34" s="112">
        <f t="shared" si="3"/>
        <v>9598546.2484233174</v>
      </c>
      <c r="J34" s="111"/>
    </row>
    <row r="35" spans="1:10" x14ac:dyDescent="0.25">
      <c r="A35" s="107" t="b">
        <f>IF(('Stress Test Inputs'!$C$23)="FRM", FALSE, ISNUMBER(MATCH(C35,'Stress Test Inputs'!$M$18:$M$30,0)))</f>
        <v>0</v>
      </c>
      <c r="B35" s="116">
        <f>IF($A35, (_xlfn.XLOOKUP(C35,'Stress Test Inputs'!$M$17:$M$29,'Stress Test Inputs'!$N$17:$N$29)+'Stress Test Financial Analysis'!$D$5),$B34)</f>
        <v>0.06</v>
      </c>
      <c r="C35" s="114">
        <f t="shared" si="2"/>
        <v>33</v>
      </c>
      <c r="D35" s="112">
        <f t="shared" si="4"/>
        <v>9598546.2484233174</v>
      </c>
      <c r="E35" s="112">
        <f>IF(OR(D35&lt;=0,C35&gt;'Stress Test Inputs'!$B$23*12),0,IF(AND(C35='Stress Test Inputs'!$B$23*12,'Stress Test Inputs'!$E$23&gt;'Stress Test Inputs'!$B$23),D35+D35*B35/12,IF('Stress Test Inputs'!$C$23="FRM",-PMT($B$3/12,'Stress Test Inputs'!$E$23*12,$D$3),IF($A35,-PMT(B35/12,('Stress Test Inputs'!$E$23*12)-C35+1,D35),E34))))</f>
        <v>65094.431363418102</v>
      </c>
      <c r="F35" s="112">
        <f t="shared" si="0"/>
        <v>9533451.8170598987</v>
      </c>
      <c r="G35" s="112">
        <f>IF(C35&gt;'Stress Test Inputs'!$B$23*12,0,D35*B35/12)</f>
        <v>47992.731242116592</v>
      </c>
      <c r="H35" s="112">
        <f t="shared" si="1"/>
        <v>17101.70012130151</v>
      </c>
      <c r="I35" s="112">
        <f t="shared" si="3"/>
        <v>9581444.5483020153</v>
      </c>
      <c r="J35" s="111"/>
    </row>
    <row r="36" spans="1:10" x14ac:dyDescent="0.25">
      <c r="A36" s="107" t="b">
        <f>IF(('Stress Test Inputs'!$C$23)="FRM", FALSE, ISNUMBER(MATCH(C36,'Stress Test Inputs'!$M$18:$M$30,0)))</f>
        <v>0</v>
      </c>
      <c r="B36" s="116">
        <f>IF($A36, (_xlfn.XLOOKUP(C36,'Stress Test Inputs'!$M$17:$M$29,'Stress Test Inputs'!$N$17:$N$29)+'Stress Test Financial Analysis'!$D$5),$B35)</f>
        <v>0.06</v>
      </c>
      <c r="C36" s="114">
        <f t="shared" si="2"/>
        <v>34</v>
      </c>
      <c r="D36" s="112">
        <f t="shared" si="4"/>
        <v>9581444.5483020153</v>
      </c>
      <c r="E36" s="112">
        <f>IF(OR(D36&lt;=0,C36&gt;'Stress Test Inputs'!$B$23*12),0,IF(AND(C36='Stress Test Inputs'!$B$23*12,'Stress Test Inputs'!$E$23&gt;'Stress Test Inputs'!$B$23),D36+D36*B36/12,IF('Stress Test Inputs'!$C$23="FRM",-PMT($B$3/12,'Stress Test Inputs'!$E$23*12,$D$3),IF($A36,-PMT(B36/12,('Stress Test Inputs'!$E$23*12)-C36+1,D36),E35))))</f>
        <v>65094.431363418102</v>
      </c>
      <c r="F36" s="112">
        <f t="shared" si="0"/>
        <v>9516350.1169385966</v>
      </c>
      <c r="G36" s="112">
        <f>IF(C36&gt;'Stress Test Inputs'!$B$23*12,0,D36*B36/12)</f>
        <v>47907.222741510079</v>
      </c>
      <c r="H36" s="112">
        <f t="shared" si="1"/>
        <v>17187.208621908023</v>
      </c>
      <c r="I36" s="112">
        <f t="shared" si="3"/>
        <v>9564257.3396801073</v>
      </c>
      <c r="J36" s="111"/>
    </row>
    <row r="37" spans="1:10" x14ac:dyDescent="0.25">
      <c r="A37" s="107" t="b">
        <f>IF(('Stress Test Inputs'!$C$23)="FRM", FALSE, ISNUMBER(MATCH(C37,'Stress Test Inputs'!$M$18:$M$30,0)))</f>
        <v>0</v>
      </c>
      <c r="B37" s="116">
        <f>IF($A37, (_xlfn.XLOOKUP(C37,'Stress Test Inputs'!$M$17:$M$29,'Stress Test Inputs'!$N$17:$N$29)+'Stress Test Financial Analysis'!$D$5),$B36)</f>
        <v>0.06</v>
      </c>
      <c r="C37" s="114">
        <f t="shared" si="2"/>
        <v>35</v>
      </c>
      <c r="D37" s="112">
        <f t="shared" si="4"/>
        <v>9564257.3396801073</v>
      </c>
      <c r="E37" s="112">
        <f>IF(OR(D37&lt;=0,C37&gt;'Stress Test Inputs'!$B$23*12),0,IF(AND(C37='Stress Test Inputs'!$B$23*12,'Stress Test Inputs'!$E$23&gt;'Stress Test Inputs'!$B$23),D37+D37*B37/12,IF('Stress Test Inputs'!$C$23="FRM",-PMT($B$3/12,'Stress Test Inputs'!$E$23*12,$D$3),IF($A37,-PMT(B37/12,('Stress Test Inputs'!$E$23*12)-C37+1,D37),E36))))</f>
        <v>65094.431363418102</v>
      </c>
      <c r="F37" s="112">
        <f t="shared" si="0"/>
        <v>9499162.9083166886</v>
      </c>
      <c r="G37" s="112">
        <f>IF(C37&gt;'Stress Test Inputs'!$B$23*12,0,D37*B37/12)</f>
        <v>47821.286698400538</v>
      </c>
      <c r="H37" s="112">
        <f t="shared" si="1"/>
        <v>17273.144665017564</v>
      </c>
      <c r="I37" s="112">
        <f t="shared" si="3"/>
        <v>9546984.1950150896</v>
      </c>
      <c r="J37" s="111"/>
    </row>
    <row r="38" spans="1:10" x14ac:dyDescent="0.25">
      <c r="A38" s="107" t="b">
        <f>IF(('Stress Test Inputs'!$C$23)="FRM", FALSE, ISNUMBER(MATCH(C38,'Stress Test Inputs'!$M$18:$M$30,0)))</f>
        <v>0</v>
      </c>
      <c r="B38" s="116">
        <f>IF($A38, (_xlfn.XLOOKUP(C38,'Stress Test Inputs'!$M$17:$M$29,'Stress Test Inputs'!$N$17:$N$29)+'Stress Test Financial Analysis'!$D$5),$B37)</f>
        <v>0.06</v>
      </c>
      <c r="C38" s="114">
        <f t="shared" si="2"/>
        <v>36</v>
      </c>
      <c r="D38" s="112">
        <f t="shared" si="4"/>
        <v>9546984.1950150896</v>
      </c>
      <c r="E38" s="112">
        <f>IF(OR(D38&lt;=0,C38&gt;'Stress Test Inputs'!$B$23*12),0,IF(AND(C38='Stress Test Inputs'!$B$23*12,'Stress Test Inputs'!$E$23&gt;'Stress Test Inputs'!$B$23),D38+D38*B38/12,IF('Stress Test Inputs'!$C$23="FRM",-PMT($B$3/12,'Stress Test Inputs'!$E$23*12,$D$3),IF($A38,-PMT(B38/12,('Stress Test Inputs'!$E$23*12)-C38+1,D38),E37))))</f>
        <v>65094.431363418102</v>
      </c>
      <c r="F38" s="112">
        <f t="shared" si="0"/>
        <v>9481889.7636516709</v>
      </c>
      <c r="G38" s="112">
        <f>IF(C38&gt;'Stress Test Inputs'!$B$23*12,0,D38*B38/12)</f>
        <v>47734.920975075445</v>
      </c>
      <c r="H38" s="112">
        <f t="shared" si="1"/>
        <v>17359.510388342656</v>
      </c>
      <c r="I38" s="112">
        <f t="shared" si="3"/>
        <v>9529624.6846267469</v>
      </c>
      <c r="J38" s="111"/>
    </row>
    <row r="39" spans="1:10" x14ac:dyDescent="0.25">
      <c r="A39" s="107" t="b">
        <f>IF(('Stress Test Inputs'!$C$23)="FRM", FALSE, ISNUMBER(MATCH(C39,'Stress Test Inputs'!$M$18:$M$30,0)))</f>
        <v>0</v>
      </c>
      <c r="B39" s="116">
        <f>IF($A39, (_xlfn.XLOOKUP(C39,'Stress Test Inputs'!$M$17:$M$29,'Stress Test Inputs'!$N$17:$N$29)+'Stress Test Financial Analysis'!$D$5),$B38)</f>
        <v>0.06</v>
      </c>
      <c r="C39" s="114">
        <f t="shared" si="2"/>
        <v>37</v>
      </c>
      <c r="D39" s="112">
        <f t="shared" si="4"/>
        <v>9529624.6846267469</v>
      </c>
      <c r="E39" s="112">
        <f>IF(OR(D39&lt;=0,C39&gt;'Stress Test Inputs'!$B$23*12),0,IF(AND(C39='Stress Test Inputs'!$B$23*12,'Stress Test Inputs'!$E$23&gt;'Stress Test Inputs'!$B$23),D39+D39*B39/12,IF('Stress Test Inputs'!$C$23="FRM",-PMT($B$3/12,'Stress Test Inputs'!$E$23*12,$D$3),IF($A39,-PMT(B39/12,('Stress Test Inputs'!$E$23*12)-C39+1,D39),E38))))</f>
        <v>65094.431363418102</v>
      </c>
      <c r="F39" s="112">
        <f t="shared" si="0"/>
        <v>9464530.2532633282</v>
      </c>
      <c r="G39" s="112">
        <f>IF(C39&gt;'Stress Test Inputs'!$B$23*12,0,D39*B39/12)</f>
        <v>47648.123423133737</v>
      </c>
      <c r="H39" s="112">
        <f t="shared" si="1"/>
        <v>17446.307940284365</v>
      </c>
      <c r="I39" s="112">
        <f t="shared" si="3"/>
        <v>9512178.3766864631</v>
      </c>
      <c r="J39" s="111"/>
    </row>
    <row r="40" spans="1:10" x14ac:dyDescent="0.25">
      <c r="A40" s="107" t="b">
        <f>IF(('Stress Test Inputs'!$C$23)="FRM", FALSE, ISNUMBER(MATCH(C40,'Stress Test Inputs'!$M$18:$M$30,0)))</f>
        <v>0</v>
      </c>
      <c r="B40" s="116">
        <f>IF($A40, (_xlfn.XLOOKUP(C40,'Stress Test Inputs'!$M$17:$M$29,'Stress Test Inputs'!$N$17:$N$29)+'Stress Test Financial Analysis'!$D$5),$B39)</f>
        <v>0.06</v>
      </c>
      <c r="C40" s="114">
        <f t="shared" si="2"/>
        <v>38</v>
      </c>
      <c r="D40" s="112">
        <f t="shared" si="4"/>
        <v>9512178.3766864631</v>
      </c>
      <c r="E40" s="112">
        <f>IF(OR(D40&lt;=0,C40&gt;'Stress Test Inputs'!$B$23*12),0,IF(AND(C40='Stress Test Inputs'!$B$23*12,'Stress Test Inputs'!$E$23&gt;'Stress Test Inputs'!$B$23),D40+D40*B40/12,IF('Stress Test Inputs'!$C$23="FRM",-PMT($B$3/12,'Stress Test Inputs'!$E$23*12,$D$3),IF($A40,-PMT(B40/12,('Stress Test Inputs'!$E$23*12)-C40+1,D40),E39))))</f>
        <v>65094.431363418102</v>
      </c>
      <c r="F40" s="112">
        <f t="shared" si="0"/>
        <v>9447083.9453230444</v>
      </c>
      <c r="G40" s="112">
        <f>IF(C40&gt;'Stress Test Inputs'!$B$23*12,0,D40*B40/12)</f>
        <v>47560.891883432312</v>
      </c>
      <c r="H40" s="112">
        <f t="shared" si="1"/>
        <v>17533.53947998579</v>
      </c>
      <c r="I40" s="112">
        <f t="shared" si="3"/>
        <v>9494644.8372064773</v>
      </c>
      <c r="J40" s="111"/>
    </row>
    <row r="41" spans="1:10" x14ac:dyDescent="0.25">
      <c r="A41" s="107" t="b">
        <f>IF(('Stress Test Inputs'!$C$23)="FRM", FALSE, ISNUMBER(MATCH(C41,'Stress Test Inputs'!$M$18:$M$30,0)))</f>
        <v>0</v>
      </c>
      <c r="B41" s="116">
        <f>IF($A41, (_xlfn.XLOOKUP(C41,'Stress Test Inputs'!$M$17:$M$29,'Stress Test Inputs'!$N$17:$N$29)+'Stress Test Financial Analysis'!$D$5),$B40)</f>
        <v>0.06</v>
      </c>
      <c r="C41" s="114">
        <f t="shared" si="2"/>
        <v>39</v>
      </c>
      <c r="D41" s="112">
        <f t="shared" si="4"/>
        <v>9494644.8372064773</v>
      </c>
      <c r="E41" s="112">
        <f>IF(OR(D41&lt;=0,C41&gt;'Stress Test Inputs'!$B$23*12),0,IF(AND(C41='Stress Test Inputs'!$B$23*12,'Stress Test Inputs'!$E$23&gt;'Stress Test Inputs'!$B$23),D41+D41*B41/12,IF('Stress Test Inputs'!$C$23="FRM",-PMT($B$3/12,'Stress Test Inputs'!$E$23*12,$D$3),IF($A41,-PMT(B41/12,('Stress Test Inputs'!$E$23*12)-C41+1,D41),E40))))</f>
        <v>65094.431363418102</v>
      </c>
      <c r="F41" s="112">
        <f t="shared" si="0"/>
        <v>9429550.4058430586</v>
      </c>
      <c r="G41" s="112">
        <f>IF(C41&gt;'Stress Test Inputs'!$B$23*12,0,D41*B41/12)</f>
        <v>47473.224186032377</v>
      </c>
      <c r="H41" s="112">
        <f t="shared" si="1"/>
        <v>17621.207177385724</v>
      </c>
      <c r="I41" s="112">
        <f t="shared" si="3"/>
        <v>9477023.6300290916</v>
      </c>
      <c r="J41" s="111"/>
    </row>
    <row r="42" spans="1:10" x14ac:dyDescent="0.25">
      <c r="A42" s="107" t="b">
        <f>IF(('Stress Test Inputs'!$C$23)="FRM", FALSE, ISNUMBER(MATCH(C42,'Stress Test Inputs'!$M$18:$M$30,0)))</f>
        <v>0</v>
      </c>
      <c r="B42" s="116">
        <f>IF($A42, (_xlfn.XLOOKUP(C42,'Stress Test Inputs'!$M$17:$M$29,'Stress Test Inputs'!$N$17:$N$29)+'Stress Test Financial Analysis'!$D$5),$B41)</f>
        <v>0.06</v>
      </c>
      <c r="C42" s="114">
        <f t="shared" si="2"/>
        <v>40</v>
      </c>
      <c r="D42" s="112">
        <f t="shared" si="4"/>
        <v>9477023.6300290916</v>
      </c>
      <c r="E42" s="112">
        <f>IF(OR(D42&lt;=0,C42&gt;'Stress Test Inputs'!$B$23*12),0,IF(AND(C42='Stress Test Inputs'!$B$23*12,'Stress Test Inputs'!$E$23&gt;'Stress Test Inputs'!$B$23),D42+D42*B42/12,IF('Stress Test Inputs'!$C$23="FRM",-PMT($B$3/12,'Stress Test Inputs'!$E$23*12,$D$3),IF($A42,-PMT(B42/12,('Stress Test Inputs'!$E$23*12)-C42+1,D42),E41))))</f>
        <v>65094.431363418102</v>
      </c>
      <c r="F42" s="112">
        <f t="shared" si="0"/>
        <v>9411929.1986656729</v>
      </c>
      <c r="G42" s="112">
        <f>IF(C42&gt;'Stress Test Inputs'!$B$23*12,0,D42*B42/12)</f>
        <v>47385.118150145456</v>
      </c>
      <c r="H42" s="112">
        <f t="shared" si="1"/>
        <v>17709.313213272646</v>
      </c>
      <c r="I42" s="112">
        <f t="shared" si="3"/>
        <v>9459314.3168158196</v>
      </c>
      <c r="J42" s="111"/>
    </row>
    <row r="43" spans="1:10" x14ac:dyDescent="0.25">
      <c r="A43" s="107" t="b">
        <f>IF(('Stress Test Inputs'!$C$23)="FRM", FALSE, ISNUMBER(MATCH(C43,'Stress Test Inputs'!$M$18:$M$30,0)))</f>
        <v>0</v>
      </c>
      <c r="B43" s="116">
        <f>IF($A43, (_xlfn.XLOOKUP(C43,'Stress Test Inputs'!$M$17:$M$29,'Stress Test Inputs'!$N$17:$N$29)+'Stress Test Financial Analysis'!$D$5),$B42)</f>
        <v>0.06</v>
      </c>
      <c r="C43" s="114">
        <f t="shared" si="2"/>
        <v>41</v>
      </c>
      <c r="D43" s="112">
        <f t="shared" si="4"/>
        <v>9459314.3168158196</v>
      </c>
      <c r="E43" s="112">
        <f>IF(OR(D43&lt;=0,C43&gt;'Stress Test Inputs'!$B$23*12),0,IF(AND(C43='Stress Test Inputs'!$B$23*12,'Stress Test Inputs'!$E$23&gt;'Stress Test Inputs'!$B$23),D43+D43*B43/12,IF('Stress Test Inputs'!$C$23="FRM",-PMT($B$3/12,'Stress Test Inputs'!$E$23*12,$D$3),IF($A43,-PMT(B43/12,('Stress Test Inputs'!$E$23*12)-C43+1,D43),E42))))</f>
        <v>65094.431363418102</v>
      </c>
      <c r="F43" s="112">
        <f t="shared" si="0"/>
        <v>9394219.8854524009</v>
      </c>
      <c r="G43" s="112">
        <f>IF(C43&gt;'Stress Test Inputs'!$B$23*12,0,D43*B43/12)</f>
        <v>47296.571584079094</v>
      </c>
      <c r="H43" s="112">
        <f t="shared" si="1"/>
        <v>17797.859779339007</v>
      </c>
      <c r="I43" s="112">
        <f t="shared" si="3"/>
        <v>9441516.4570364803</v>
      </c>
      <c r="J43" s="111"/>
    </row>
    <row r="44" spans="1:10" x14ac:dyDescent="0.25">
      <c r="A44" s="107" t="b">
        <f>IF(('Stress Test Inputs'!$C$23)="FRM", FALSE, ISNUMBER(MATCH(C44,'Stress Test Inputs'!$M$18:$M$30,0)))</f>
        <v>0</v>
      </c>
      <c r="B44" s="116">
        <f>IF($A44, (_xlfn.XLOOKUP(C44,'Stress Test Inputs'!$M$17:$M$29,'Stress Test Inputs'!$N$17:$N$29)+'Stress Test Financial Analysis'!$D$5),$B43)</f>
        <v>0.06</v>
      </c>
      <c r="C44" s="114">
        <f t="shared" si="2"/>
        <v>42</v>
      </c>
      <c r="D44" s="112">
        <f t="shared" si="4"/>
        <v>9441516.4570364803</v>
      </c>
      <c r="E44" s="112">
        <f>IF(OR(D44&lt;=0,C44&gt;'Stress Test Inputs'!$B$23*12),0,IF(AND(C44='Stress Test Inputs'!$B$23*12,'Stress Test Inputs'!$E$23&gt;'Stress Test Inputs'!$B$23),D44+D44*B44/12,IF('Stress Test Inputs'!$C$23="FRM",-PMT($B$3/12,'Stress Test Inputs'!$E$23*12,$D$3),IF($A44,-PMT(B44/12,('Stress Test Inputs'!$E$23*12)-C44+1,D44),E43))))</f>
        <v>65094.431363418102</v>
      </c>
      <c r="F44" s="112">
        <f t="shared" si="0"/>
        <v>9376422.0256730616</v>
      </c>
      <c r="G44" s="112">
        <f>IF(C44&gt;'Stress Test Inputs'!$B$23*12,0,D44*B44/12)</f>
        <v>47207.582285182398</v>
      </c>
      <c r="H44" s="112">
        <f t="shared" si="1"/>
        <v>17886.849078235704</v>
      </c>
      <c r="I44" s="112">
        <f t="shared" si="3"/>
        <v>9423629.6079582442</v>
      </c>
      <c r="J44" s="111"/>
    </row>
    <row r="45" spans="1:10" x14ac:dyDescent="0.25">
      <c r="A45" s="107" t="b">
        <f>IF(('Stress Test Inputs'!$C$23)="FRM", FALSE, ISNUMBER(MATCH(C45,'Stress Test Inputs'!$M$18:$M$30,0)))</f>
        <v>0</v>
      </c>
      <c r="B45" s="116">
        <f>IF($A45, (_xlfn.XLOOKUP(C45,'Stress Test Inputs'!$M$17:$M$29,'Stress Test Inputs'!$N$17:$N$29)+'Stress Test Financial Analysis'!$D$5),$B44)</f>
        <v>0.06</v>
      </c>
      <c r="C45" s="114">
        <f t="shared" si="2"/>
        <v>43</v>
      </c>
      <c r="D45" s="112">
        <f t="shared" si="4"/>
        <v>9423629.6079582442</v>
      </c>
      <c r="E45" s="112">
        <f>IF(OR(D45&lt;=0,C45&gt;'Stress Test Inputs'!$B$23*12),0,IF(AND(C45='Stress Test Inputs'!$B$23*12,'Stress Test Inputs'!$E$23&gt;'Stress Test Inputs'!$B$23),D45+D45*B45/12,IF('Stress Test Inputs'!$C$23="FRM",-PMT($B$3/12,'Stress Test Inputs'!$E$23*12,$D$3),IF($A45,-PMT(B45/12,('Stress Test Inputs'!$E$23*12)-C45+1,D45),E44))))</f>
        <v>65094.431363418102</v>
      </c>
      <c r="F45" s="112">
        <f t="shared" si="0"/>
        <v>9358535.1765948255</v>
      </c>
      <c r="G45" s="112">
        <f>IF(C45&gt;'Stress Test Inputs'!$B$23*12,0,D45*B45/12)</f>
        <v>47118.148039791216</v>
      </c>
      <c r="H45" s="112">
        <f t="shared" si="1"/>
        <v>17976.283323626885</v>
      </c>
      <c r="I45" s="112">
        <f t="shared" si="3"/>
        <v>9405653.3246346172</v>
      </c>
      <c r="J45" s="111"/>
    </row>
    <row r="46" spans="1:10" x14ac:dyDescent="0.25">
      <c r="A46" s="107" t="b">
        <f>IF(('Stress Test Inputs'!$C$23)="FRM", FALSE, ISNUMBER(MATCH(C46,'Stress Test Inputs'!$M$18:$M$30,0)))</f>
        <v>0</v>
      </c>
      <c r="B46" s="116">
        <f>IF($A46, (_xlfn.XLOOKUP(C46,'Stress Test Inputs'!$M$17:$M$29,'Stress Test Inputs'!$N$17:$N$29)+'Stress Test Financial Analysis'!$D$5),$B45)</f>
        <v>0.06</v>
      </c>
      <c r="C46" s="114">
        <f t="shared" si="2"/>
        <v>44</v>
      </c>
      <c r="D46" s="112">
        <f t="shared" si="4"/>
        <v>9405653.3246346172</v>
      </c>
      <c r="E46" s="112">
        <f>IF(OR(D46&lt;=0,C46&gt;'Stress Test Inputs'!$B$23*12),0,IF(AND(C46='Stress Test Inputs'!$B$23*12,'Stress Test Inputs'!$E$23&gt;'Stress Test Inputs'!$B$23),D46+D46*B46/12,IF('Stress Test Inputs'!$C$23="FRM",-PMT($B$3/12,'Stress Test Inputs'!$E$23*12,$D$3),IF($A46,-PMT(B46/12,('Stress Test Inputs'!$E$23*12)-C46+1,D46),E45))))</f>
        <v>65094.431363418102</v>
      </c>
      <c r="F46" s="112">
        <f t="shared" si="0"/>
        <v>9340558.8932711985</v>
      </c>
      <c r="G46" s="112">
        <f>IF(C46&gt;'Stress Test Inputs'!$B$23*12,0,D46*B46/12)</f>
        <v>47028.266623173084</v>
      </c>
      <c r="H46" s="112">
        <f t="shared" si="1"/>
        <v>18066.164740245018</v>
      </c>
      <c r="I46" s="112">
        <f t="shared" si="3"/>
        <v>9387587.1598943714</v>
      </c>
      <c r="J46" s="111"/>
    </row>
    <row r="47" spans="1:10" x14ac:dyDescent="0.25">
      <c r="A47" s="107" t="b">
        <f>IF(('Stress Test Inputs'!$C$23)="FRM", FALSE, ISNUMBER(MATCH(C47,'Stress Test Inputs'!$M$18:$M$30,0)))</f>
        <v>0</v>
      </c>
      <c r="B47" s="116">
        <f>IF($A47, (_xlfn.XLOOKUP(C47,'Stress Test Inputs'!$M$17:$M$29,'Stress Test Inputs'!$N$17:$N$29)+'Stress Test Financial Analysis'!$D$5),$B46)</f>
        <v>0.06</v>
      </c>
      <c r="C47" s="114">
        <f t="shared" si="2"/>
        <v>45</v>
      </c>
      <c r="D47" s="112">
        <f t="shared" si="4"/>
        <v>9387587.1598943714</v>
      </c>
      <c r="E47" s="112">
        <f>IF(OR(D47&lt;=0,C47&gt;'Stress Test Inputs'!$B$23*12),0,IF(AND(C47='Stress Test Inputs'!$B$23*12,'Stress Test Inputs'!$E$23&gt;'Stress Test Inputs'!$B$23),D47+D47*B47/12,IF('Stress Test Inputs'!$C$23="FRM",-PMT($B$3/12,'Stress Test Inputs'!$E$23*12,$D$3),IF($A47,-PMT(B47/12,('Stress Test Inputs'!$E$23*12)-C47+1,D47),E46))))</f>
        <v>65094.431363418102</v>
      </c>
      <c r="F47" s="112">
        <f t="shared" si="0"/>
        <v>9322492.7285309527</v>
      </c>
      <c r="G47" s="112">
        <f>IF(C47&gt;'Stress Test Inputs'!$B$23*12,0,D47*B47/12)</f>
        <v>46937.935799471859</v>
      </c>
      <c r="H47" s="112">
        <f t="shared" si="1"/>
        <v>18156.495563946242</v>
      </c>
      <c r="I47" s="112">
        <f t="shared" si="3"/>
        <v>9369430.6643304247</v>
      </c>
      <c r="J47" s="111"/>
    </row>
    <row r="48" spans="1:10" x14ac:dyDescent="0.25">
      <c r="A48" s="107" t="b">
        <f>IF(('Stress Test Inputs'!$C$23)="FRM", FALSE, ISNUMBER(MATCH(C48,'Stress Test Inputs'!$M$18:$M$30,0)))</f>
        <v>0</v>
      </c>
      <c r="B48" s="116">
        <f>IF($A48, (_xlfn.XLOOKUP(C48,'Stress Test Inputs'!$M$17:$M$29,'Stress Test Inputs'!$N$17:$N$29)+'Stress Test Financial Analysis'!$D$5),$B47)</f>
        <v>0.06</v>
      </c>
      <c r="C48" s="114">
        <f t="shared" si="2"/>
        <v>46</v>
      </c>
      <c r="D48" s="112">
        <f t="shared" si="4"/>
        <v>9369430.6643304247</v>
      </c>
      <c r="E48" s="112">
        <f>IF(OR(D48&lt;=0,C48&gt;'Stress Test Inputs'!$B$23*12),0,IF(AND(C48='Stress Test Inputs'!$B$23*12,'Stress Test Inputs'!$E$23&gt;'Stress Test Inputs'!$B$23),D48+D48*B48/12,IF('Stress Test Inputs'!$C$23="FRM",-PMT($B$3/12,'Stress Test Inputs'!$E$23*12,$D$3),IF($A48,-PMT(B48/12,('Stress Test Inputs'!$E$23*12)-C48+1,D48),E47))))</f>
        <v>65094.431363418102</v>
      </c>
      <c r="F48" s="112">
        <f t="shared" si="0"/>
        <v>9304336.232967006</v>
      </c>
      <c r="G48" s="112">
        <f>IF(C48&gt;'Stress Test Inputs'!$B$23*12,0,D48*B48/12)</f>
        <v>46847.15332165212</v>
      </c>
      <c r="H48" s="112">
        <f t="shared" si="1"/>
        <v>18247.278041765981</v>
      </c>
      <c r="I48" s="112">
        <f t="shared" si="3"/>
        <v>9351183.3862886596</v>
      </c>
      <c r="J48" s="111"/>
    </row>
    <row r="49" spans="1:10" x14ac:dyDescent="0.25">
      <c r="A49" s="107" t="b">
        <f>IF(('Stress Test Inputs'!$C$23)="FRM", FALSE, ISNUMBER(MATCH(C49,'Stress Test Inputs'!$M$18:$M$30,0)))</f>
        <v>0</v>
      </c>
      <c r="B49" s="116">
        <f>IF($A49, (_xlfn.XLOOKUP(C49,'Stress Test Inputs'!$M$17:$M$29,'Stress Test Inputs'!$N$17:$N$29)+'Stress Test Financial Analysis'!$D$5),$B48)</f>
        <v>0.06</v>
      </c>
      <c r="C49" s="114">
        <f t="shared" si="2"/>
        <v>47</v>
      </c>
      <c r="D49" s="112">
        <f t="shared" si="4"/>
        <v>9351183.3862886596</v>
      </c>
      <c r="E49" s="112">
        <f>IF(OR(D49&lt;=0,C49&gt;'Stress Test Inputs'!$B$23*12),0,IF(AND(C49='Stress Test Inputs'!$B$23*12,'Stress Test Inputs'!$E$23&gt;'Stress Test Inputs'!$B$23),D49+D49*B49/12,IF('Stress Test Inputs'!$C$23="FRM",-PMT($B$3/12,'Stress Test Inputs'!$E$23*12,$D$3),IF($A49,-PMT(B49/12,('Stress Test Inputs'!$E$23*12)-C49+1,D49),E48))))</f>
        <v>65094.431363418102</v>
      </c>
      <c r="F49" s="112">
        <f t="shared" si="0"/>
        <v>9286088.9549252409</v>
      </c>
      <c r="G49" s="112">
        <f>IF(C49&gt;'Stress Test Inputs'!$B$23*12,0,D49*B49/12)</f>
        <v>46755.916931443295</v>
      </c>
      <c r="H49" s="112">
        <f t="shared" si="1"/>
        <v>18338.514431974807</v>
      </c>
      <c r="I49" s="112">
        <f t="shared" si="3"/>
        <v>9332844.8718566857</v>
      </c>
      <c r="J49" s="111"/>
    </row>
    <row r="50" spans="1:10" x14ac:dyDescent="0.25">
      <c r="A50" s="107" t="b">
        <f>IF(('Stress Test Inputs'!$C$23)="FRM", FALSE, ISNUMBER(MATCH(C50,'Stress Test Inputs'!$M$18:$M$30,0)))</f>
        <v>0</v>
      </c>
      <c r="B50" s="116">
        <f>IF($A50, (_xlfn.XLOOKUP(C50,'Stress Test Inputs'!$M$17:$M$29,'Stress Test Inputs'!$N$17:$N$29)+'Stress Test Financial Analysis'!$D$5),$B49)</f>
        <v>0.06</v>
      </c>
      <c r="C50" s="114">
        <f t="shared" si="2"/>
        <v>48</v>
      </c>
      <c r="D50" s="112">
        <f t="shared" si="4"/>
        <v>9332844.8718566857</v>
      </c>
      <c r="E50" s="112">
        <f>IF(OR(D50&lt;=0,C50&gt;'Stress Test Inputs'!$B$23*12),0,IF(AND(C50='Stress Test Inputs'!$B$23*12,'Stress Test Inputs'!$E$23&gt;'Stress Test Inputs'!$B$23),D50+D50*B50/12,IF('Stress Test Inputs'!$C$23="FRM",-PMT($B$3/12,'Stress Test Inputs'!$E$23*12,$D$3),IF($A50,-PMT(B50/12,('Stress Test Inputs'!$E$23*12)-C50+1,D50),E49))))</f>
        <v>65094.431363418102</v>
      </c>
      <c r="F50" s="112">
        <f t="shared" si="0"/>
        <v>9267750.440493267</v>
      </c>
      <c r="G50" s="112">
        <f>IF(C50&gt;'Stress Test Inputs'!$B$23*12,0,D50*B50/12)</f>
        <v>46664.224359283427</v>
      </c>
      <c r="H50" s="112">
        <f t="shared" si="1"/>
        <v>18430.207004134674</v>
      </c>
      <c r="I50" s="112">
        <f t="shared" si="3"/>
        <v>9314414.6648525503</v>
      </c>
      <c r="J50" s="111"/>
    </row>
    <row r="51" spans="1:10" x14ac:dyDescent="0.25">
      <c r="A51" s="107" t="b">
        <f>IF(('Stress Test Inputs'!$C$23)="FRM", FALSE, ISNUMBER(MATCH(C51,'Stress Test Inputs'!$M$18:$M$30,0)))</f>
        <v>0</v>
      </c>
      <c r="B51" s="116">
        <f>IF($A51, (_xlfn.XLOOKUP(C51,'Stress Test Inputs'!$M$17:$M$29,'Stress Test Inputs'!$N$17:$N$29)+'Stress Test Financial Analysis'!$D$5),$B50)</f>
        <v>0.06</v>
      </c>
      <c r="C51" s="114">
        <f t="shared" si="2"/>
        <v>49</v>
      </c>
      <c r="D51" s="112">
        <f t="shared" si="4"/>
        <v>9314414.6648525503</v>
      </c>
      <c r="E51" s="112">
        <f>IF(OR(D51&lt;=0,C51&gt;'Stress Test Inputs'!$B$23*12),0,IF(AND(C51='Stress Test Inputs'!$B$23*12,'Stress Test Inputs'!$E$23&gt;'Stress Test Inputs'!$B$23),D51+D51*B51/12,IF('Stress Test Inputs'!$C$23="FRM",-PMT($B$3/12,'Stress Test Inputs'!$E$23*12,$D$3),IF($A51,-PMT(B51/12,('Stress Test Inputs'!$E$23*12)-C51+1,D51),E50))))</f>
        <v>65094.431363418102</v>
      </c>
      <c r="F51" s="112">
        <f t="shared" si="0"/>
        <v>9249320.2334891316</v>
      </c>
      <c r="G51" s="112">
        <f>IF(C51&gt;'Stress Test Inputs'!$B$23*12,0,D51*B51/12)</f>
        <v>46572.073324262747</v>
      </c>
      <c r="H51" s="112">
        <f t="shared" si="1"/>
        <v>18522.358039155355</v>
      </c>
      <c r="I51" s="112">
        <f t="shared" si="3"/>
        <v>9295892.3068133947</v>
      </c>
      <c r="J51" s="111"/>
    </row>
    <row r="52" spans="1:10" x14ac:dyDescent="0.25">
      <c r="A52" s="107" t="b">
        <f>IF(('Stress Test Inputs'!$C$23)="FRM", FALSE, ISNUMBER(MATCH(C52,'Stress Test Inputs'!$M$18:$M$30,0)))</f>
        <v>0</v>
      </c>
      <c r="B52" s="116">
        <f>IF($A52, (_xlfn.XLOOKUP(C52,'Stress Test Inputs'!$M$17:$M$29,'Stress Test Inputs'!$N$17:$N$29)+'Stress Test Financial Analysis'!$D$5),$B51)</f>
        <v>0.06</v>
      </c>
      <c r="C52" s="114">
        <f t="shared" si="2"/>
        <v>50</v>
      </c>
      <c r="D52" s="112">
        <f t="shared" si="4"/>
        <v>9295892.3068133947</v>
      </c>
      <c r="E52" s="112">
        <f>IF(OR(D52&lt;=0,C52&gt;'Stress Test Inputs'!$B$23*12),0,IF(AND(C52='Stress Test Inputs'!$B$23*12,'Stress Test Inputs'!$E$23&gt;'Stress Test Inputs'!$B$23),D52+D52*B52/12,IF('Stress Test Inputs'!$C$23="FRM",-PMT($B$3/12,'Stress Test Inputs'!$E$23*12,$D$3),IF($A52,-PMT(B52/12,('Stress Test Inputs'!$E$23*12)-C52+1,D52),E51))))</f>
        <v>65094.431363418102</v>
      </c>
      <c r="F52" s="112">
        <f t="shared" si="0"/>
        <v>9230797.875449976</v>
      </c>
      <c r="G52" s="112">
        <f>IF(C52&gt;'Stress Test Inputs'!$B$23*12,0,D52*B52/12)</f>
        <v>46479.46153406697</v>
      </c>
      <c r="H52" s="112">
        <f t="shared" si="1"/>
        <v>18614.969829351132</v>
      </c>
      <c r="I52" s="112">
        <f t="shared" si="3"/>
        <v>9277277.3369840439</v>
      </c>
      <c r="J52" s="111"/>
    </row>
    <row r="53" spans="1:10" x14ac:dyDescent="0.25">
      <c r="A53" s="107" t="b">
        <f>IF(('Stress Test Inputs'!$C$23)="FRM", FALSE, ISNUMBER(MATCH(C53,'Stress Test Inputs'!$M$18:$M$30,0)))</f>
        <v>0</v>
      </c>
      <c r="B53" s="116">
        <f>IF($A53, (_xlfn.XLOOKUP(C53,'Stress Test Inputs'!$M$17:$M$29,'Stress Test Inputs'!$N$17:$N$29)+'Stress Test Financial Analysis'!$D$5),$B52)</f>
        <v>0.06</v>
      </c>
      <c r="C53" s="114">
        <f t="shared" si="2"/>
        <v>51</v>
      </c>
      <c r="D53" s="112">
        <f t="shared" si="4"/>
        <v>9277277.3369840439</v>
      </c>
      <c r="E53" s="112">
        <f>IF(OR(D53&lt;=0,C53&gt;'Stress Test Inputs'!$B$23*12),0,IF(AND(C53='Stress Test Inputs'!$B$23*12,'Stress Test Inputs'!$E$23&gt;'Stress Test Inputs'!$B$23),D53+D53*B53/12,IF('Stress Test Inputs'!$C$23="FRM",-PMT($B$3/12,'Stress Test Inputs'!$E$23*12,$D$3),IF($A53,-PMT(B53/12,('Stress Test Inputs'!$E$23*12)-C53+1,D53),E52))))</f>
        <v>65094.431363418102</v>
      </c>
      <c r="F53" s="112">
        <f t="shared" si="0"/>
        <v>9212182.9056206252</v>
      </c>
      <c r="G53" s="112">
        <f>IF(C53&gt;'Stress Test Inputs'!$B$23*12,0,D53*B53/12)</f>
        <v>46386.386684920224</v>
      </c>
      <c r="H53" s="112">
        <f t="shared" si="1"/>
        <v>18708.044678497878</v>
      </c>
      <c r="I53" s="112">
        <f t="shared" si="3"/>
        <v>9258569.2923055459</v>
      </c>
      <c r="J53" s="111"/>
    </row>
    <row r="54" spans="1:10" x14ac:dyDescent="0.25">
      <c r="A54" s="107" t="b">
        <f>IF(('Stress Test Inputs'!$C$23)="FRM", FALSE, ISNUMBER(MATCH(C54,'Stress Test Inputs'!$M$18:$M$30,0)))</f>
        <v>0</v>
      </c>
      <c r="B54" s="116">
        <f>IF($A54, (_xlfn.XLOOKUP(C54,'Stress Test Inputs'!$M$17:$M$29,'Stress Test Inputs'!$N$17:$N$29)+'Stress Test Financial Analysis'!$D$5),$B53)</f>
        <v>0.06</v>
      </c>
      <c r="C54" s="114">
        <f t="shared" si="2"/>
        <v>52</v>
      </c>
      <c r="D54" s="112">
        <f t="shared" si="4"/>
        <v>9258569.2923055459</v>
      </c>
      <c r="E54" s="112">
        <f>IF(OR(D54&lt;=0,C54&gt;'Stress Test Inputs'!$B$23*12),0,IF(AND(C54='Stress Test Inputs'!$B$23*12,'Stress Test Inputs'!$E$23&gt;'Stress Test Inputs'!$B$23),D54+D54*B54/12,IF('Stress Test Inputs'!$C$23="FRM",-PMT($B$3/12,'Stress Test Inputs'!$E$23*12,$D$3),IF($A54,-PMT(B54/12,('Stress Test Inputs'!$E$23*12)-C54+1,D54),E53))))</f>
        <v>65094.431363418102</v>
      </c>
      <c r="F54" s="112">
        <f t="shared" si="0"/>
        <v>9193474.8609421272</v>
      </c>
      <c r="G54" s="112">
        <f>IF(C54&gt;'Stress Test Inputs'!$B$23*12,0,D54*B54/12)</f>
        <v>46292.846461527726</v>
      </c>
      <c r="H54" s="112">
        <f t="shared" si="1"/>
        <v>18801.584901890375</v>
      </c>
      <c r="I54" s="112">
        <f t="shared" si="3"/>
        <v>9239767.7074036561</v>
      </c>
      <c r="J54" s="111"/>
    </row>
    <row r="55" spans="1:10" x14ac:dyDescent="0.25">
      <c r="A55" s="107" t="b">
        <f>IF(('Stress Test Inputs'!$C$23)="FRM", FALSE, ISNUMBER(MATCH(C55,'Stress Test Inputs'!$M$18:$M$30,0)))</f>
        <v>0</v>
      </c>
      <c r="B55" s="116">
        <f>IF($A55, (_xlfn.XLOOKUP(C55,'Stress Test Inputs'!$M$17:$M$29,'Stress Test Inputs'!$N$17:$N$29)+'Stress Test Financial Analysis'!$D$5),$B54)</f>
        <v>0.06</v>
      </c>
      <c r="C55" s="114">
        <f t="shared" si="2"/>
        <v>53</v>
      </c>
      <c r="D55" s="112">
        <f t="shared" si="4"/>
        <v>9239767.7074036561</v>
      </c>
      <c r="E55" s="112">
        <f>IF(OR(D55&lt;=0,C55&gt;'Stress Test Inputs'!$B$23*12),0,IF(AND(C55='Stress Test Inputs'!$B$23*12,'Stress Test Inputs'!$E$23&gt;'Stress Test Inputs'!$B$23),D55+D55*B55/12,IF('Stress Test Inputs'!$C$23="FRM",-PMT($B$3/12,'Stress Test Inputs'!$E$23*12,$D$3),IF($A55,-PMT(B55/12,('Stress Test Inputs'!$E$23*12)-C55+1,D55),E54))))</f>
        <v>65094.431363418102</v>
      </c>
      <c r="F55" s="112">
        <f t="shared" si="0"/>
        <v>9174673.2760402374</v>
      </c>
      <c r="G55" s="112">
        <f>IF(C55&gt;'Stress Test Inputs'!$B$23*12,0,D55*B55/12)</f>
        <v>46198.83853701828</v>
      </c>
      <c r="H55" s="112">
        <f t="shared" si="1"/>
        <v>18895.592826399821</v>
      </c>
      <c r="I55" s="112">
        <f t="shared" si="3"/>
        <v>9220872.1145772561</v>
      </c>
      <c r="J55" s="111"/>
    </row>
    <row r="56" spans="1:10" x14ac:dyDescent="0.25">
      <c r="A56" s="107" t="b">
        <f>IF(('Stress Test Inputs'!$C$23)="FRM", FALSE, ISNUMBER(MATCH(C56,'Stress Test Inputs'!$M$18:$M$30,0)))</f>
        <v>0</v>
      </c>
      <c r="B56" s="116">
        <f>IF($A56, (_xlfn.XLOOKUP(C56,'Stress Test Inputs'!$M$17:$M$29,'Stress Test Inputs'!$N$17:$N$29)+'Stress Test Financial Analysis'!$D$5),$B55)</f>
        <v>0.06</v>
      </c>
      <c r="C56" s="114">
        <f t="shared" si="2"/>
        <v>54</v>
      </c>
      <c r="D56" s="112">
        <f t="shared" si="4"/>
        <v>9220872.1145772561</v>
      </c>
      <c r="E56" s="112">
        <f>IF(OR(D56&lt;=0,C56&gt;'Stress Test Inputs'!$B$23*12),0,IF(AND(C56='Stress Test Inputs'!$B$23*12,'Stress Test Inputs'!$E$23&gt;'Stress Test Inputs'!$B$23),D56+D56*B56/12,IF('Stress Test Inputs'!$C$23="FRM",-PMT($B$3/12,'Stress Test Inputs'!$E$23*12,$D$3),IF($A56,-PMT(B56/12,('Stress Test Inputs'!$E$23*12)-C56+1,D56),E55))))</f>
        <v>65094.431363418102</v>
      </c>
      <c r="F56" s="112">
        <f t="shared" si="0"/>
        <v>9155777.6832138374</v>
      </c>
      <c r="G56" s="112">
        <f>IF(C56&gt;'Stress Test Inputs'!$B$23*12,0,D56*B56/12)</f>
        <v>46104.360572886275</v>
      </c>
      <c r="H56" s="112">
        <f t="shared" si="1"/>
        <v>18990.070790531827</v>
      </c>
      <c r="I56" s="112">
        <f t="shared" si="3"/>
        <v>9201882.043786725</v>
      </c>
      <c r="J56" s="111"/>
    </row>
    <row r="57" spans="1:10" x14ac:dyDescent="0.25">
      <c r="A57" s="107" t="b">
        <f>IF(('Stress Test Inputs'!$C$23)="FRM", FALSE, ISNUMBER(MATCH(C57,'Stress Test Inputs'!$M$18:$M$30,0)))</f>
        <v>0</v>
      </c>
      <c r="B57" s="116">
        <f>IF($A57, (_xlfn.XLOOKUP(C57,'Stress Test Inputs'!$M$17:$M$29,'Stress Test Inputs'!$N$17:$N$29)+'Stress Test Financial Analysis'!$D$5),$B56)</f>
        <v>0.06</v>
      </c>
      <c r="C57" s="114">
        <f t="shared" si="2"/>
        <v>55</v>
      </c>
      <c r="D57" s="112">
        <f t="shared" si="4"/>
        <v>9201882.043786725</v>
      </c>
      <c r="E57" s="112">
        <f>IF(OR(D57&lt;=0,C57&gt;'Stress Test Inputs'!$B$23*12),0,IF(AND(C57='Stress Test Inputs'!$B$23*12,'Stress Test Inputs'!$E$23&gt;'Stress Test Inputs'!$B$23),D57+D57*B57/12,IF('Stress Test Inputs'!$C$23="FRM",-PMT($B$3/12,'Stress Test Inputs'!$E$23*12,$D$3),IF($A57,-PMT(B57/12,('Stress Test Inputs'!$E$23*12)-C57+1,D57),E56))))</f>
        <v>65094.431363418102</v>
      </c>
      <c r="F57" s="112">
        <f t="shared" si="0"/>
        <v>9136787.6124233063</v>
      </c>
      <c r="G57" s="112">
        <f>IF(C57&gt;'Stress Test Inputs'!$B$23*12,0,D57*B57/12)</f>
        <v>46009.410218933626</v>
      </c>
      <c r="H57" s="112">
        <f t="shared" si="1"/>
        <v>19085.021144484475</v>
      </c>
      <c r="I57" s="112">
        <f t="shared" si="3"/>
        <v>9182797.0226422399</v>
      </c>
      <c r="J57" s="111"/>
    </row>
    <row r="58" spans="1:10" x14ac:dyDescent="0.25">
      <c r="A58" s="107" t="b">
        <f>IF(('Stress Test Inputs'!$C$23)="FRM", FALSE, ISNUMBER(MATCH(C58,'Stress Test Inputs'!$M$18:$M$30,0)))</f>
        <v>0</v>
      </c>
      <c r="B58" s="116">
        <f>IF($A58, (_xlfn.XLOOKUP(C58,'Stress Test Inputs'!$M$17:$M$29,'Stress Test Inputs'!$N$17:$N$29)+'Stress Test Financial Analysis'!$D$5),$B57)</f>
        <v>0.06</v>
      </c>
      <c r="C58" s="114">
        <f t="shared" si="2"/>
        <v>56</v>
      </c>
      <c r="D58" s="112">
        <f t="shared" si="4"/>
        <v>9182797.0226422399</v>
      </c>
      <c r="E58" s="112">
        <f>IF(OR(D58&lt;=0,C58&gt;'Stress Test Inputs'!$B$23*12),0,IF(AND(C58='Stress Test Inputs'!$B$23*12,'Stress Test Inputs'!$E$23&gt;'Stress Test Inputs'!$B$23),D58+D58*B58/12,IF('Stress Test Inputs'!$C$23="FRM",-PMT($B$3/12,'Stress Test Inputs'!$E$23*12,$D$3),IF($A58,-PMT(B58/12,('Stress Test Inputs'!$E$23*12)-C58+1,D58),E57))))</f>
        <v>65094.431363418102</v>
      </c>
      <c r="F58" s="112">
        <f t="shared" si="0"/>
        <v>9117702.5912788212</v>
      </c>
      <c r="G58" s="112">
        <f>IF(C58&gt;'Stress Test Inputs'!$B$23*12,0,D58*B58/12)</f>
        <v>45913.985113211202</v>
      </c>
      <c r="H58" s="112">
        <f t="shared" si="1"/>
        <v>19180.4462502069</v>
      </c>
      <c r="I58" s="112">
        <f t="shared" si="3"/>
        <v>9163616.5763920322</v>
      </c>
      <c r="J58" s="111"/>
    </row>
    <row r="59" spans="1:10" x14ac:dyDescent="0.25">
      <c r="A59" s="107" t="b">
        <f>IF(('Stress Test Inputs'!$C$23)="FRM", FALSE, ISNUMBER(MATCH(C59,'Stress Test Inputs'!$M$18:$M$30,0)))</f>
        <v>0</v>
      </c>
      <c r="B59" s="116">
        <f>IF($A59, (_xlfn.XLOOKUP(C59,'Stress Test Inputs'!$M$17:$M$29,'Stress Test Inputs'!$N$17:$N$29)+'Stress Test Financial Analysis'!$D$5),$B58)</f>
        <v>0.06</v>
      </c>
      <c r="C59" s="114">
        <f t="shared" si="2"/>
        <v>57</v>
      </c>
      <c r="D59" s="112">
        <f t="shared" si="4"/>
        <v>9163616.5763920322</v>
      </c>
      <c r="E59" s="112">
        <f>IF(OR(D59&lt;=0,C59&gt;'Stress Test Inputs'!$B$23*12),0,IF(AND(C59='Stress Test Inputs'!$B$23*12,'Stress Test Inputs'!$E$23&gt;'Stress Test Inputs'!$B$23),D59+D59*B59/12,IF('Stress Test Inputs'!$C$23="FRM",-PMT($B$3/12,'Stress Test Inputs'!$E$23*12,$D$3),IF($A59,-PMT(B59/12,('Stress Test Inputs'!$E$23*12)-C59+1,D59),E58))))</f>
        <v>65094.431363418102</v>
      </c>
      <c r="F59" s="112">
        <f t="shared" si="0"/>
        <v>9098522.1450286135</v>
      </c>
      <c r="G59" s="112">
        <f>IF(C59&gt;'Stress Test Inputs'!$B$23*12,0,D59*B59/12)</f>
        <v>45818.082881960167</v>
      </c>
      <c r="H59" s="112">
        <f t="shared" si="1"/>
        <v>19276.348481457935</v>
      </c>
      <c r="I59" s="112">
        <f t="shared" si="3"/>
        <v>9144340.2279105745</v>
      </c>
      <c r="J59" s="111"/>
    </row>
    <row r="60" spans="1:10" x14ac:dyDescent="0.25">
      <c r="A60" s="107" t="b">
        <f>IF(('Stress Test Inputs'!$C$23)="FRM", FALSE, ISNUMBER(MATCH(C60,'Stress Test Inputs'!$M$18:$M$30,0)))</f>
        <v>0</v>
      </c>
      <c r="B60" s="116">
        <f>IF($A60, (_xlfn.XLOOKUP(C60,'Stress Test Inputs'!$M$17:$M$29,'Stress Test Inputs'!$N$17:$N$29)+'Stress Test Financial Analysis'!$D$5),$B59)</f>
        <v>0.06</v>
      </c>
      <c r="C60" s="114">
        <f t="shared" si="2"/>
        <v>58</v>
      </c>
      <c r="D60" s="112">
        <f t="shared" si="4"/>
        <v>9144340.2279105745</v>
      </c>
      <c r="E60" s="112">
        <f>IF(OR(D60&lt;=0,C60&gt;'Stress Test Inputs'!$B$23*12),0,IF(AND(C60='Stress Test Inputs'!$B$23*12,'Stress Test Inputs'!$E$23&gt;'Stress Test Inputs'!$B$23),D60+D60*B60/12,IF('Stress Test Inputs'!$C$23="FRM",-PMT($B$3/12,'Stress Test Inputs'!$E$23*12,$D$3),IF($A60,-PMT(B60/12,('Stress Test Inputs'!$E$23*12)-C60+1,D60),E59))))</f>
        <v>65094.431363418102</v>
      </c>
      <c r="F60" s="112">
        <f t="shared" si="0"/>
        <v>9079245.7965471558</v>
      </c>
      <c r="G60" s="112">
        <f>IF(C60&gt;'Stress Test Inputs'!$B$23*12,0,D60*B60/12)</f>
        <v>45721.701139552868</v>
      </c>
      <c r="H60" s="112">
        <f t="shared" si="1"/>
        <v>19372.730223865234</v>
      </c>
      <c r="I60" s="112">
        <f t="shared" si="3"/>
        <v>9124967.4976867102</v>
      </c>
      <c r="J60" s="111"/>
    </row>
    <row r="61" spans="1:10" x14ac:dyDescent="0.25">
      <c r="A61" s="107" t="b">
        <f>IF(('Stress Test Inputs'!$C$23)="FRM", FALSE, ISNUMBER(MATCH(C61,'Stress Test Inputs'!$M$18:$M$30,0)))</f>
        <v>0</v>
      </c>
      <c r="B61" s="116">
        <f>IF($A61, (_xlfn.XLOOKUP(C61,'Stress Test Inputs'!$M$17:$M$29,'Stress Test Inputs'!$N$17:$N$29)+'Stress Test Financial Analysis'!$D$5),$B60)</f>
        <v>0.06</v>
      </c>
      <c r="C61" s="114">
        <f t="shared" si="2"/>
        <v>59</v>
      </c>
      <c r="D61" s="112">
        <f t="shared" si="4"/>
        <v>9124967.4976867102</v>
      </c>
      <c r="E61" s="112">
        <f>IF(OR(D61&lt;=0,C61&gt;'Stress Test Inputs'!$B$23*12),0,IF(AND(C61='Stress Test Inputs'!$B$23*12,'Stress Test Inputs'!$E$23&gt;'Stress Test Inputs'!$B$23),D61+D61*B61/12,IF('Stress Test Inputs'!$C$23="FRM",-PMT($B$3/12,'Stress Test Inputs'!$E$23*12,$D$3),IF($A61,-PMT(B61/12,('Stress Test Inputs'!$E$23*12)-C61+1,D61),E60))))</f>
        <v>65094.431363418102</v>
      </c>
      <c r="F61" s="112">
        <f t="shared" si="0"/>
        <v>9059873.0663232915</v>
      </c>
      <c r="G61" s="112">
        <f>IF(C61&gt;'Stress Test Inputs'!$B$23*12,0,D61*B61/12)</f>
        <v>45624.83748843355</v>
      </c>
      <c r="H61" s="112">
        <f t="shared" si="1"/>
        <v>19469.593874984552</v>
      </c>
      <c r="I61" s="112">
        <f t="shared" si="3"/>
        <v>9105497.9038117249</v>
      </c>
      <c r="J61" s="111"/>
    </row>
    <row r="62" spans="1:10" x14ac:dyDescent="0.25">
      <c r="A62" s="107" t="b">
        <f>IF(('Stress Test Inputs'!$C$23)="FRM", FALSE, ISNUMBER(MATCH(C62,'Stress Test Inputs'!$M$18:$M$30,0)))</f>
        <v>0</v>
      </c>
      <c r="B62" s="116">
        <f>IF($A62, (_xlfn.XLOOKUP(C62,'Stress Test Inputs'!$M$17:$M$29,'Stress Test Inputs'!$N$17:$N$29)+'Stress Test Financial Analysis'!$D$5),$B61)</f>
        <v>0.06</v>
      </c>
      <c r="C62" s="114">
        <f t="shared" si="2"/>
        <v>60</v>
      </c>
      <c r="D62" s="112">
        <f t="shared" si="4"/>
        <v>9105497.9038117249</v>
      </c>
      <c r="E62" s="112">
        <f>IF(OR(D62&lt;=0,C62&gt;'Stress Test Inputs'!$B$23*12),0,IF(AND(C62='Stress Test Inputs'!$B$23*12,'Stress Test Inputs'!$E$23&gt;'Stress Test Inputs'!$B$23),D62+D62*B62/12,IF('Stress Test Inputs'!$C$23="FRM",-PMT($B$3/12,'Stress Test Inputs'!$E$23*12,$D$3),IF($A62,-PMT(B62/12,('Stress Test Inputs'!$E$23*12)-C62+1,D62),E61))))</f>
        <v>65094.431363418102</v>
      </c>
      <c r="F62" s="112">
        <f t="shared" si="0"/>
        <v>9040403.4724483062</v>
      </c>
      <c r="G62" s="112">
        <f>IF(C62&gt;'Stress Test Inputs'!$B$23*12,0,D62*B62/12)</f>
        <v>45527.489519058618</v>
      </c>
      <c r="H62" s="112">
        <f t="shared" si="1"/>
        <v>19566.941844359484</v>
      </c>
      <c r="I62" s="112">
        <f t="shared" si="3"/>
        <v>9085930.9619673658</v>
      </c>
      <c r="J62" s="111"/>
    </row>
    <row r="63" spans="1:10" x14ac:dyDescent="0.25">
      <c r="A63" s="107" t="b">
        <f>IF(('Stress Test Inputs'!$C$23)="FRM", FALSE, ISNUMBER(MATCH(C63,'Stress Test Inputs'!$M$18:$M$30,0)))</f>
        <v>0</v>
      </c>
      <c r="B63" s="116">
        <f>IF($A63, (_xlfn.XLOOKUP(C63,'Stress Test Inputs'!$M$17:$M$29,'Stress Test Inputs'!$N$17:$N$29)+'Stress Test Financial Analysis'!$D$5),$B62)</f>
        <v>0.06</v>
      </c>
      <c r="C63" s="114">
        <f t="shared" si="2"/>
        <v>61</v>
      </c>
      <c r="D63" s="112">
        <f t="shared" si="4"/>
        <v>9085930.9619673658</v>
      </c>
      <c r="E63" s="112">
        <f>IF(OR(D63&lt;=0,C63&gt;'Stress Test Inputs'!$B$23*12),0,IF(AND(C63='Stress Test Inputs'!$B$23*12,'Stress Test Inputs'!$E$23&gt;'Stress Test Inputs'!$B$23),D63+D63*B63/12,IF('Stress Test Inputs'!$C$23="FRM",-PMT($B$3/12,'Stress Test Inputs'!$E$23*12,$D$3),IF($A63,-PMT(B63/12,('Stress Test Inputs'!$E$23*12)-C63+1,D63),E62))))</f>
        <v>65094.431363418102</v>
      </c>
      <c r="F63" s="112">
        <f t="shared" si="0"/>
        <v>9020836.5306039471</v>
      </c>
      <c r="G63" s="112">
        <f>IF(C63&gt;'Stress Test Inputs'!$B$23*12,0,D63*B63/12)</f>
        <v>45429.654809836829</v>
      </c>
      <c r="H63" s="112">
        <f t="shared" si="1"/>
        <v>19664.776553581272</v>
      </c>
      <c r="I63" s="112">
        <f t="shared" si="3"/>
        <v>9066266.1854137853</v>
      </c>
      <c r="J63" s="111"/>
    </row>
    <row r="64" spans="1:10" x14ac:dyDescent="0.25">
      <c r="A64" s="107" t="b">
        <f>IF(('Stress Test Inputs'!$C$23)="FRM", FALSE, ISNUMBER(MATCH(C64,'Stress Test Inputs'!$M$18:$M$30,0)))</f>
        <v>0</v>
      </c>
      <c r="B64" s="116">
        <f>IF($A64, (_xlfn.XLOOKUP(C64,'Stress Test Inputs'!$M$17:$M$29,'Stress Test Inputs'!$N$17:$N$29)+'Stress Test Financial Analysis'!$D$5),$B63)</f>
        <v>0.06</v>
      </c>
      <c r="C64" s="114">
        <f t="shared" si="2"/>
        <v>62</v>
      </c>
      <c r="D64" s="112">
        <f t="shared" si="4"/>
        <v>9066266.1854137853</v>
      </c>
      <c r="E64" s="112">
        <f>IF(OR(D64&lt;=0,C64&gt;'Stress Test Inputs'!$B$23*12),0,IF(AND(C64='Stress Test Inputs'!$B$23*12,'Stress Test Inputs'!$E$23&gt;'Stress Test Inputs'!$B$23),D64+D64*B64/12,IF('Stress Test Inputs'!$C$23="FRM",-PMT($B$3/12,'Stress Test Inputs'!$E$23*12,$D$3),IF($A64,-PMT(B64/12,('Stress Test Inputs'!$E$23*12)-C64+1,D64),E63))))</f>
        <v>65094.431363418102</v>
      </c>
      <c r="F64" s="112">
        <f t="shared" si="0"/>
        <v>9001171.7540503666</v>
      </c>
      <c r="G64" s="112">
        <f>IF(C64&gt;'Stress Test Inputs'!$B$23*12,0,D64*B64/12)</f>
        <v>45331.330927068921</v>
      </c>
      <c r="H64" s="112">
        <f t="shared" si="1"/>
        <v>19763.100436349181</v>
      </c>
      <c r="I64" s="112">
        <f t="shared" si="3"/>
        <v>9046503.0849774368</v>
      </c>
      <c r="J64" s="111"/>
    </row>
    <row r="65" spans="1:10" x14ac:dyDescent="0.25">
      <c r="A65" s="107" t="b">
        <f>IF(('Stress Test Inputs'!$C$23)="FRM", FALSE, ISNUMBER(MATCH(C65,'Stress Test Inputs'!$M$18:$M$30,0)))</f>
        <v>0</v>
      </c>
      <c r="B65" s="116">
        <f>IF($A65, (_xlfn.XLOOKUP(C65,'Stress Test Inputs'!$M$17:$M$29,'Stress Test Inputs'!$N$17:$N$29)+'Stress Test Financial Analysis'!$D$5),$B64)</f>
        <v>0.06</v>
      </c>
      <c r="C65" s="114">
        <f t="shared" si="2"/>
        <v>63</v>
      </c>
      <c r="D65" s="112">
        <f t="shared" si="4"/>
        <v>9046503.0849774368</v>
      </c>
      <c r="E65" s="112">
        <f>IF(OR(D65&lt;=0,C65&gt;'Stress Test Inputs'!$B$23*12),0,IF(AND(C65='Stress Test Inputs'!$B$23*12,'Stress Test Inputs'!$E$23&gt;'Stress Test Inputs'!$B$23),D65+D65*B65/12,IF('Stress Test Inputs'!$C$23="FRM",-PMT($B$3/12,'Stress Test Inputs'!$E$23*12,$D$3),IF($A65,-PMT(B65/12,('Stress Test Inputs'!$E$23*12)-C65+1,D65),E64))))</f>
        <v>65094.431363418102</v>
      </c>
      <c r="F65" s="112">
        <f t="shared" si="0"/>
        <v>8981408.6536140181</v>
      </c>
      <c r="G65" s="112">
        <f>IF(C65&gt;'Stress Test Inputs'!$B$23*12,0,D65*B65/12)</f>
        <v>45232.515424887184</v>
      </c>
      <c r="H65" s="112">
        <f t="shared" si="1"/>
        <v>19861.915938530918</v>
      </c>
      <c r="I65" s="112">
        <f t="shared" si="3"/>
        <v>9026641.1690389067</v>
      </c>
      <c r="J65" s="111"/>
    </row>
    <row r="66" spans="1:10" x14ac:dyDescent="0.25">
      <c r="A66" s="107" t="b">
        <f>IF(('Stress Test Inputs'!$C$23)="FRM", FALSE, ISNUMBER(MATCH(C66,'Stress Test Inputs'!$M$18:$M$30,0)))</f>
        <v>0</v>
      </c>
      <c r="B66" s="116">
        <f>IF($A66, (_xlfn.XLOOKUP(C66,'Stress Test Inputs'!$M$17:$M$29,'Stress Test Inputs'!$N$17:$N$29)+'Stress Test Financial Analysis'!$D$5),$B65)</f>
        <v>0.06</v>
      </c>
      <c r="C66" s="114">
        <f t="shared" si="2"/>
        <v>64</v>
      </c>
      <c r="D66" s="112">
        <f t="shared" si="4"/>
        <v>9026641.1690389067</v>
      </c>
      <c r="E66" s="112">
        <f>IF(OR(D66&lt;=0,C66&gt;'Stress Test Inputs'!$B$23*12),0,IF(AND(C66='Stress Test Inputs'!$B$23*12,'Stress Test Inputs'!$E$23&gt;'Stress Test Inputs'!$B$23),D66+D66*B66/12,IF('Stress Test Inputs'!$C$23="FRM",-PMT($B$3/12,'Stress Test Inputs'!$E$23*12,$D$3),IF($A66,-PMT(B66/12,('Stress Test Inputs'!$E$23*12)-C66+1,D66),E65))))</f>
        <v>65094.431363418102</v>
      </c>
      <c r="F66" s="112">
        <f t="shared" si="0"/>
        <v>8961546.737675488</v>
      </c>
      <c r="G66" s="112">
        <f>IF(C66&gt;'Stress Test Inputs'!$B$23*12,0,D66*B66/12)</f>
        <v>45133.205845194527</v>
      </c>
      <c r="H66" s="112">
        <f t="shared" si="1"/>
        <v>19961.225518223575</v>
      </c>
      <c r="I66" s="112">
        <f t="shared" si="3"/>
        <v>9006679.9435206838</v>
      </c>
      <c r="J66" s="111"/>
    </row>
    <row r="67" spans="1:10" x14ac:dyDescent="0.25">
      <c r="A67" s="107" t="b">
        <f>IF(('Stress Test Inputs'!$C$23)="FRM", FALSE, ISNUMBER(MATCH(C67,'Stress Test Inputs'!$M$18:$M$30,0)))</f>
        <v>0</v>
      </c>
      <c r="B67" s="116">
        <f>IF($A67, (_xlfn.XLOOKUP(C67,'Stress Test Inputs'!$M$17:$M$29,'Stress Test Inputs'!$N$17:$N$29)+'Stress Test Financial Analysis'!$D$5),$B66)</f>
        <v>0.06</v>
      </c>
      <c r="C67" s="114">
        <f t="shared" si="2"/>
        <v>65</v>
      </c>
      <c r="D67" s="112">
        <f t="shared" si="4"/>
        <v>9006679.9435206838</v>
      </c>
      <c r="E67" s="112">
        <f>IF(OR(D67&lt;=0,C67&gt;'Stress Test Inputs'!$B$23*12),0,IF(AND(C67='Stress Test Inputs'!$B$23*12,'Stress Test Inputs'!$E$23&gt;'Stress Test Inputs'!$B$23),D67+D67*B67/12,IF('Stress Test Inputs'!$C$23="FRM",-PMT($B$3/12,'Stress Test Inputs'!$E$23*12,$D$3),IF($A67,-PMT(B67/12,('Stress Test Inputs'!$E$23*12)-C67+1,D67),E66))))</f>
        <v>65094.431363418102</v>
      </c>
      <c r="F67" s="112">
        <f t="shared" si="0"/>
        <v>8941585.5121572651</v>
      </c>
      <c r="G67" s="112">
        <f>IF(C67&gt;'Stress Test Inputs'!$B$23*12,0,D67*B67/12)</f>
        <v>45033.399717603425</v>
      </c>
      <c r="H67" s="112">
        <f t="shared" ref="H67:H130" si="5">MIN(E67-G67,D67)</f>
        <v>20061.031645814677</v>
      </c>
      <c r="I67" s="112">
        <f t="shared" si="3"/>
        <v>8986618.9118748698</v>
      </c>
      <c r="J67" s="111"/>
    </row>
    <row r="68" spans="1:10" x14ac:dyDescent="0.25">
      <c r="A68" s="107" t="b">
        <f>IF(('Stress Test Inputs'!$C$23)="FRM", FALSE, ISNUMBER(MATCH(C68,'Stress Test Inputs'!$M$18:$M$30,0)))</f>
        <v>0</v>
      </c>
      <c r="B68" s="116">
        <f>IF($A68, (_xlfn.XLOOKUP(C68,'Stress Test Inputs'!$M$17:$M$29,'Stress Test Inputs'!$N$17:$N$29)+'Stress Test Financial Analysis'!$D$5),$B67)</f>
        <v>0.06</v>
      </c>
      <c r="C68" s="114">
        <f t="shared" si="2"/>
        <v>66</v>
      </c>
      <c r="D68" s="112">
        <f t="shared" si="4"/>
        <v>8986618.9118748698</v>
      </c>
      <c r="E68" s="112">
        <f>IF(OR(D68&lt;=0,C68&gt;'Stress Test Inputs'!$B$23*12),0,IF(AND(C68='Stress Test Inputs'!$B$23*12,'Stress Test Inputs'!$E$23&gt;'Stress Test Inputs'!$B$23),D68+D68*B68/12,IF('Stress Test Inputs'!$C$23="FRM",-PMT($B$3/12,'Stress Test Inputs'!$E$23*12,$D$3),IF($A68,-PMT(B68/12,('Stress Test Inputs'!$E$23*12)-C68+1,D68),E67))))</f>
        <v>65094.431363418102</v>
      </c>
      <c r="F68" s="112">
        <f t="shared" ref="F68:F131" si="6">IF(D68-E68&lt;0,0,D68-E68)</f>
        <v>8921524.4805114511</v>
      </c>
      <c r="G68" s="112">
        <f>IF(C68&gt;'Stress Test Inputs'!$B$23*12,0,D68*B68/12)</f>
        <v>44933.094559374345</v>
      </c>
      <c r="H68" s="112">
        <f t="shared" si="5"/>
        <v>20161.336804043756</v>
      </c>
      <c r="I68" s="112">
        <f t="shared" si="3"/>
        <v>8966457.5750708263</v>
      </c>
      <c r="J68" s="111"/>
    </row>
    <row r="69" spans="1:10" x14ac:dyDescent="0.25">
      <c r="A69" s="107" t="b">
        <f>IF(('Stress Test Inputs'!$C$23)="FRM", FALSE, ISNUMBER(MATCH(C69,'Stress Test Inputs'!$M$18:$M$30,0)))</f>
        <v>0</v>
      </c>
      <c r="B69" s="116">
        <f>IF($A69, (_xlfn.XLOOKUP(C69,'Stress Test Inputs'!$M$17:$M$29,'Stress Test Inputs'!$N$17:$N$29)+'Stress Test Financial Analysis'!$D$5),$B68)</f>
        <v>0.06</v>
      </c>
      <c r="C69" s="114">
        <f t="shared" ref="C69:C132" si="7">C68+1</f>
        <v>67</v>
      </c>
      <c r="D69" s="112">
        <f t="shared" si="4"/>
        <v>8966457.5750708263</v>
      </c>
      <c r="E69" s="112">
        <f>IF(OR(D69&lt;=0,C69&gt;'Stress Test Inputs'!$B$23*12),0,IF(AND(C69='Stress Test Inputs'!$B$23*12,'Stress Test Inputs'!$E$23&gt;'Stress Test Inputs'!$B$23),D69+D69*B69/12,IF('Stress Test Inputs'!$C$23="FRM",-PMT($B$3/12,'Stress Test Inputs'!$E$23*12,$D$3),IF($A69,-PMT(B69/12,('Stress Test Inputs'!$E$23*12)-C69+1,D69),E68))))</f>
        <v>65094.431363418102</v>
      </c>
      <c r="F69" s="112">
        <f t="shared" si="6"/>
        <v>8901363.1437074076</v>
      </c>
      <c r="G69" s="112">
        <f>IF(C69&gt;'Stress Test Inputs'!$B$23*12,0,D69*B69/12)</f>
        <v>44832.287875354137</v>
      </c>
      <c r="H69" s="112">
        <f t="shared" si="5"/>
        <v>20262.143488063964</v>
      </c>
      <c r="I69" s="112">
        <f t="shared" ref="I69:I132" si="8">IF(ROUND(D69-H69,2)=0,0,D69-H69)</f>
        <v>8946195.4315827619</v>
      </c>
      <c r="J69" s="111"/>
    </row>
    <row r="70" spans="1:10" x14ac:dyDescent="0.25">
      <c r="A70" s="107" t="b">
        <f>IF(('Stress Test Inputs'!$C$23)="FRM", FALSE, ISNUMBER(MATCH(C70,'Stress Test Inputs'!$M$18:$M$30,0)))</f>
        <v>0</v>
      </c>
      <c r="B70" s="116">
        <f>IF($A70, (_xlfn.XLOOKUP(C70,'Stress Test Inputs'!$M$17:$M$29,'Stress Test Inputs'!$N$17:$N$29)+'Stress Test Financial Analysis'!$D$5),$B69)</f>
        <v>0.06</v>
      </c>
      <c r="C70" s="114">
        <f t="shared" si="7"/>
        <v>68</v>
      </c>
      <c r="D70" s="112">
        <f t="shared" si="4"/>
        <v>8946195.4315827619</v>
      </c>
      <c r="E70" s="112">
        <f>IF(OR(D70&lt;=0,C70&gt;'Stress Test Inputs'!$B$23*12),0,IF(AND(C70='Stress Test Inputs'!$B$23*12,'Stress Test Inputs'!$E$23&gt;'Stress Test Inputs'!$B$23),D70+D70*B70/12,IF('Stress Test Inputs'!$C$23="FRM",-PMT($B$3/12,'Stress Test Inputs'!$E$23*12,$D$3),IF($A70,-PMT(B70/12,('Stress Test Inputs'!$E$23*12)-C70+1,D70),E69))))</f>
        <v>65094.431363418102</v>
      </c>
      <c r="F70" s="112">
        <f t="shared" si="6"/>
        <v>8881101.0002193432</v>
      </c>
      <c r="G70" s="112">
        <f>IF(C70&gt;'Stress Test Inputs'!$B$23*12,0,D70*B70/12)</f>
        <v>44730.977157913811</v>
      </c>
      <c r="H70" s="112">
        <f t="shared" si="5"/>
        <v>20363.454205504291</v>
      </c>
      <c r="I70" s="112">
        <f t="shared" si="8"/>
        <v>8925831.9773772582</v>
      </c>
      <c r="J70" s="111"/>
    </row>
    <row r="71" spans="1:10" x14ac:dyDescent="0.25">
      <c r="A71" s="107" t="b">
        <f>IF(('Stress Test Inputs'!$C$23)="FRM", FALSE, ISNUMBER(MATCH(C71,'Stress Test Inputs'!$M$18:$M$30,0)))</f>
        <v>0</v>
      </c>
      <c r="B71" s="116">
        <f>IF($A71, (_xlfn.XLOOKUP(C71,'Stress Test Inputs'!$M$17:$M$29,'Stress Test Inputs'!$N$17:$N$29)+'Stress Test Financial Analysis'!$D$5),$B70)</f>
        <v>0.06</v>
      </c>
      <c r="C71" s="114">
        <f t="shared" si="7"/>
        <v>69</v>
      </c>
      <c r="D71" s="112">
        <f t="shared" ref="D71:D134" si="9">IF(I70&gt;0,I70-J70,0)</f>
        <v>8925831.9773772582</v>
      </c>
      <c r="E71" s="112">
        <f>IF(OR(D71&lt;=0,C71&gt;'Stress Test Inputs'!$B$23*12),0,IF(AND(C71='Stress Test Inputs'!$B$23*12,'Stress Test Inputs'!$E$23&gt;'Stress Test Inputs'!$B$23),D71+D71*B71/12,IF('Stress Test Inputs'!$C$23="FRM",-PMT($B$3/12,'Stress Test Inputs'!$E$23*12,$D$3),IF($A71,-PMT(B71/12,('Stress Test Inputs'!$E$23*12)-C71+1,D71),E70))))</f>
        <v>65094.431363418102</v>
      </c>
      <c r="F71" s="112">
        <f t="shared" si="6"/>
        <v>8860737.5460138395</v>
      </c>
      <c r="G71" s="112">
        <f>IF(C71&gt;'Stress Test Inputs'!$B$23*12,0,D71*B71/12)</f>
        <v>44629.159886886286</v>
      </c>
      <c r="H71" s="112">
        <f t="shared" si="5"/>
        <v>20465.271476531816</v>
      </c>
      <c r="I71" s="112">
        <f t="shared" si="8"/>
        <v>8905366.7059007268</v>
      </c>
      <c r="J71" s="111"/>
    </row>
    <row r="72" spans="1:10" x14ac:dyDescent="0.25">
      <c r="A72" s="107" t="b">
        <f>IF(('Stress Test Inputs'!$C$23)="FRM", FALSE, ISNUMBER(MATCH(C72,'Stress Test Inputs'!$M$18:$M$30,0)))</f>
        <v>0</v>
      </c>
      <c r="B72" s="116">
        <f>IF($A72, (_xlfn.XLOOKUP(C72,'Stress Test Inputs'!$M$17:$M$29,'Stress Test Inputs'!$N$17:$N$29)+'Stress Test Financial Analysis'!$D$5),$B71)</f>
        <v>0.06</v>
      </c>
      <c r="C72" s="114">
        <f t="shared" si="7"/>
        <v>70</v>
      </c>
      <c r="D72" s="112">
        <f t="shared" si="9"/>
        <v>8905366.7059007268</v>
      </c>
      <c r="E72" s="112">
        <f>IF(OR(D72&lt;=0,C72&gt;'Stress Test Inputs'!$B$23*12),0,IF(AND(C72='Stress Test Inputs'!$B$23*12,'Stress Test Inputs'!$E$23&gt;'Stress Test Inputs'!$B$23),D72+D72*B72/12,IF('Stress Test Inputs'!$C$23="FRM",-PMT($B$3/12,'Stress Test Inputs'!$E$23*12,$D$3),IF($A72,-PMT(B72/12,('Stress Test Inputs'!$E$23*12)-C72+1,D72),E71))))</f>
        <v>65094.431363418102</v>
      </c>
      <c r="F72" s="112">
        <f t="shared" si="6"/>
        <v>8840272.2745373081</v>
      </c>
      <c r="G72" s="112">
        <f>IF(C72&gt;'Stress Test Inputs'!$B$23*12,0,D72*B72/12)</f>
        <v>44526.83352950363</v>
      </c>
      <c r="H72" s="112">
        <f t="shared" si="5"/>
        <v>20567.597833914471</v>
      </c>
      <c r="I72" s="112">
        <f t="shared" si="8"/>
        <v>8884799.1080668122</v>
      </c>
      <c r="J72" s="111"/>
    </row>
    <row r="73" spans="1:10" x14ac:dyDescent="0.25">
      <c r="A73" s="107" t="b">
        <f>IF(('Stress Test Inputs'!$C$23)="FRM", FALSE, ISNUMBER(MATCH(C73,'Stress Test Inputs'!$M$18:$M$30,0)))</f>
        <v>0</v>
      </c>
      <c r="B73" s="116">
        <f>IF($A73, (_xlfn.XLOOKUP(C73,'Stress Test Inputs'!$M$17:$M$29,'Stress Test Inputs'!$N$17:$N$29)+'Stress Test Financial Analysis'!$D$5),$B72)</f>
        <v>0.06</v>
      </c>
      <c r="C73" s="114">
        <f t="shared" si="7"/>
        <v>71</v>
      </c>
      <c r="D73" s="112">
        <f t="shared" si="9"/>
        <v>8884799.1080668122</v>
      </c>
      <c r="E73" s="112">
        <f>IF(OR(D73&lt;=0,C73&gt;'Stress Test Inputs'!$B$23*12),0,IF(AND(C73='Stress Test Inputs'!$B$23*12,'Stress Test Inputs'!$E$23&gt;'Stress Test Inputs'!$B$23),D73+D73*B73/12,IF('Stress Test Inputs'!$C$23="FRM",-PMT($B$3/12,'Stress Test Inputs'!$E$23*12,$D$3),IF($A73,-PMT(B73/12,('Stress Test Inputs'!$E$23*12)-C73+1,D73),E72))))</f>
        <v>65094.431363418102</v>
      </c>
      <c r="F73" s="112">
        <f t="shared" si="6"/>
        <v>8819704.6767033935</v>
      </c>
      <c r="G73" s="112">
        <f>IF(C73&gt;'Stress Test Inputs'!$B$23*12,0,D73*B73/12)</f>
        <v>44423.995540334057</v>
      </c>
      <c r="H73" s="112">
        <f t="shared" si="5"/>
        <v>20670.435823084044</v>
      </c>
      <c r="I73" s="112">
        <f t="shared" si="8"/>
        <v>8864128.6722437274</v>
      </c>
      <c r="J73" s="111"/>
    </row>
    <row r="74" spans="1:10" x14ac:dyDescent="0.25">
      <c r="A74" s="107" t="b">
        <f>IF(('Stress Test Inputs'!$C$23)="FRM", FALSE, ISNUMBER(MATCH(C74,'Stress Test Inputs'!$M$18:$M$30,0)))</f>
        <v>0</v>
      </c>
      <c r="B74" s="116">
        <f>IF($A74, (_xlfn.XLOOKUP(C74,'Stress Test Inputs'!$M$17:$M$29,'Stress Test Inputs'!$N$17:$N$29)+'Stress Test Financial Analysis'!$D$5),$B73)</f>
        <v>0.06</v>
      </c>
      <c r="C74" s="114">
        <f t="shared" si="7"/>
        <v>72</v>
      </c>
      <c r="D74" s="112">
        <f t="shared" si="9"/>
        <v>8864128.6722437274</v>
      </c>
      <c r="E74" s="112">
        <f>IF(OR(D74&lt;=0,C74&gt;'Stress Test Inputs'!$B$23*12),0,IF(AND(C74='Stress Test Inputs'!$B$23*12,'Stress Test Inputs'!$E$23&gt;'Stress Test Inputs'!$B$23),D74+D74*B74/12,IF('Stress Test Inputs'!$C$23="FRM",-PMT($B$3/12,'Stress Test Inputs'!$E$23*12,$D$3),IF($A74,-PMT(B74/12,('Stress Test Inputs'!$E$23*12)-C74+1,D74),E73))))</f>
        <v>65094.431363418102</v>
      </c>
      <c r="F74" s="112">
        <f t="shared" si="6"/>
        <v>8799034.2408803087</v>
      </c>
      <c r="G74" s="112">
        <f>IF(C74&gt;'Stress Test Inputs'!$B$23*12,0,D74*B74/12)</f>
        <v>44320.64336121863</v>
      </c>
      <c r="H74" s="112">
        <f t="shared" si="5"/>
        <v>20773.788002199472</v>
      </c>
      <c r="I74" s="112">
        <f t="shared" si="8"/>
        <v>8843354.8842415288</v>
      </c>
      <c r="J74" s="111"/>
    </row>
    <row r="75" spans="1:10" x14ac:dyDescent="0.25">
      <c r="A75" s="107" t="b">
        <f>IF(('Stress Test Inputs'!$C$23)="FRM", FALSE, ISNUMBER(MATCH(C75,'Stress Test Inputs'!$M$18:$M$30,0)))</f>
        <v>0</v>
      </c>
      <c r="B75" s="116">
        <f>IF($A75, (_xlfn.XLOOKUP(C75,'Stress Test Inputs'!$M$17:$M$29,'Stress Test Inputs'!$N$17:$N$29)+'Stress Test Financial Analysis'!$D$5),$B74)</f>
        <v>0.06</v>
      </c>
      <c r="C75" s="114">
        <f t="shared" si="7"/>
        <v>73</v>
      </c>
      <c r="D75" s="112">
        <f t="shared" si="9"/>
        <v>8843354.8842415288</v>
      </c>
      <c r="E75" s="112">
        <f>IF(OR(D75&lt;=0,C75&gt;'Stress Test Inputs'!$B$23*12),0,IF(AND(C75='Stress Test Inputs'!$B$23*12,'Stress Test Inputs'!$E$23&gt;'Stress Test Inputs'!$B$23),D75+D75*B75/12,IF('Stress Test Inputs'!$C$23="FRM",-PMT($B$3/12,'Stress Test Inputs'!$E$23*12,$D$3),IF($A75,-PMT(B75/12,('Stress Test Inputs'!$E$23*12)-C75+1,D75),E74))))</f>
        <v>65094.431363418102</v>
      </c>
      <c r="F75" s="112">
        <f t="shared" si="6"/>
        <v>8778260.4528781101</v>
      </c>
      <c r="G75" s="112">
        <f>IF(C75&gt;'Stress Test Inputs'!$B$23*12,0,D75*B75/12)</f>
        <v>44216.774421207643</v>
      </c>
      <c r="H75" s="112">
        <f t="shared" si="5"/>
        <v>20877.656942210459</v>
      </c>
      <c r="I75" s="112">
        <f t="shared" si="8"/>
        <v>8822477.2272993177</v>
      </c>
      <c r="J75" s="111"/>
    </row>
    <row r="76" spans="1:10" x14ac:dyDescent="0.25">
      <c r="A76" s="107" t="b">
        <f>IF(('Stress Test Inputs'!$C$23)="FRM", FALSE, ISNUMBER(MATCH(C76,'Stress Test Inputs'!$M$18:$M$30,0)))</f>
        <v>0</v>
      </c>
      <c r="B76" s="116">
        <f>IF($A76, (_xlfn.XLOOKUP(C76,'Stress Test Inputs'!$M$17:$M$29,'Stress Test Inputs'!$N$17:$N$29)+'Stress Test Financial Analysis'!$D$5),$B75)</f>
        <v>0.06</v>
      </c>
      <c r="C76" s="114">
        <f t="shared" si="7"/>
        <v>74</v>
      </c>
      <c r="D76" s="112">
        <f t="shared" si="9"/>
        <v>8822477.2272993177</v>
      </c>
      <c r="E76" s="112">
        <f>IF(OR(D76&lt;=0,C76&gt;'Stress Test Inputs'!$B$23*12),0,IF(AND(C76='Stress Test Inputs'!$B$23*12,'Stress Test Inputs'!$E$23&gt;'Stress Test Inputs'!$B$23),D76+D76*B76/12,IF('Stress Test Inputs'!$C$23="FRM",-PMT($B$3/12,'Stress Test Inputs'!$E$23*12,$D$3),IF($A76,-PMT(B76/12,('Stress Test Inputs'!$E$23*12)-C76+1,D76),E75))))</f>
        <v>65094.431363418102</v>
      </c>
      <c r="F76" s="112">
        <f t="shared" si="6"/>
        <v>8757382.795935899</v>
      </c>
      <c r="G76" s="112">
        <f>IF(C76&gt;'Stress Test Inputs'!$B$23*12,0,D76*B76/12)</f>
        <v>44112.386136496585</v>
      </c>
      <c r="H76" s="112">
        <f t="shared" si="5"/>
        <v>20982.045226921517</v>
      </c>
      <c r="I76" s="112">
        <f t="shared" si="8"/>
        <v>8801495.1820723955</v>
      </c>
      <c r="J76" s="111"/>
    </row>
    <row r="77" spans="1:10" x14ac:dyDescent="0.25">
      <c r="A77" s="107" t="b">
        <f>IF(('Stress Test Inputs'!$C$23)="FRM", FALSE, ISNUMBER(MATCH(C77,'Stress Test Inputs'!$M$18:$M$30,0)))</f>
        <v>0</v>
      </c>
      <c r="B77" s="116">
        <f>IF($A77, (_xlfn.XLOOKUP(C77,'Stress Test Inputs'!$M$17:$M$29,'Stress Test Inputs'!$N$17:$N$29)+'Stress Test Financial Analysis'!$D$5),$B76)</f>
        <v>0.06</v>
      </c>
      <c r="C77" s="114">
        <f t="shared" si="7"/>
        <v>75</v>
      </c>
      <c r="D77" s="112">
        <f t="shared" si="9"/>
        <v>8801495.1820723955</v>
      </c>
      <c r="E77" s="112">
        <f>IF(OR(D77&lt;=0,C77&gt;'Stress Test Inputs'!$B$23*12),0,IF(AND(C77='Stress Test Inputs'!$B$23*12,'Stress Test Inputs'!$E$23&gt;'Stress Test Inputs'!$B$23),D77+D77*B77/12,IF('Stress Test Inputs'!$C$23="FRM",-PMT($B$3/12,'Stress Test Inputs'!$E$23*12,$D$3),IF($A77,-PMT(B77/12,('Stress Test Inputs'!$E$23*12)-C77+1,D77),E76))))</f>
        <v>65094.431363418102</v>
      </c>
      <c r="F77" s="112">
        <f t="shared" si="6"/>
        <v>8736400.7507089768</v>
      </c>
      <c r="G77" s="112">
        <f>IF(C77&gt;'Stress Test Inputs'!$B$23*12,0,D77*B77/12)</f>
        <v>44007.475910361973</v>
      </c>
      <c r="H77" s="112">
        <f t="shared" si="5"/>
        <v>21086.955453056129</v>
      </c>
      <c r="I77" s="112">
        <f t="shared" si="8"/>
        <v>8780408.2266193386</v>
      </c>
      <c r="J77" s="111"/>
    </row>
    <row r="78" spans="1:10" x14ac:dyDescent="0.25">
      <c r="A78" s="107" t="b">
        <f>IF(('Stress Test Inputs'!$C$23)="FRM", FALSE, ISNUMBER(MATCH(C78,'Stress Test Inputs'!$M$18:$M$30,0)))</f>
        <v>0</v>
      </c>
      <c r="B78" s="116">
        <f>IF($A78, (_xlfn.XLOOKUP(C78,'Stress Test Inputs'!$M$17:$M$29,'Stress Test Inputs'!$N$17:$N$29)+'Stress Test Financial Analysis'!$D$5),$B77)</f>
        <v>0.06</v>
      </c>
      <c r="C78" s="114">
        <f t="shared" si="7"/>
        <v>76</v>
      </c>
      <c r="D78" s="112">
        <f t="shared" si="9"/>
        <v>8780408.2266193386</v>
      </c>
      <c r="E78" s="112">
        <f>IF(OR(D78&lt;=0,C78&gt;'Stress Test Inputs'!$B$23*12),0,IF(AND(C78='Stress Test Inputs'!$B$23*12,'Stress Test Inputs'!$E$23&gt;'Stress Test Inputs'!$B$23),D78+D78*B78/12,IF('Stress Test Inputs'!$C$23="FRM",-PMT($B$3/12,'Stress Test Inputs'!$E$23*12,$D$3),IF($A78,-PMT(B78/12,('Stress Test Inputs'!$E$23*12)-C78+1,D78),E77))))</f>
        <v>65094.431363418102</v>
      </c>
      <c r="F78" s="112">
        <f t="shared" si="6"/>
        <v>8715313.7952559199</v>
      </c>
      <c r="G78" s="112">
        <f>IF(C78&gt;'Stress Test Inputs'!$B$23*12,0,D78*B78/12)</f>
        <v>43902.041133096696</v>
      </c>
      <c r="H78" s="112">
        <f t="shared" si="5"/>
        <v>21192.390230321405</v>
      </c>
      <c r="I78" s="112">
        <f t="shared" si="8"/>
        <v>8759215.8363890164</v>
      </c>
      <c r="J78" s="111"/>
    </row>
    <row r="79" spans="1:10" x14ac:dyDescent="0.25">
      <c r="A79" s="107" t="b">
        <f>IF(('Stress Test Inputs'!$C$23)="FRM", FALSE, ISNUMBER(MATCH(C79,'Stress Test Inputs'!$M$18:$M$30,0)))</f>
        <v>0</v>
      </c>
      <c r="B79" s="116">
        <f>IF($A79, (_xlfn.XLOOKUP(C79,'Stress Test Inputs'!$M$17:$M$29,'Stress Test Inputs'!$N$17:$N$29)+'Stress Test Financial Analysis'!$D$5),$B78)</f>
        <v>0.06</v>
      </c>
      <c r="C79" s="114">
        <f t="shared" si="7"/>
        <v>77</v>
      </c>
      <c r="D79" s="112">
        <f t="shared" si="9"/>
        <v>8759215.8363890164</v>
      </c>
      <c r="E79" s="112">
        <f>IF(OR(D79&lt;=0,C79&gt;'Stress Test Inputs'!$B$23*12),0,IF(AND(C79='Stress Test Inputs'!$B$23*12,'Stress Test Inputs'!$E$23&gt;'Stress Test Inputs'!$B$23),D79+D79*B79/12,IF('Stress Test Inputs'!$C$23="FRM",-PMT($B$3/12,'Stress Test Inputs'!$E$23*12,$D$3),IF($A79,-PMT(B79/12,('Stress Test Inputs'!$E$23*12)-C79+1,D79),E78))))</f>
        <v>65094.431363418102</v>
      </c>
      <c r="F79" s="112">
        <f t="shared" si="6"/>
        <v>8694121.4050255977</v>
      </c>
      <c r="G79" s="112">
        <f>IF(C79&gt;'Stress Test Inputs'!$B$23*12,0,D79*B79/12)</f>
        <v>43796.079181945075</v>
      </c>
      <c r="H79" s="112">
        <f t="shared" si="5"/>
        <v>21298.352181473027</v>
      </c>
      <c r="I79" s="112">
        <f t="shared" si="8"/>
        <v>8737917.4842075426</v>
      </c>
      <c r="J79" s="111"/>
    </row>
    <row r="80" spans="1:10" x14ac:dyDescent="0.25">
      <c r="A80" s="107" t="b">
        <f>IF(('Stress Test Inputs'!$C$23)="FRM", FALSE, ISNUMBER(MATCH(C80,'Stress Test Inputs'!$M$18:$M$30,0)))</f>
        <v>0</v>
      </c>
      <c r="B80" s="116">
        <f>IF($A80, (_xlfn.XLOOKUP(C80,'Stress Test Inputs'!$M$17:$M$29,'Stress Test Inputs'!$N$17:$N$29)+'Stress Test Financial Analysis'!$D$5),$B79)</f>
        <v>0.06</v>
      </c>
      <c r="C80" s="114">
        <f t="shared" si="7"/>
        <v>78</v>
      </c>
      <c r="D80" s="112">
        <f t="shared" si="9"/>
        <v>8737917.4842075426</v>
      </c>
      <c r="E80" s="112">
        <f>IF(OR(D80&lt;=0,C80&gt;'Stress Test Inputs'!$B$23*12),0,IF(AND(C80='Stress Test Inputs'!$B$23*12,'Stress Test Inputs'!$E$23&gt;'Stress Test Inputs'!$B$23),D80+D80*B80/12,IF('Stress Test Inputs'!$C$23="FRM",-PMT($B$3/12,'Stress Test Inputs'!$E$23*12,$D$3),IF($A80,-PMT(B80/12,('Stress Test Inputs'!$E$23*12)-C80+1,D80),E79))))</f>
        <v>65094.431363418102</v>
      </c>
      <c r="F80" s="112">
        <f t="shared" si="6"/>
        <v>8672823.0528441239</v>
      </c>
      <c r="G80" s="112">
        <f>IF(C80&gt;'Stress Test Inputs'!$B$23*12,0,D80*B80/12)</f>
        <v>43689.587421037715</v>
      </c>
      <c r="H80" s="112">
        <f t="shared" si="5"/>
        <v>21404.843942380387</v>
      </c>
      <c r="I80" s="112">
        <f t="shared" si="8"/>
        <v>8716512.640265163</v>
      </c>
      <c r="J80" s="111"/>
    </row>
    <row r="81" spans="1:10" x14ac:dyDescent="0.25">
      <c r="A81" s="107" t="b">
        <f>IF(('Stress Test Inputs'!$C$23)="FRM", FALSE, ISNUMBER(MATCH(C81,'Stress Test Inputs'!$M$18:$M$30,0)))</f>
        <v>0</v>
      </c>
      <c r="B81" s="116">
        <f>IF($A81, (_xlfn.XLOOKUP(C81,'Stress Test Inputs'!$M$17:$M$29,'Stress Test Inputs'!$N$17:$N$29)+'Stress Test Financial Analysis'!$D$5),$B80)</f>
        <v>0.06</v>
      </c>
      <c r="C81" s="114">
        <f t="shared" si="7"/>
        <v>79</v>
      </c>
      <c r="D81" s="112">
        <f t="shared" si="9"/>
        <v>8716512.640265163</v>
      </c>
      <c r="E81" s="112">
        <f>IF(OR(D81&lt;=0,C81&gt;'Stress Test Inputs'!$B$23*12),0,IF(AND(C81='Stress Test Inputs'!$B$23*12,'Stress Test Inputs'!$E$23&gt;'Stress Test Inputs'!$B$23),D81+D81*B81/12,IF('Stress Test Inputs'!$C$23="FRM",-PMT($B$3/12,'Stress Test Inputs'!$E$23*12,$D$3),IF($A81,-PMT(B81/12,('Stress Test Inputs'!$E$23*12)-C81+1,D81),E80))))</f>
        <v>65094.431363418102</v>
      </c>
      <c r="F81" s="112">
        <f t="shared" si="6"/>
        <v>8651418.2089017443</v>
      </c>
      <c r="G81" s="112">
        <f>IF(C81&gt;'Stress Test Inputs'!$B$23*12,0,D81*B81/12)</f>
        <v>43582.563201325815</v>
      </c>
      <c r="H81" s="112">
        <f t="shared" si="5"/>
        <v>21511.868162092287</v>
      </c>
      <c r="I81" s="112">
        <f t="shared" si="8"/>
        <v>8695000.7721030712</v>
      </c>
      <c r="J81" s="111"/>
    </row>
    <row r="82" spans="1:10" x14ac:dyDescent="0.25">
      <c r="A82" s="107" t="b">
        <f>IF(('Stress Test Inputs'!$C$23)="FRM", FALSE, ISNUMBER(MATCH(C82,'Stress Test Inputs'!$M$18:$M$30,0)))</f>
        <v>0</v>
      </c>
      <c r="B82" s="116">
        <f>IF($A82, (_xlfn.XLOOKUP(C82,'Stress Test Inputs'!$M$17:$M$29,'Stress Test Inputs'!$N$17:$N$29)+'Stress Test Financial Analysis'!$D$5),$B81)</f>
        <v>0.06</v>
      </c>
      <c r="C82" s="114">
        <f t="shared" si="7"/>
        <v>80</v>
      </c>
      <c r="D82" s="112">
        <f t="shared" si="9"/>
        <v>8695000.7721030712</v>
      </c>
      <c r="E82" s="112">
        <f>IF(OR(D82&lt;=0,C82&gt;'Stress Test Inputs'!$B$23*12),0,IF(AND(C82='Stress Test Inputs'!$B$23*12,'Stress Test Inputs'!$E$23&gt;'Stress Test Inputs'!$B$23),D82+D82*B82/12,IF('Stress Test Inputs'!$C$23="FRM",-PMT($B$3/12,'Stress Test Inputs'!$E$23*12,$D$3),IF($A82,-PMT(B82/12,('Stress Test Inputs'!$E$23*12)-C82+1,D82),E81))))</f>
        <v>65094.431363418102</v>
      </c>
      <c r="F82" s="112">
        <f t="shared" si="6"/>
        <v>8629906.3407396525</v>
      </c>
      <c r="G82" s="112">
        <f>IF(C82&gt;'Stress Test Inputs'!$B$23*12,0,D82*B82/12)</f>
        <v>43475.003860515353</v>
      </c>
      <c r="H82" s="112">
        <f t="shared" si="5"/>
        <v>21619.427502902749</v>
      </c>
      <c r="I82" s="112">
        <f t="shared" si="8"/>
        <v>8673381.344600169</v>
      </c>
      <c r="J82" s="111"/>
    </row>
    <row r="83" spans="1:10" x14ac:dyDescent="0.25">
      <c r="A83" s="107" t="b">
        <f>IF(('Stress Test Inputs'!$C$23)="FRM", FALSE, ISNUMBER(MATCH(C83,'Stress Test Inputs'!$M$18:$M$30,0)))</f>
        <v>0</v>
      </c>
      <c r="B83" s="116">
        <f>IF($A83, (_xlfn.XLOOKUP(C83,'Stress Test Inputs'!$M$17:$M$29,'Stress Test Inputs'!$N$17:$N$29)+'Stress Test Financial Analysis'!$D$5),$B82)</f>
        <v>0.06</v>
      </c>
      <c r="C83" s="114">
        <f t="shared" si="7"/>
        <v>81</v>
      </c>
      <c r="D83" s="112">
        <f t="shared" si="9"/>
        <v>8673381.344600169</v>
      </c>
      <c r="E83" s="112">
        <f>IF(OR(D83&lt;=0,C83&gt;'Stress Test Inputs'!$B$23*12),0,IF(AND(C83='Stress Test Inputs'!$B$23*12,'Stress Test Inputs'!$E$23&gt;'Stress Test Inputs'!$B$23),D83+D83*B83/12,IF('Stress Test Inputs'!$C$23="FRM",-PMT($B$3/12,'Stress Test Inputs'!$E$23*12,$D$3),IF($A83,-PMT(B83/12,('Stress Test Inputs'!$E$23*12)-C83+1,D83),E82))))</f>
        <v>65094.431363418102</v>
      </c>
      <c r="F83" s="112">
        <f t="shared" si="6"/>
        <v>8608286.9132367503</v>
      </c>
      <c r="G83" s="112">
        <f>IF(C83&gt;'Stress Test Inputs'!$B$23*12,0,D83*B83/12)</f>
        <v>43366.906723000844</v>
      </c>
      <c r="H83" s="112">
        <f t="shared" si="5"/>
        <v>21727.524640417258</v>
      </c>
      <c r="I83" s="112">
        <f t="shared" si="8"/>
        <v>8651653.8199597523</v>
      </c>
      <c r="J83" s="111"/>
    </row>
    <row r="84" spans="1:10" x14ac:dyDescent="0.25">
      <c r="A84" s="107" t="b">
        <f>IF(('Stress Test Inputs'!$C$23)="FRM", FALSE, ISNUMBER(MATCH(C84,'Stress Test Inputs'!$M$18:$M$30,0)))</f>
        <v>0</v>
      </c>
      <c r="B84" s="116">
        <f>IF($A84, (_xlfn.XLOOKUP(C84,'Stress Test Inputs'!$M$17:$M$29,'Stress Test Inputs'!$N$17:$N$29)+'Stress Test Financial Analysis'!$D$5),$B83)</f>
        <v>0.06</v>
      </c>
      <c r="C84" s="114">
        <f t="shared" si="7"/>
        <v>82</v>
      </c>
      <c r="D84" s="112">
        <f t="shared" si="9"/>
        <v>8651653.8199597523</v>
      </c>
      <c r="E84" s="112">
        <f>IF(OR(D84&lt;=0,C84&gt;'Stress Test Inputs'!$B$23*12),0,IF(AND(C84='Stress Test Inputs'!$B$23*12,'Stress Test Inputs'!$E$23&gt;'Stress Test Inputs'!$B$23),D84+D84*B84/12,IF('Stress Test Inputs'!$C$23="FRM",-PMT($B$3/12,'Stress Test Inputs'!$E$23*12,$D$3),IF($A84,-PMT(B84/12,('Stress Test Inputs'!$E$23*12)-C84+1,D84),E83))))</f>
        <v>65094.431363418102</v>
      </c>
      <c r="F84" s="112">
        <f t="shared" si="6"/>
        <v>8586559.3885963336</v>
      </c>
      <c r="G84" s="112">
        <f>IF(C84&gt;'Stress Test Inputs'!$B$23*12,0,D84*B84/12)</f>
        <v>43258.269099798759</v>
      </c>
      <c r="H84" s="112">
        <f t="shared" si="5"/>
        <v>21836.162263619342</v>
      </c>
      <c r="I84" s="112">
        <f t="shared" si="8"/>
        <v>8629817.6576961335</v>
      </c>
      <c r="J84" s="111"/>
    </row>
    <row r="85" spans="1:10" x14ac:dyDescent="0.25">
      <c r="A85" s="107" t="b">
        <f>IF(('Stress Test Inputs'!$C$23)="FRM", FALSE, ISNUMBER(MATCH(C85,'Stress Test Inputs'!$M$18:$M$30,0)))</f>
        <v>0</v>
      </c>
      <c r="B85" s="116">
        <f>IF($A85, (_xlfn.XLOOKUP(C85,'Stress Test Inputs'!$M$17:$M$29,'Stress Test Inputs'!$N$17:$N$29)+'Stress Test Financial Analysis'!$D$5),$B84)</f>
        <v>0.06</v>
      </c>
      <c r="C85" s="114">
        <f t="shared" si="7"/>
        <v>83</v>
      </c>
      <c r="D85" s="112">
        <f t="shared" si="9"/>
        <v>8629817.6576961335</v>
      </c>
      <c r="E85" s="112">
        <f>IF(OR(D85&lt;=0,C85&gt;'Stress Test Inputs'!$B$23*12),0,IF(AND(C85='Stress Test Inputs'!$B$23*12,'Stress Test Inputs'!$E$23&gt;'Stress Test Inputs'!$B$23),D85+D85*B85/12,IF('Stress Test Inputs'!$C$23="FRM",-PMT($B$3/12,'Stress Test Inputs'!$E$23*12,$D$3),IF($A85,-PMT(B85/12,('Stress Test Inputs'!$E$23*12)-C85+1,D85),E84))))</f>
        <v>65094.431363418102</v>
      </c>
      <c r="F85" s="112">
        <f t="shared" si="6"/>
        <v>8564723.2263327148</v>
      </c>
      <c r="G85" s="112">
        <f>IF(C85&gt;'Stress Test Inputs'!$B$23*12,0,D85*B85/12)</f>
        <v>43149.088288480671</v>
      </c>
      <c r="H85" s="112">
        <f t="shared" si="5"/>
        <v>21945.343074937431</v>
      </c>
      <c r="I85" s="112">
        <f t="shared" si="8"/>
        <v>8607872.3146211952</v>
      </c>
      <c r="J85" s="111"/>
    </row>
    <row r="86" spans="1:10" x14ac:dyDescent="0.25">
      <c r="A86" s="107" t="b">
        <f>IF(('Stress Test Inputs'!$C$23)="FRM", FALSE, ISNUMBER(MATCH(C86,'Stress Test Inputs'!$M$18:$M$30,0)))</f>
        <v>0</v>
      </c>
      <c r="B86" s="116">
        <f>IF($A86, (_xlfn.XLOOKUP(C86,'Stress Test Inputs'!$M$17:$M$29,'Stress Test Inputs'!$N$17:$N$29)+'Stress Test Financial Analysis'!$D$5),$B85)</f>
        <v>0.06</v>
      </c>
      <c r="C86" s="114">
        <f t="shared" si="7"/>
        <v>84</v>
      </c>
      <c r="D86" s="112">
        <f t="shared" si="9"/>
        <v>8607872.3146211952</v>
      </c>
      <c r="E86" s="112">
        <f>IF(OR(D86&lt;=0,C86&gt;'Stress Test Inputs'!$B$23*12),0,IF(AND(C86='Stress Test Inputs'!$B$23*12,'Stress Test Inputs'!$E$23&gt;'Stress Test Inputs'!$B$23),D86+D86*B86/12,IF('Stress Test Inputs'!$C$23="FRM",-PMT($B$3/12,'Stress Test Inputs'!$E$23*12,$D$3),IF($A86,-PMT(B86/12,('Stress Test Inputs'!$E$23*12)-C86+1,D86),E85))))</f>
        <v>65094.431363418102</v>
      </c>
      <c r="F86" s="112">
        <f t="shared" si="6"/>
        <v>8542777.8832577765</v>
      </c>
      <c r="G86" s="112">
        <f>IF(C86&gt;'Stress Test Inputs'!$B$23*12,0,D86*B86/12)</f>
        <v>43039.361573105976</v>
      </c>
      <c r="H86" s="112">
        <f t="shared" si="5"/>
        <v>22055.069790312125</v>
      </c>
      <c r="I86" s="112">
        <f t="shared" si="8"/>
        <v>8585817.2448308822</v>
      </c>
      <c r="J86" s="111"/>
    </row>
    <row r="87" spans="1:10" x14ac:dyDescent="0.25">
      <c r="A87" s="107" t="b">
        <f>IF(('Stress Test Inputs'!$C$23)="FRM", FALSE, ISNUMBER(MATCH(C87,'Stress Test Inputs'!$M$18:$M$30,0)))</f>
        <v>0</v>
      </c>
      <c r="B87" s="116">
        <f>IF($A87, (_xlfn.XLOOKUP(C87,'Stress Test Inputs'!$M$17:$M$29,'Stress Test Inputs'!$N$17:$N$29)+'Stress Test Financial Analysis'!$D$5),$B86)</f>
        <v>0.06</v>
      </c>
      <c r="C87" s="114">
        <f t="shared" si="7"/>
        <v>85</v>
      </c>
      <c r="D87" s="112">
        <f t="shared" si="9"/>
        <v>8585817.2448308822</v>
      </c>
      <c r="E87" s="112">
        <f>IF(OR(D87&lt;=0,C87&gt;'Stress Test Inputs'!$B$23*12),0,IF(AND(C87='Stress Test Inputs'!$B$23*12,'Stress Test Inputs'!$E$23&gt;'Stress Test Inputs'!$B$23),D87+D87*B87/12,IF('Stress Test Inputs'!$C$23="FRM",-PMT($B$3/12,'Stress Test Inputs'!$E$23*12,$D$3),IF($A87,-PMT(B87/12,('Stress Test Inputs'!$E$23*12)-C87+1,D87),E86))))</f>
        <v>65094.431363418102</v>
      </c>
      <c r="F87" s="112">
        <f t="shared" si="6"/>
        <v>8520722.8134674635</v>
      </c>
      <c r="G87" s="112">
        <f>IF(C87&gt;'Stress Test Inputs'!$B$23*12,0,D87*B87/12)</f>
        <v>42929.086224154409</v>
      </c>
      <c r="H87" s="112">
        <f t="shared" si="5"/>
        <v>22165.345139263693</v>
      </c>
      <c r="I87" s="112">
        <f t="shared" si="8"/>
        <v>8563651.899691619</v>
      </c>
      <c r="J87" s="111"/>
    </row>
    <row r="88" spans="1:10" x14ac:dyDescent="0.25">
      <c r="A88" s="107" t="b">
        <f>IF(('Stress Test Inputs'!$C$23)="FRM", FALSE, ISNUMBER(MATCH(C88,'Stress Test Inputs'!$M$18:$M$30,0)))</f>
        <v>0</v>
      </c>
      <c r="B88" s="116">
        <f>IF($A88, (_xlfn.XLOOKUP(C88,'Stress Test Inputs'!$M$17:$M$29,'Stress Test Inputs'!$N$17:$N$29)+'Stress Test Financial Analysis'!$D$5),$B87)</f>
        <v>0.06</v>
      </c>
      <c r="C88" s="114">
        <f t="shared" si="7"/>
        <v>86</v>
      </c>
      <c r="D88" s="112">
        <f t="shared" si="9"/>
        <v>8563651.899691619</v>
      </c>
      <c r="E88" s="112">
        <f>IF(OR(D88&lt;=0,C88&gt;'Stress Test Inputs'!$B$23*12),0,IF(AND(C88='Stress Test Inputs'!$B$23*12,'Stress Test Inputs'!$E$23&gt;'Stress Test Inputs'!$B$23),D88+D88*B88/12,IF('Stress Test Inputs'!$C$23="FRM",-PMT($B$3/12,'Stress Test Inputs'!$E$23*12,$D$3),IF($A88,-PMT(B88/12,('Stress Test Inputs'!$E$23*12)-C88+1,D88),E87))))</f>
        <v>65094.431363418102</v>
      </c>
      <c r="F88" s="112">
        <f t="shared" si="6"/>
        <v>8498557.4683282003</v>
      </c>
      <c r="G88" s="112">
        <f>IF(C88&gt;'Stress Test Inputs'!$B$23*12,0,D88*B88/12)</f>
        <v>42818.259498458094</v>
      </c>
      <c r="H88" s="112">
        <f t="shared" si="5"/>
        <v>22276.171864960008</v>
      </c>
      <c r="I88" s="112">
        <f t="shared" si="8"/>
        <v>8541375.7278266586</v>
      </c>
      <c r="J88" s="111"/>
    </row>
    <row r="89" spans="1:10" x14ac:dyDescent="0.25">
      <c r="A89" s="107" t="b">
        <f>IF(('Stress Test Inputs'!$C$23)="FRM", FALSE, ISNUMBER(MATCH(C89,'Stress Test Inputs'!$M$18:$M$30,0)))</f>
        <v>0</v>
      </c>
      <c r="B89" s="116">
        <f>IF($A89, (_xlfn.XLOOKUP(C89,'Stress Test Inputs'!$M$17:$M$29,'Stress Test Inputs'!$N$17:$N$29)+'Stress Test Financial Analysis'!$D$5),$B88)</f>
        <v>0.06</v>
      </c>
      <c r="C89" s="114">
        <f t="shared" si="7"/>
        <v>87</v>
      </c>
      <c r="D89" s="112">
        <f t="shared" si="9"/>
        <v>8541375.7278266586</v>
      </c>
      <c r="E89" s="112">
        <f>IF(OR(D89&lt;=0,C89&gt;'Stress Test Inputs'!$B$23*12),0,IF(AND(C89='Stress Test Inputs'!$B$23*12,'Stress Test Inputs'!$E$23&gt;'Stress Test Inputs'!$B$23),D89+D89*B89/12,IF('Stress Test Inputs'!$C$23="FRM",-PMT($B$3/12,'Stress Test Inputs'!$E$23*12,$D$3),IF($A89,-PMT(B89/12,('Stress Test Inputs'!$E$23*12)-C89+1,D89),E88))))</f>
        <v>65094.431363418102</v>
      </c>
      <c r="F89" s="112">
        <f t="shared" si="6"/>
        <v>8476281.2964632399</v>
      </c>
      <c r="G89" s="112">
        <f>IF(C89&gt;'Stress Test Inputs'!$B$23*12,0,D89*B89/12)</f>
        <v>42706.878639133291</v>
      </c>
      <c r="H89" s="112">
        <f t="shared" si="5"/>
        <v>22387.552724284811</v>
      </c>
      <c r="I89" s="112">
        <f t="shared" si="8"/>
        <v>8518988.1751023736</v>
      </c>
      <c r="J89" s="111"/>
    </row>
    <row r="90" spans="1:10" x14ac:dyDescent="0.25">
      <c r="A90" s="107" t="b">
        <f>IF(('Stress Test Inputs'!$C$23)="FRM", FALSE, ISNUMBER(MATCH(C90,'Stress Test Inputs'!$M$18:$M$30,0)))</f>
        <v>0</v>
      </c>
      <c r="B90" s="116">
        <f>IF($A90, (_xlfn.XLOOKUP(C90,'Stress Test Inputs'!$M$17:$M$29,'Stress Test Inputs'!$N$17:$N$29)+'Stress Test Financial Analysis'!$D$5),$B89)</f>
        <v>0.06</v>
      </c>
      <c r="C90" s="114">
        <f t="shared" si="7"/>
        <v>88</v>
      </c>
      <c r="D90" s="112">
        <f t="shared" si="9"/>
        <v>8518988.1751023736</v>
      </c>
      <c r="E90" s="112">
        <f>IF(OR(D90&lt;=0,C90&gt;'Stress Test Inputs'!$B$23*12),0,IF(AND(C90='Stress Test Inputs'!$B$23*12,'Stress Test Inputs'!$E$23&gt;'Stress Test Inputs'!$B$23),D90+D90*B90/12,IF('Stress Test Inputs'!$C$23="FRM",-PMT($B$3/12,'Stress Test Inputs'!$E$23*12,$D$3),IF($A90,-PMT(B90/12,('Stress Test Inputs'!$E$23*12)-C90+1,D90),E89))))</f>
        <v>65094.431363418102</v>
      </c>
      <c r="F90" s="112">
        <f t="shared" si="6"/>
        <v>8453893.7437389549</v>
      </c>
      <c r="G90" s="112">
        <f>IF(C90&gt;'Stress Test Inputs'!$B$23*12,0,D90*B90/12)</f>
        <v>42594.940875511871</v>
      </c>
      <c r="H90" s="112">
        <f t="shared" si="5"/>
        <v>22499.490487906231</v>
      </c>
      <c r="I90" s="112">
        <f t="shared" si="8"/>
        <v>8496488.6846144665</v>
      </c>
      <c r="J90" s="111"/>
    </row>
    <row r="91" spans="1:10" x14ac:dyDescent="0.25">
      <c r="A91" s="107" t="b">
        <f>IF(('Stress Test Inputs'!$C$23)="FRM", FALSE, ISNUMBER(MATCH(C91,'Stress Test Inputs'!$M$18:$M$30,0)))</f>
        <v>0</v>
      </c>
      <c r="B91" s="116">
        <f>IF($A91, (_xlfn.XLOOKUP(C91,'Stress Test Inputs'!$M$17:$M$29,'Stress Test Inputs'!$N$17:$N$29)+'Stress Test Financial Analysis'!$D$5),$B90)</f>
        <v>0.06</v>
      </c>
      <c r="C91" s="114">
        <f t="shared" si="7"/>
        <v>89</v>
      </c>
      <c r="D91" s="112">
        <f t="shared" si="9"/>
        <v>8496488.6846144665</v>
      </c>
      <c r="E91" s="112">
        <f>IF(OR(D91&lt;=0,C91&gt;'Stress Test Inputs'!$B$23*12),0,IF(AND(C91='Stress Test Inputs'!$B$23*12,'Stress Test Inputs'!$E$23&gt;'Stress Test Inputs'!$B$23),D91+D91*B91/12,IF('Stress Test Inputs'!$C$23="FRM",-PMT($B$3/12,'Stress Test Inputs'!$E$23*12,$D$3),IF($A91,-PMT(B91/12,('Stress Test Inputs'!$E$23*12)-C91+1,D91),E90))))</f>
        <v>65094.431363418102</v>
      </c>
      <c r="F91" s="112">
        <f t="shared" si="6"/>
        <v>8431394.2532510478</v>
      </c>
      <c r="G91" s="112">
        <f>IF(C91&gt;'Stress Test Inputs'!$B$23*12,0,D91*B91/12)</f>
        <v>42482.443423072335</v>
      </c>
      <c r="H91" s="112">
        <f t="shared" si="5"/>
        <v>22611.987940345767</v>
      </c>
      <c r="I91" s="112">
        <f t="shared" si="8"/>
        <v>8473876.6966741215</v>
      </c>
      <c r="J91" s="111"/>
    </row>
    <row r="92" spans="1:10" x14ac:dyDescent="0.25">
      <c r="A92" s="107" t="b">
        <f>IF(('Stress Test Inputs'!$C$23)="FRM", FALSE, ISNUMBER(MATCH(C92,'Stress Test Inputs'!$M$18:$M$30,0)))</f>
        <v>0</v>
      </c>
      <c r="B92" s="116">
        <f>IF($A92, (_xlfn.XLOOKUP(C92,'Stress Test Inputs'!$M$17:$M$29,'Stress Test Inputs'!$N$17:$N$29)+'Stress Test Financial Analysis'!$D$5),$B91)</f>
        <v>0.06</v>
      </c>
      <c r="C92" s="114">
        <f t="shared" si="7"/>
        <v>90</v>
      </c>
      <c r="D92" s="112">
        <f t="shared" si="9"/>
        <v>8473876.6966741215</v>
      </c>
      <c r="E92" s="112">
        <f>IF(OR(D92&lt;=0,C92&gt;'Stress Test Inputs'!$B$23*12),0,IF(AND(C92='Stress Test Inputs'!$B$23*12,'Stress Test Inputs'!$E$23&gt;'Stress Test Inputs'!$B$23),D92+D92*B92/12,IF('Stress Test Inputs'!$C$23="FRM",-PMT($B$3/12,'Stress Test Inputs'!$E$23*12,$D$3),IF($A92,-PMT(B92/12,('Stress Test Inputs'!$E$23*12)-C92+1,D92),E91))))</f>
        <v>65094.431363418102</v>
      </c>
      <c r="F92" s="112">
        <f t="shared" si="6"/>
        <v>8408782.2653107028</v>
      </c>
      <c r="G92" s="112">
        <f>IF(C92&gt;'Stress Test Inputs'!$B$23*12,0,D92*B92/12)</f>
        <v>42369.383483370606</v>
      </c>
      <c r="H92" s="112">
        <f t="shared" si="5"/>
        <v>22725.047880047496</v>
      </c>
      <c r="I92" s="112">
        <f t="shared" si="8"/>
        <v>8451151.6487940736</v>
      </c>
      <c r="J92" s="111"/>
    </row>
    <row r="93" spans="1:10" x14ac:dyDescent="0.25">
      <c r="A93" s="107" t="b">
        <f>IF(('Stress Test Inputs'!$C$23)="FRM", FALSE, ISNUMBER(MATCH(C93,'Stress Test Inputs'!$M$18:$M$30,0)))</f>
        <v>0</v>
      </c>
      <c r="B93" s="116">
        <f>IF($A93, (_xlfn.XLOOKUP(C93,'Stress Test Inputs'!$M$17:$M$29,'Stress Test Inputs'!$N$17:$N$29)+'Stress Test Financial Analysis'!$D$5),$B92)</f>
        <v>0.06</v>
      </c>
      <c r="C93" s="114">
        <f t="shared" si="7"/>
        <v>91</v>
      </c>
      <c r="D93" s="112">
        <f t="shared" si="9"/>
        <v>8451151.6487940736</v>
      </c>
      <c r="E93" s="112">
        <f>IF(OR(D93&lt;=0,C93&gt;'Stress Test Inputs'!$B$23*12),0,IF(AND(C93='Stress Test Inputs'!$B$23*12,'Stress Test Inputs'!$E$23&gt;'Stress Test Inputs'!$B$23),D93+D93*B93/12,IF('Stress Test Inputs'!$C$23="FRM",-PMT($B$3/12,'Stress Test Inputs'!$E$23*12,$D$3),IF($A93,-PMT(B93/12,('Stress Test Inputs'!$E$23*12)-C93+1,D93),E92))))</f>
        <v>65094.431363418102</v>
      </c>
      <c r="F93" s="112">
        <f t="shared" si="6"/>
        <v>8386057.2174306558</v>
      </c>
      <c r="G93" s="112">
        <f>IF(C93&gt;'Stress Test Inputs'!$B$23*12,0,D93*B93/12)</f>
        <v>42255.758243970362</v>
      </c>
      <c r="H93" s="112">
        <f t="shared" si="5"/>
        <v>22838.67311944774</v>
      </c>
      <c r="I93" s="112">
        <f t="shared" si="8"/>
        <v>8428312.9756746255</v>
      </c>
      <c r="J93" s="111"/>
    </row>
    <row r="94" spans="1:10" x14ac:dyDescent="0.25">
      <c r="A94" s="107" t="b">
        <f>IF(('Stress Test Inputs'!$C$23)="FRM", FALSE, ISNUMBER(MATCH(C94,'Stress Test Inputs'!$M$18:$M$30,0)))</f>
        <v>0</v>
      </c>
      <c r="B94" s="116">
        <f>IF($A94, (_xlfn.XLOOKUP(C94,'Stress Test Inputs'!$M$17:$M$29,'Stress Test Inputs'!$N$17:$N$29)+'Stress Test Financial Analysis'!$D$5),$B93)</f>
        <v>0.06</v>
      </c>
      <c r="C94" s="114">
        <f t="shared" si="7"/>
        <v>92</v>
      </c>
      <c r="D94" s="112">
        <f t="shared" si="9"/>
        <v>8428312.9756746255</v>
      </c>
      <c r="E94" s="112">
        <f>IF(OR(D94&lt;=0,C94&gt;'Stress Test Inputs'!$B$23*12),0,IF(AND(C94='Stress Test Inputs'!$B$23*12,'Stress Test Inputs'!$E$23&gt;'Stress Test Inputs'!$B$23),D94+D94*B94/12,IF('Stress Test Inputs'!$C$23="FRM",-PMT($B$3/12,'Stress Test Inputs'!$E$23*12,$D$3),IF($A94,-PMT(B94/12,('Stress Test Inputs'!$E$23*12)-C94+1,D94),E93))))</f>
        <v>65094.431363418102</v>
      </c>
      <c r="F94" s="112">
        <f t="shared" si="6"/>
        <v>8363218.5443112077</v>
      </c>
      <c r="G94" s="112">
        <f>IF(C94&gt;'Stress Test Inputs'!$B$23*12,0,D94*B94/12)</f>
        <v>42141.564878373123</v>
      </c>
      <c r="H94" s="112">
        <f t="shared" si="5"/>
        <v>22952.866485044979</v>
      </c>
      <c r="I94" s="112">
        <f t="shared" si="8"/>
        <v>8405360.1091895811</v>
      </c>
      <c r="J94" s="111"/>
    </row>
    <row r="95" spans="1:10" x14ac:dyDescent="0.25">
      <c r="A95" s="107" t="b">
        <f>IF(('Stress Test Inputs'!$C$23)="FRM", FALSE, ISNUMBER(MATCH(C95,'Stress Test Inputs'!$M$18:$M$30,0)))</f>
        <v>0</v>
      </c>
      <c r="B95" s="116">
        <f>IF($A95, (_xlfn.XLOOKUP(C95,'Stress Test Inputs'!$M$17:$M$29,'Stress Test Inputs'!$N$17:$N$29)+'Stress Test Financial Analysis'!$D$5),$B94)</f>
        <v>0.06</v>
      </c>
      <c r="C95" s="114">
        <f t="shared" si="7"/>
        <v>93</v>
      </c>
      <c r="D95" s="112">
        <f t="shared" si="9"/>
        <v>8405360.1091895811</v>
      </c>
      <c r="E95" s="112">
        <f>IF(OR(D95&lt;=0,C95&gt;'Stress Test Inputs'!$B$23*12),0,IF(AND(C95='Stress Test Inputs'!$B$23*12,'Stress Test Inputs'!$E$23&gt;'Stress Test Inputs'!$B$23),D95+D95*B95/12,IF('Stress Test Inputs'!$C$23="FRM",-PMT($B$3/12,'Stress Test Inputs'!$E$23*12,$D$3),IF($A95,-PMT(B95/12,('Stress Test Inputs'!$E$23*12)-C95+1,D95),E94))))</f>
        <v>65094.431363418102</v>
      </c>
      <c r="F95" s="112">
        <f t="shared" si="6"/>
        <v>8340265.6778261634</v>
      </c>
      <c r="G95" s="112">
        <f>IF(C95&gt;'Stress Test Inputs'!$B$23*12,0,D95*B95/12)</f>
        <v>42026.800545947903</v>
      </c>
      <c r="H95" s="112">
        <f t="shared" si="5"/>
        <v>23067.630817470199</v>
      </c>
      <c r="I95" s="112">
        <f t="shared" si="8"/>
        <v>8382292.478372111</v>
      </c>
      <c r="J95" s="111"/>
    </row>
    <row r="96" spans="1:10" x14ac:dyDescent="0.25">
      <c r="A96" s="107" t="b">
        <f>IF(('Stress Test Inputs'!$C$23)="FRM", FALSE, ISNUMBER(MATCH(C96,'Stress Test Inputs'!$M$18:$M$30,0)))</f>
        <v>0</v>
      </c>
      <c r="B96" s="116">
        <f>IF($A96, (_xlfn.XLOOKUP(C96,'Stress Test Inputs'!$M$17:$M$29,'Stress Test Inputs'!$N$17:$N$29)+'Stress Test Financial Analysis'!$D$5),$B95)</f>
        <v>0.06</v>
      </c>
      <c r="C96" s="114">
        <f t="shared" si="7"/>
        <v>94</v>
      </c>
      <c r="D96" s="112">
        <f t="shared" si="9"/>
        <v>8382292.478372111</v>
      </c>
      <c r="E96" s="112">
        <f>IF(OR(D96&lt;=0,C96&gt;'Stress Test Inputs'!$B$23*12),0,IF(AND(C96='Stress Test Inputs'!$B$23*12,'Stress Test Inputs'!$E$23&gt;'Stress Test Inputs'!$B$23),D96+D96*B96/12,IF('Stress Test Inputs'!$C$23="FRM",-PMT($B$3/12,'Stress Test Inputs'!$E$23*12,$D$3),IF($A96,-PMT(B96/12,('Stress Test Inputs'!$E$23*12)-C96+1,D96),E95))))</f>
        <v>65094.431363418102</v>
      </c>
      <c r="F96" s="112">
        <f t="shared" si="6"/>
        <v>8317198.0470086932</v>
      </c>
      <c r="G96" s="112">
        <f>IF(C96&gt;'Stress Test Inputs'!$B$23*12,0,D96*B96/12)</f>
        <v>41911.462391860558</v>
      </c>
      <c r="H96" s="112">
        <f t="shared" si="5"/>
        <v>23182.968971557544</v>
      </c>
      <c r="I96" s="112">
        <f t="shared" si="8"/>
        <v>8359109.5094005531</v>
      </c>
      <c r="J96" s="111"/>
    </row>
    <row r="97" spans="1:10" x14ac:dyDescent="0.25">
      <c r="A97" s="107" t="b">
        <f>IF(('Stress Test Inputs'!$C$23)="FRM", FALSE, ISNUMBER(MATCH(C97,'Stress Test Inputs'!$M$18:$M$30,0)))</f>
        <v>0</v>
      </c>
      <c r="B97" s="116">
        <f>IF($A97, (_xlfn.XLOOKUP(C97,'Stress Test Inputs'!$M$17:$M$29,'Stress Test Inputs'!$N$17:$N$29)+'Stress Test Financial Analysis'!$D$5),$B96)</f>
        <v>0.06</v>
      </c>
      <c r="C97" s="114">
        <f t="shared" si="7"/>
        <v>95</v>
      </c>
      <c r="D97" s="112">
        <f t="shared" si="9"/>
        <v>8359109.5094005531</v>
      </c>
      <c r="E97" s="112">
        <f>IF(OR(D97&lt;=0,C97&gt;'Stress Test Inputs'!$B$23*12),0,IF(AND(C97='Stress Test Inputs'!$B$23*12,'Stress Test Inputs'!$E$23&gt;'Stress Test Inputs'!$B$23),D97+D97*B97/12,IF('Stress Test Inputs'!$C$23="FRM",-PMT($B$3/12,'Stress Test Inputs'!$E$23*12,$D$3),IF($A97,-PMT(B97/12,('Stress Test Inputs'!$E$23*12)-C97+1,D97),E96))))</f>
        <v>65094.431363418102</v>
      </c>
      <c r="F97" s="112">
        <f t="shared" si="6"/>
        <v>8294015.0780371353</v>
      </c>
      <c r="G97" s="112">
        <f>IF(C97&gt;'Stress Test Inputs'!$B$23*12,0,D97*B97/12)</f>
        <v>41795.547547002767</v>
      </c>
      <c r="H97" s="112">
        <f t="shared" si="5"/>
        <v>23298.883816415335</v>
      </c>
      <c r="I97" s="112">
        <f t="shared" si="8"/>
        <v>8335810.6255841376</v>
      </c>
      <c r="J97" s="111"/>
    </row>
    <row r="98" spans="1:10" x14ac:dyDescent="0.25">
      <c r="A98" s="107" t="b">
        <f>IF(('Stress Test Inputs'!$C$23)="FRM", FALSE, ISNUMBER(MATCH(C98,'Stress Test Inputs'!$M$18:$M$30,0)))</f>
        <v>0</v>
      </c>
      <c r="B98" s="116">
        <f>IF($A98, (_xlfn.XLOOKUP(C98,'Stress Test Inputs'!$M$17:$M$29,'Stress Test Inputs'!$N$17:$N$29)+'Stress Test Financial Analysis'!$D$5),$B97)</f>
        <v>0.06</v>
      </c>
      <c r="C98" s="114">
        <f t="shared" si="7"/>
        <v>96</v>
      </c>
      <c r="D98" s="112">
        <f t="shared" si="9"/>
        <v>8335810.6255841376</v>
      </c>
      <c r="E98" s="112">
        <f>IF(OR(D98&lt;=0,C98&gt;'Stress Test Inputs'!$B$23*12),0,IF(AND(C98='Stress Test Inputs'!$B$23*12,'Stress Test Inputs'!$E$23&gt;'Stress Test Inputs'!$B$23),D98+D98*B98/12,IF('Stress Test Inputs'!$C$23="FRM",-PMT($B$3/12,'Stress Test Inputs'!$E$23*12,$D$3),IF($A98,-PMT(B98/12,('Stress Test Inputs'!$E$23*12)-C98+1,D98),E97))))</f>
        <v>65094.431363418102</v>
      </c>
      <c r="F98" s="112">
        <f t="shared" si="6"/>
        <v>8270716.1942207199</v>
      </c>
      <c r="G98" s="112">
        <f>IF(C98&gt;'Stress Test Inputs'!$B$23*12,0,D98*B98/12)</f>
        <v>41679.053127920684</v>
      </c>
      <c r="H98" s="112">
        <f t="shared" si="5"/>
        <v>23415.378235497417</v>
      </c>
      <c r="I98" s="112">
        <f t="shared" si="8"/>
        <v>8312395.2473486401</v>
      </c>
      <c r="J98" s="111"/>
    </row>
    <row r="99" spans="1:10" x14ac:dyDescent="0.25">
      <c r="A99" s="107" t="b">
        <f>IF(('Stress Test Inputs'!$C$23)="FRM", FALSE, ISNUMBER(MATCH(C99,'Stress Test Inputs'!$M$18:$M$30,0)))</f>
        <v>0</v>
      </c>
      <c r="B99" s="116">
        <f>IF($A99, (_xlfn.XLOOKUP(C99,'Stress Test Inputs'!$M$17:$M$29,'Stress Test Inputs'!$N$17:$N$29)+'Stress Test Financial Analysis'!$D$5),$B98)</f>
        <v>0.06</v>
      </c>
      <c r="C99" s="114">
        <f t="shared" si="7"/>
        <v>97</v>
      </c>
      <c r="D99" s="112">
        <f t="shared" si="9"/>
        <v>8312395.2473486401</v>
      </c>
      <c r="E99" s="112">
        <f>IF(OR(D99&lt;=0,C99&gt;'Stress Test Inputs'!$B$23*12),0,IF(AND(C99='Stress Test Inputs'!$B$23*12,'Stress Test Inputs'!$E$23&gt;'Stress Test Inputs'!$B$23),D99+D99*B99/12,IF('Stress Test Inputs'!$C$23="FRM",-PMT($B$3/12,'Stress Test Inputs'!$E$23*12,$D$3),IF($A99,-PMT(B99/12,('Stress Test Inputs'!$E$23*12)-C99+1,D99),E98))))</f>
        <v>65094.431363418102</v>
      </c>
      <c r="F99" s="112">
        <f t="shared" si="6"/>
        <v>8247300.8159852223</v>
      </c>
      <c r="G99" s="112">
        <f>IF(C99&gt;'Stress Test Inputs'!$B$23*12,0,D99*B99/12)</f>
        <v>41561.976236743198</v>
      </c>
      <c r="H99" s="112">
        <f t="shared" si="5"/>
        <v>23532.455126674904</v>
      </c>
      <c r="I99" s="112">
        <f t="shared" si="8"/>
        <v>8288862.7922219653</v>
      </c>
      <c r="J99" s="111"/>
    </row>
    <row r="100" spans="1:10" x14ac:dyDescent="0.25">
      <c r="A100" s="107" t="b">
        <f>IF(('Stress Test Inputs'!$C$23)="FRM", FALSE, ISNUMBER(MATCH(C100,'Stress Test Inputs'!$M$18:$M$30,0)))</f>
        <v>0</v>
      </c>
      <c r="B100" s="116">
        <f>IF($A100, (_xlfn.XLOOKUP(C100,'Stress Test Inputs'!$M$17:$M$29,'Stress Test Inputs'!$N$17:$N$29)+'Stress Test Financial Analysis'!$D$5),$B99)</f>
        <v>0.06</v>
      </c>
      <c r="C100" s="114">
        <f t="shared" si="7"/>
        <v>98</v>
      </c>
      <c r="D100" s="112">
        <f t="shared" si="9"/>
        <v>8288862.7922219653</v>
      </c>
      <c r="E100" s="112">
        <f>IF(OR(D100&lt;=0,C100&gt;'Stress Test Inputs'!$B$23*12),0,IF(AND(C100='Stress Test Inputs'!$B$23*12,'Stress Test Inputs'!$E$23&gt;'Stress Test Inputs'!$B$23),D100+D100*B100/12,IF('Stress Test Inputs'!$C$23="FRM",-PMT($B$3/12,'Stress Test Inputs'!$E$23*12,$D$3),IF($A100,-PMT(B100/12,('Stress Test Inputs'!$E$23*12)-C100+1,D100),E99))))</f>
        <v>65094.431363418102</v>
      </c>
      <c r="F100" s="112">
        <f t="shared" si="6"/>
        <v>8223768.3608585475</v>
      </c>
      <c r="G100" s="112">
        <f>IF(C100&gt;'Stress Test Inputs'!$B$23*12,0,D100*B100/12)</f>
        <v>41444.313961109823</v>
      </c>
      <c r="H100" s="112">
        <f t="shared" si="5"/>
        <v>23650.117402308279</v>
      </c>
      <c r="I100" s="112">
        <f t="shared" si="8"/>
        <v>8265212.6748196566</v>
      </c>
      <c r="J100" s="111"/>
    </row>
    <row r="101" spans="1:10" x14ac:dyDescent="0.25">
      <c r="A101" s="107" t="b">
        <f>IF(('Stress Test Inputs'!$C$23)="FRM", FALSE, ISNUMBER(MATCH(C101,'Stress Test Inputs'!$M$18:$M$30,0)))</f>
        <v>0</v>
      </c>
      <c r="B101" s="116">
        <f>IF($A101, (_xlfn.XLOOKUP(C101,'Stress Test Inputs'!$M$17:$M$29,'Stress Test Inputs'!$N$17:$N$29)+'Stress Test Financial Analysis'!$D$5),$B100)</f>
        <v>0.06</v>
      </c>
      <c r="C101" s="114">
        <f t="shared" si="7"/>
        <v>99</v>
      </c>
      <c r="D101" s="112">
        <f t="shared" si="9"/>
        <v>8265212.6748196566</v>
      </c>
      <c r="E101" s="112">
        <f>IF(OR(D101&lt;=0,C101&gt;'Stress Test Inputs'!$B$23*12),0,IF(AND(C101='Stress Test Inputs'!$B$23*12,'Stress Test Inputs'!$E$23&gt;'Stress Test Inputs'!$B$23),D101+D101*B101/12,IF('Stress Test Inputs'!$C$23="FRM",-PMT($B$3/12,'Stress Test Inputs'!$E$23*12,$D$3),IF($A101,-PMT(B101/12,('Stress Test Inputs'!$E$23*12)-C101+1,D101),E100))))</f>
        <v>65094.431363418102</v>
      </c>
      <c r="F101" s="112">
        <f t="shared" si="6"/>
        <v>8200118.2434562389</v>
      </c>
      <c r="G101" s="112">
        <f>IF(C101&gt;'Stress Test Inputs'!$B$23*12,0,D101*B101/12)</f>
        <v>41326.063374098281</v>
      </c>
      <c r="H101" s="112">
        <f t="shared" si="5"/>
        <v>23768.36798931982</v>
      </c>
      <c r="I101" s="112">
        <f t="shared" si="8"/>
        <v>8241444.3068303373</v>
      </c>
      <c r="J101" s="111"/>
    </row>
    <row r="102" spans="1:10" x14ac:dyDescent="0.25">
      <c r="A102" s="107" t="b">
        <f>IF(('Stress Test Inputs'!$C$23)="FRM", FALSE, ISNUMBER(MATCH(C102,'Stress Test Inputs'!$M$18:$M$30,0)))</f>
        <v>0</v>
      </c>
      <c r="B102" s="116">
        <f>IF($A102, (_xlfn.XLOOKUP(C102,'Stress Test Inputs'!$M$17:$M$29,'Stress Test Inputs'!$N$17:$N$29)+'Stress Test Financial Analysis'!$D$5),$B101)</f>
        <v>0.06</v>
      </c>
      <c r="C102" s="114">
        <f t="shared" si="7"/>
        <v>100</v>
      </c>
      <c r="D102" s="112">
        <f t="shared" si="9"/>
        <v>8241444.3068303373</v>
      </c>
      <c r="E102" s="112">
        <f>IF(OR(D102&lt;=0,C102&gt;'Stress Test Inputs'!$B$23*12),0,IF(AND(C102='Stress Test Inputs'!$B$23*12,'Stress Test Inputs'!$E$23&gt;'Stress Test Inputs'!$B$23),D102+D102*B102/12,IF('Stress Test Inputs'!$C$23="FRM",-PMT($B$3/12,'Stress Test Inputs'!$E$23*12,$D$3),IF($A102,-PMT(B102/12,('Stress Test Inputs'!$E$23*12)-C102+1,D102),E101))))</f>
        <v>65094.431363418102</v>
      </c>
      <c r="F102" s="112">
        <f t="shared" si="6"/>
        <v>8176349.8754669195</v>
      </c>
      <c r="G102" s="112">
        <f>IF(C102&gt;'Stress Test Inputs'!$B$23*12,0,D102*B102/12)</f>
        <v>41207.221534151686</v>
      </c>
      <c r="H102" s="112">
        <f t="shared" si="5"/>
        <v>23887.209829266416</v>
      </c>
      <c r="I102" s="112">
        <f t="shared" si="8"/>
        <v>8217557.0970010711</v>
      </c>
      <c r="J102" s="111"/>
    </row>
    <row r="103" spans="1:10" x14ac:dyDescent="0.25">
      <c r="A103" s="107" t="b">
        <f>IF(('Stress Test Inputs'!$C$23)="FRM", FALSE, ISNUMBER(MATCH(C103,'Stress Test Inputs'!$M$18:$M$30,0)))</f>
        <v>0</v>
      </c>
      <c r="B103" s="116">
        <f>IF($A103, (_xlfn.XLOOKUP(C103,'Stress Test Inputs'!$M$17:$M$29,'Stress Test Inputs'!$N$17:$N$29)+'Stress Test Financial Analysis'!$D$5),$B102)</f>
        <v>0.06</v>
      </c>
      <c r="C103" s="114">
        <f t="shared" si="7"/>
        <v>101</v>
      </c>
      <c r="D103" s="112">
        <f t="shared" si="9"/>
        <v>8217557.0970010711</v>
      </c>
      <c r="E103" s="112">
        <f>IF(OR(D103&lt;=0,C103&gt;'Stress Test Inputs'!$B$23*12),0,IF(AND(C103='Stress Test Inputs'!$B$23*12,'Stress Test Inputs'!$E$23&gt;'Stress Test Inputs'!$B$23),D103+D103*B103/12,IF('Stress Test Inputs'!$C$23="FRM",-PMT($B$3/12,'Stress Test Inputs'!$E$23*12,$D$3),IF($A103,-PMT(B103/12,('Stress Test Inputs'!$E$23*12)-C103+1,D103),E102))))</f>
        <v>65094.431363418102</v>
      </c>
      <c r="F103" s="112">
        <f t="shared" si="6"/>
        <v>8152462.6656376533</v>
      </c>
      <c r="G103" s="112">
        <f>IF(C103&gt;'Stress Test Inputs'!$B$23*12,0,D103*B103/12)</f>
        <v>41087.785485005355</v>
      </c>
      <c r="H103" s="112">
        <f t="shared" si="5"/>
        <v>24006.645878412746</v>
      </c>
      <c r="I103" s="112">
        <f t="shared" si="8"/>
        <v>8193550.4511226583</v>
      </c>
      <c r="J103" s="111"/>
    </row>
    <row r="104" spans="1:10" x14ac:dyDescent="0.25">
      <c r="A104" s="107" t="b">
        <f>IF(('Stress Test Inputs'!$C$23)="FRM", FALSE, ISNUMBER(MATCH(C104,'Stress Test Inputs'!$M$18:$M$30,0)))</f>
        <v>0</v>
      </c>
      <c r="B104" s="116">
        <f>IF($A104, (_xlfn.XLOOKUP(C104,'Stress Test Inputs'!$M$17:$M$29,'Stress Test Inputs'!$N$17:$N$29)+'Stress Test Financial Analysis'!$D$5),$B103)</f>
        <v>0.06</v>
      </c>
      <c r="C104" s="114">
        <f t="shared" si="7"/>
        <v>102</v>
      </c>
      <c r="D104" s="112">
        <f t="shared" si="9"/>
        <v>8193550.4511226583</v>
      </c>
      <c r="E104" s="112">
        <f>IF(OR(D104&lt;=0,C104&gt;'Stress Test Inputs'!$B$23*12),0,IF(AND(C104='Stress Test Inputs'!$B$23*12,'Stress Test Inputs'!$E$23&gt;'Stress Test Inputs'!$B$23),D104+D104*B104/12,IF('Stress Test Inputs'!$C$23="FRM",-PMT($B$3/12,'Stress Test Inputs'!$E$23*12,$D$3),IF($A104,-PMT(B104/12,('Stress Test Inputs'!$E$23*12)-C104+1,D104),E103))))</f>
        <v>65094.431363418102</v>
      </c>
      <c r="F104" s="112">
        <f t="shared" si="6"/>
        <v>8128456.0197592406</v>
      </c>
      <c r="G104" s="112">
        <f>IF(C104&gt;'Stress Test Inputs'!$B$23*12,0,D104*B104/12)</f>
        <v>40967.75225561329</v>
      </c>
      <c r="H104" s="112">
        <f t="shared" si="5"/>
        <v>24126.679107804812</v>
      </c>
      <c r="I104" s="112">
        <f t="shared" si="8"/>
        <v>8169423.7720148535</v>
      </c>
      <c r="J104" s="111"/>
    </row>
    <row r="105" spans="1:10" x14ac:dyDescent="0.25">
      <c r="A105" s="107" t="b">
        <f>IF(('Stress Test Inputs'!$C$23)="FRM", FALSE, ISNUMBER(MATCH(C105,'Stress Test Inputs'!$M$18:$M$30,0)))</f>
        <v>0</v>
      </c>
      <c r="B105" s="116">
        <f>IF($A105, (_xlfn.XLOOKUP(C105,'Stress Test Inputs'!$M$17:$M$29,'Stress Test Inputs'!$N$17:$N$29)+'Stress Test Financial Analysis'!$D$5),$B104)</f>
        <v>0.06</v>
      </c>
      <c r="C105" s="114">
        <f t="shared" si="7"/>
        <v>103</v>
      </c>
      <c r="D105" s="112">
        <f t="shared" si="9"/>
        <v>8169423.7720148535</v>
      </c>
      <c r="E105" s="112">
        <f>IF(OR(D105&lt;=0,C105&gt;'Stress Test Inputs'!$B$23*12),0,IF(AND(C105='Stress Test Inputs'!$B$23*12,'Stress Test Inputs'!$E$23&gt;'Stress Test Inputs'!$B$23),D105+D105*B105/12,IF('Stress Test Inputs'!$C$23="FRM",-PMT($B$3/12,'Stress Test Inputs'!$E$23*12,$D$3),IF($A105,-PMT(B105/12,('Stress Test Inputs'!$E$23*12)-C105+1,D105),E104))))</f>
        <v>65094.431363418102</v>
      </c>
      <c r="F105" s="112">
        <f t="shared" si="6"/>
        <v>8104329.3406514358</v>
      </c>
      <c r="G105" s="112">
        <f>IF(C105&gt;'Stress Test Inputs'!$B$23*12,0,D105*B105/12)</f>
        <v>40847.118860074268</v>
      </c>
      <c r="H105" s="112">
        <f t="shared" si="5"/>
        <v>24247.312503343834</v>
      </c>
      <c r="I105" s="112">
        <f t="shared" si="8"/>
        <v>8145176.4595115101</v>
      </c>
      <c r="J105" s="111"/>
    </row>
    <row r="106" spans="1:10" x14ac:dyDescent="0.25">
      <c r="A106" s="107" t="b">
        <f>IF(('Stress Test Inputs'!$C$23)="FRM", FALSE, ISNUMBER(MATCH(C106,'Stress Test Inputs'!$M$18:$M$30,0)))</f>
        <v>0</v>
      </c>
      <c r="B106" s="116">
        <f>IF($A106, (_xlfn.XLOOKUP(C106,'Stress Test Inputs'!$M$17:$M$29,'Stress Test Inputs'!$N$17:$N$29)+'Stress Test Financial Analysis'!$D$5),$B105)</f>
        <v>0.06</v>
      </c>
      <c r="C106" s="114">
        <f t="shared" si="7"/>
        <v>104</v>
      </c>
      <c r="D106" s="112">
        <f t="shared" si="9"/>
        <v>8145176.4595115101</v>
      </c>
      <c r="E106" s="112">
        <f>IF(OR(D106&lt;=0,C106&gt;'Stress Test Inputs'!$B$23*12),0,IF(AND(C106='Stress Test Inputs'!$B$23*12,'Stress Test Inputs'!$E$23&gt;'Stress Test Inputs'!$B$23),D106+D106*B106/12,IF('Stress Test Inputs'!$C$23="FRM",-PMT($B$3/12,'Stress Test Inputs'!$E$23*12,$D$3),IF($A106,-PMT(B106/12,('Stress Test Inputs'!$E$23*12)-C106+1,D106),E105))))</f>
        <v>65094.431363418102</v>
      </c>
      <c r="F106" s="112">
        <f t="shared" si="6"/>
        <v>8080082.0281480923</v>
      </c>
      <c r="G106" s="112">
        <f>IF(C106&gt;'Stress Test Inputs'!$B$23*12,0,D106*B106/12)</f>
        <v>40725.882297557553</v>
      </c>
      <c r="H106" s="112">
        <f t="shared" si="5"/>
        <v>24368.549065860549</v>
      </c>
      <c r="I106" s="112">
        <f t="shared" si="8"/>
        <v>8120807.9104456492</v>
      </c>
      <c r="J106" s="111"/>
    </row>
    <row r="107" spans="1:10" x14ac:dyDescent="0.25">
      <c r="A107" s="107" t="b">
        <f>IF(('Stress Test Inputs'!$C$23)="FRM", FALSE, ISNUMBER(MATCH(C107,'Stress Test Inputs'!$M$18:$M$30,0)))</f>
        <v>0</v>
      </c>
      <c r="B107" s="116">
        <f>IF($A107, (_xlfn.XLOOKUP(C107,'Stress Test Inputs'!$M$17:$M$29,'Stress Test Inputs'!$N$17:$N$29)+'Stress Test Financial Analysis'!$D$5),$B106)</f>
        <v>0.06</v>
      </c>
      <c r="C107" s="114">
        <f t="shared" si="7"/>
        <v>105</v>
      </c>
      <c r="D107" s="112">
        <f t="shared" si="9"/>
        <v>8120807.9104456492</v>
      </c>
      <c r="E107" s="112">
        <f>IF(OR(D107&lt;=0,C107&gt;'Stress Test Inputs'!$B$23*12),0,IF(AND(C107='Stress Test Inputs'!$B$23*12,'Stress Test Inputs'!$E$23&gt;'Stress Test Inputs'!$B$23),D107+D107*B107/12,IF('Stress Test Inputs'!$C$23="FRM",-PMT($B$3/12,'Stress Test Inputs'!$E$23*12,$D$3),IF($A107,-PMT(B107/12,('Stress Test Inputs'!$E$23*12)-C107+1,D107),E106))))</f>
        <v>65094.431363418102</v>
      </c>
      <c r="F107" s="112">
        <f t="shared" si="6"/>
        <v>8055713.4790822314</v>
      </c>
      <c r="G107" s="112">
        <f>IF(C107&gt;'Stress Test Inputs'!$B$23*12,0,D107*B107/12)</f>
        <v>40604.039552228242</v>
      </c>
      <c r="H107" s="112">
        <f t="shared" si="5"/>
        <v>24490.39181118986</v>
      </c>
      <c r="I107" s="112">
        <f t="shared" si="8"/>
        <v>8096317.518634459</v>
      </c>
      <c r="J107" s="111"/>
    </row>
    <row r="108" spans="1:10" x14ac:dyDescent="0.25">
      <c r="A108" s="107" t="b">
        <f>IF(('Stress Test Inputs'!$C$23)="FRM", FALSE, ISNUMBER(MATCH(C108,'Stress Test Inputs'!$M$18:$M$30,0)))</f>
        <v>0</v>
      </c>
      <c r="B108" s="116">
        <f>IF($A108, (_xlfn.XLOOKUP(C108,'Stress Test Inputs'!$M$17:$M$29,'Stress Test Inputs'!$N$17:$N$29)+'Stress Test Financial Analysis'!$D$5),$B107)</f>
        <v>0.06</v>
      </c>
      <c r="C108" s="114">
        <f t="shared" si="7"/>
        <v>106</v>
      </c>
      <c r="D108" s="112">
        <f t="shared" si="9"/>
        <v>8096317.518634459</v>
      </c>
      <c r="E108" s="112">
        <f>IF(OR(D108&lt;=0,C108&gt;'Stress Test Inputs'!$B$23*12),0,IF(AND(C108='Stress Test Inputs'!$B$23*12,'Stress Test Inputs'!$E$23&gt;'Stress Test Inputs'!$B$23),D108+D108*B108/12,IF('Stress Test Inputs'!$C$23="FRM",-PMT($B$3/12,'Stress Test Inputs'!$E$23*12,$D$3),IF($A108,-PMT(B108/12,('Stress Test Inputs'!$E$23*12)-C108+1,D108),E107))))</f>
        <v>65094.431363418102</v>
      </c>
      <c r="F108" s="112">
        <f t="shared" si="6"/>
        <v>8031223.0872710412</v>
      </c>
      <c r="G108" s="112">
        <f>IF(C108&gt;'Stress Test Inputs'!$B$23*12,0,D108*B108/12)</f>
        <v>40481.587593172291</v>
      </c>
      <c r="H108" s="112">
        <f t="shared" si="5"/>
        <v>24612.84377024581</v>
      </c>
      <c r="I108" s="112">
        <f t="shared" si="8"/>
        <v>8071704.674864213</v>
      </c>
      <c r="J108" s="111"/>
    </row>
    <row r="109" spans="1:10" x14ac:dyDescent="0.25">
      <c r="A109" s="107" t="b">
        <f>IF(('Stress Test Inputs'!$C$23)="FRM", FALSE, ISNUMBER(MATCH(C109,'Stress Test Inputs'!$M$18:$M$30,0)))</f>
        <v>0</v>
      </c>
      <c r="B109" s="116">
        <f>IF($A109, (_xlfn.XLOOKUP(C109,'Stress Test Inputs'!$M$17:$M$29,'Stress Test Inputs'!$N$17:$N$29)+'Stress Test Financial Analysis'!$D$5),$B108)</f>
        <v>0.06</v>
      </c>
      <c r="C109" s="114">
        <f t="shared" si="7"/>
        <v>107</v>
      </c>
      <c r="D109" s="112">
        <f t="shared" si="9"/>
        <v>8071704.674864213</v>
      </c>
      <c r="E109" s="112">
        <f>IF(OR(D109&lt;=0,C109&gt;'Stress Test Inputs'!$B$23*12),0,IF(AND(C109='Stress Test Inputs'!$B$23*12,'Stress Test Inputs'!$E$23&gt;'Stress Test Inputs'!$B$23),D109+D109*B109/12,IF('Stress Test Inputs'!$C$23="FRM",-PMT($B$3/12,'Stress Test Inputs'!$E$23*12,$D$3),IF($A109,-PMT(B109/12,('Stress Test Inputs'!$E$23*12)-C109+1,D109),E108))))</f>
        <v>65094.431363418102</v>
      </c>
      <c r="F109" s="112">
        <f t="shared" si="6"/>
        <v>8006610.2435007952</v>
      </c>
      <c r="G109" s="112">
        <f>IF(C109&gt;'Stress Test Inputs'!$B$23*12,0,D109*B109/12)</f>
        <v>40358.523374321063</v>
      </c>
      <c r="H109" s="112">
        <f t="shared" si="5"/>
        <v>24735.907989097039</v>
      </c>
      <c r="I109" s="112">
        <f t="shared" si="8"/>
        <v>8046968.7668751162</v>
      </c>
      <c r="J109" s="111"/>
    </row>
    <row r="110" spans="1:10" x14ac:dyDescent="0.25">
      <c r="A110" s="107" t="b">
        <f>IF(('Stress Test Inputs'!$C$23)="FRM", FALSE, ISNUMBER(MATCH(C110,'Stress Test Inputs'!$M$18:$M$30,0)))</f>
        <v>0</v>
      </c>
      <c r="B110" s="116">
        <f>IF($A110, (_xlfn.XLOOKUP(C110,'Stress Test Inputs'!$M$17:$M$29,'Stress Test Inputs'!$N$17:$N$29)+'Stress Test Financial Analysis'!$D$5),$B109)</f>
        <v>0.06</v>
      </c>
      <c r="C110" s="114">
        <f t="shared" si="7"/>
        <v>108</v>
      </c>
      <c r="D110" s="112">
        <f t="shared" si="9"/>
        <v>8046968.7668751162</v>
      </c>
      <c r="E110" s="112">
        <f>IF(OR(D110&lt;=0,C110&gt;'Stress Test Inputs'!$B$23*12),0,IF(AND(C110='Stress Test Inputs'!$B$23*12,'Stress Test Inputs'!$E$23&gt;'Stress Test Inputs'!$B$23),D110+D110*B110/12,IF('Stress Test Inputs'!$C$23="FRM",-PMT($B$3/12,'Stress Test Inputs'!$E$23*12,$D$3),IF($A110,-PMT(B110/12,('Stress Test Inputs'!$E$23*12)-C110+1,D110),E109))))</f>
        <v>65094.431363418102</v>
      </c>
      <c r="F110" s="112">
        <f t="shared" si="6"/>
        <v>7981874.3355116984</v>
      </c>
      <c r="G110" s="112">
        <f>IF(C110&gt;'Stress Test Inputs'!$B$23*12,0,D110*B110/12)</f>
        <v>40234.843834375577</v>
      </c>
      <c r="H110" s="112">
        <f t="shared" si="5"/>
        <v>24859.587529042525</v>
      </c>
      <c r="I110" s="112">
        <f t="shared" si="8"/>
        <v>8022109.1793460734</v>
      </c>
      <c r="J110" s="111"/>
    </row>
    <row r="111" spans="1:10" x14ac:dyDescent="0.25">
      <c r="A111" s="107" t="b">
        <f>IF(('Stress Test Inputs'!$C$23)="FRM", FALSE, ISNUMBER(MATCH(C111,'Stress Test Inputs'!$M$18:$M$30,0)))</f>
        <v>0</v>
      </c>
      <c r="B111" s="116">
        <f>IF($A111, (_xlfn.XLOOKUP(C111,'Stress Test Inputs'!$M$17:$M$29,'Stress Test Inputs'!$N$17:$N$29)+'Stress Test Financial Analysis'!$D$5),$B110)</f>
        <v>0.06</v>
      </c>
      <c r="C111" s="114">
        <f t="shared" si="7"/>
        <v>109</v>
      </c>
      <c r="D111" s="112">
        <f t="shared" si="9"/>
        <v>8022109.1793460734</v>
      </c>
      <c r="E111" s="112">
        <f>IF(OR(D111&lt;=0,C111&gt;'Stress Test Inputs'!$B$23*12),0,IF(AND(C111='Stress Test Inputs'!$B$23*12,'Stress Test Inputs'!$E$23&gt;'Stress Test Inputs'!$B$23),D111+D111*B111/12,IF('Stress Test Inputs'!$C$23="FRM",-PMT($B$3/12,'Stress Test Inputs'!$E$23*12,$D$3),IF($A111,-PMT(B111/12,('Stress Test Inputs'!$E$23*12)-C111+1,D111),E110))))</f>
        <v>65094.431363418102</v>
      </c>
      <c r="F111" s="112">
        <f t="shared" si="6"/>
        <v>7957014.7479826557</v>
      </c>
      <c r="G111" s="112">
        <f>IF(C111&gt;'Stress Test Inputs'!$B$23*12,0,D111*B111/12)</f>
        <v>40110.545896730364</v>
      </c>
      <c r="H111" s="112">
        <f t="shared" si="5"/>
        <v>24983.885466687738</v>
      </c>
      <c r="I111" s="112">
        <f t="shared" si="8"/>
        <v>7997125.293879386</v>
      </c>
      <c r="J111" s="111"/>
    </row>
    <row r="112" spans="1:10" x14ac:dyDescent="0.25">
      <c r="A112" s="107" t="b">
        <f>IF(('Stress Test Inputs'!$C$23)="FRM", FALSE, ISNUMBER(MATCH(C112,'Stress Test Inputs'!$M$18:$M$30,0)))</f>
        <v>0</v>
      </c>
      <c r="B112" s="116">
        <f>IF($A112, (_xlfn.XLOOKUP(C112,'Stress Test Inputs'!$M$17:$M$29,'Stress Test Inputs'!$N$17:$N$29)+'Stress Test Financial Analysis'!$D$5),$B111)</f>
        <v>0.06</v>
      </c>
      <c r="C112" s="114">
        <f t="shared" si="7"/>
        <v>110</v>
      </c>
      <c r="D112" s="112">
        <f t="shared" si="9"/>
        <v>7997125.293879386</v>
      </c>
      <c r="E112" s="112">
        <f>IF(OR(D112&lt;=0,C112&gt;'Stress Test Inputs'!$B$23*12),0,IF(AND(C112='Stress Test Inputs'!$B$23*12,'Stress Test Inputs'!$E$23&gt;'Stress Test Inputs'!$B$23),D112+D112*B112/12,IF('Stress Test Inputs'!$C$23="FRM",-PMT($B$3/12,'Stress Test Inputs'!$E$23*12,$D$3),IF($A112,-PMT(B112/12,('Stress Test Inputs'!$E$23*12)-C112+1,D112),E111))))</f>
        <v>65094.431363418102</v>
      </c>
      <c r="F112" s="112">
        <f t="shared" si="6"/>
        <v>7932030.8625159683</v>
      </c>
      <c r="G112" s="112">
        <f>IF(C112&gt;'Stress Test Inputs'!$B$23*12,0,D112*B112/12)</f>
        <v>39985.626469396928</v>
      </c>
      <c r="H112" s="112">
        <f t="shared" si="5"/>
        <v>25108.804894021174</v>
      </c>
      <c r="I112" s="112">
        <f t="shared" si="8"/>
        <v>7972016.4889853653</v>
      </c>
      <c r="J112" s="111"/>
    </row>
    <row r="113" spans="1:10" x14ac:dyDescent="0.25">
      <c r="A113" s="107" t="b">
        <f>IF(('Stress Test Inputs'!$C$23)="FRM", FALSE, ISNUMBER(MATCH(C113,'Stress Test Inputs'!$M$18:$M$30,0)))</f>
        <v>0</v>
      </c>
      <c r="B113" s="116">
        <f>IF($A113, (_xlfn.XLOOKUP(C113,'Stress Test Inputs'!$M$17:$M$29,'Stress Test Inputs'!$N$17:$N$29)+'Stress Test Financial Analysis'!$D$5),$B112)</f>
        <v>0.06</v>
      </c>
      <c r="C113" s="114">
        <f t="shared" si="7"/>
        <v>111</v>
      </c>
      <c r="D113" s="112">
        <f t="shared" si="9"/>
        <v>7972016.4889853653</v>
      </c>
      <c r="E113" s="112">
        <f>IF(OR(D113&lt;=0,C113&gt;'Stress Test Inputs'!$B$23*12),0,IF(AND(C113='Stress Test Inputs'!$B$23*12,'Stress Test Inputs'!$E$23&gt;'Stress Test Inputs'!$B$23),D113+D113*B113/12,IF('Stress Test Inputs'!$C$23="FRM",-PMT($B$3/12,'Stress Test Inputs'!$E$23*12,$D$3),IF($A113,-PMT(B113/12,('Stress Test Inputs'!$E$23*12)-C113+1,D113),E112))))</f>
        <v>65094.431363418102</v>
      </c>
      <c r="F113" s="112">
        <f t="shared" si="6"/>
        <v>7906922.0576219475</v>
      </c>
      <c r="G113" s="112">
        <f>IF(C113&gt;'Stress Test Inputs'!$B$23*12,0,D113*B113/12)</f>
        <v>39860.082444926826</v>
      </c>
      <c r="H113" s="112">
        <f t="shared" si="5"/>
        <v>25234.348918491276</v>
      </c>
      <c r="I113" s="112">
        <f t="shared" si="8"/>
        <v>7946782.1400668742</v>
      </c>
      <c r="J113" s="111"/>
    </row>
    <row r="114" spans="1:10" x14ac:dyDescent="0.25">
      <c r="A114" s="107" t="b">
        <f>IF(('Stress Test Inputs'!$C$23)="FRM", FALSE, ISNUMBER(MATCH(C114,'Stress Test Inputs'!$M$18:$M$30,0)))</f>
        <v>0</v>
      </c>
      <c r="B114" s="116">
        <f>IF($A114, (_xlfn.XLOOKUP(C114,'Stress Test Inputs'!$M$17:$M$29,'Stress Test Inputs'!$N$17:$N$29)+'Stress Test Financial Analysis'!$D$5),$B113)</f>
        <v>0.06</v>
      </c>
      <c r="C114" s="114">
        <f t="shared" si="7"/>
        <v>112</v>
      </c>
      <c r="D114" s="112">
        <f t="shared" si="9"/>
        <v>7946782.1400668742</v>
      </c>
      <c r="E114" s="112">
        <f>IF(OR(D114&lt;=0,C114&gt;'Stress Test Inputs'!$B$23*12),0,IF(AND(C114='Stress Test Inputs'!$B$23*12,'Stress Test Inputs'!$E$23&gt;'Stress Test Inputs'!$B$23),D114+D114*B114/12,IF('Stress Test Inputs'!$C$23="FRM",-PMT($B$3/12,'Stress Test Inputs'!$E$23*12,$D$3),IF($A114,-PMT(B114/12,('Stress Test Inputs'!$E$23*12)-C114+1,D114),E113))))</f>
        <v>65094.431363418102</v>
      </c>
      <c r="F114" s="112">
        <f t="shared" si="6"/>
        <v>7881687.7087034564</v>
      </c>
      <c r="G114" s="112">
        <f>IF(C114&gt;'Stress Test Inputs'!$B$23*12,0,D114*B114/12)</f>
        <v>39733.910700334374</v>
      </c>
      <c r="H114" s="112">
        <f t="shared" si="5"/>
        <v>25360.520663083727</v>
      </c>
      <c r="I114" s="112">
        <f t="shared" si="8"/>
        <v>7921421.6194037907</v>
      </c>
      <c r="J114" s="111"/>
    </row>
    <row r="115" spans="1:10" x14ac:dyDescent="0.25">
      <c r="A115" s="107" t="b">
        <f>IF(('Stress Test Inputs'!$C$23)="FRM", FALSE, ISNUMBER(MATCH(C115,'Stress Test Inputs'!$M$18:$M$30,0)))</f>
        <v>0</v>
      </c>
      <c r="B115" s="116">
        <f>IF($A115, (_xlfn.XLOOKUP(C115,'Stress Test Inputs'!$M$17:$M$29,'Stress Test Inputs'!$N$17:$N$29)+'Stress Test Financial Analysis'!$D$5),$B114)</f>
        <v>0.06</v>
      </c>
      <c r="C115" s="114">
        <f t="shared" si="7"/>
        <v>113</v>
      </c>
      <c r="D115" s="112">
        <f t="shared" si="9"/>
        <v>7921421.6194037907</v>
      </c>
      <c r="E115" s="112">
        <f>IF(OR(D115&lt;=0,C115&gt;'Stress Test Inputs'!$B$23*12),0,IF(AND(C115='Stress Test Inputs'!$B$23*12,'Stress Test Inputs'!$E$23&gt;'Stress Test Inputs'!$B$23),D115+D115*B115/12,IF('Stress Test Inputs'!$C$23="FRM",-PMT($B$3/12,'Stress Test Inputs'!$E$23*12,$D$3),IF($A115,-PMT(B115/12,('Stress Test Inputs'!$E$23*12)-C115+1,D115),E114))))</f>
        <v>65094.431363418102</v>
      </c>
      <c r="F115" s="112">
        <f t="shared" si="6"/>
        <v>7856327.1880403729</v>
      </c>
      <c r="G115" s="112">
        <f>IF(C115&gt;'Stress Test Inputs'!$B$23*12,0,D115*B115/12)</f>
        <v>39607.108097018951</v>
      </c>
      <c r="H115" s="112">
        <f t="shared" si="5"/>
        <v>25487.323266399151</v>
      </c>
      <c r="I115" s="112">
        <f t="shared" si="8"/>
        <v>7895934.2961373916</v>
      </c>
      <c r="J115" s="111"/>
    </row>
    <row r="116" spans="1:10" x14ac:dyDescent="0.25">
      <c r="A116" s="107" t="b">
        <f>IF(('Stress Test Inputs'!$C$23)="FRM", FALSE, ISNUMBER(MATCH(C116,'Stress Test Inputs'!$M$18:$M$30,0)))</f>
        <v>0</v>
      </c>
      <c r="B116" s="116">
        <f>IF($A116, (_xlfn.XLOOKUP(C116,'Stress Test Inputs'!$M$17:$M$29,'Stress Test Inputs'!$N$17:$N$29)+'Stress Test Financial Analysis'!$D$5),$B115)</f>
        <v>0.06</v>
      </c>
      <c r="C116" s="114">
        <f t="shared" si="7"/>
        <v>114</v>
      </c>
      <c r="D116" s="112">
        <f t="shared" si="9"/>
        <v>7895934.2961373916</v>
      </c>
      <c r="E116" s="112">
        <f>IF(OR(D116&lt;=0,C116&gt;'Stress Test Inputs'!$B$23*12),0,IF(AND(C116='Stress Test Inputs'!$B$23*12,'Stress Test Inputs'!$E$23&gt;'Stress Test Inputs'!$B$23),D116+D116*B116/12,IF('Stress Test Inputs'!$C$23="FRM",-PMT($B$3/12,'Stress Test Inputs'!$E$23*12,$D$3),IF($A116,-PMT(B116/12,('Stress Test Inputs'!$E$23*12)-C116+1,D116),E115))))</f>
        <v>65094.431363418102</v>
      </c>
      <c r="F116" s="112">
        <f t="shared" si="6"/>
        <v>7830839.8647739738</v>
      </c>
      <c r="G116" s="112">
        <f>IF(C116&gt;'Stress Test Inputs'!$B$23*12,0,D116*B116/12)</f>
        <v>39479.671480686957</v>
      </c>
      <c r="H116" s="112">
        <f t="shared" si="5"/>
        <v>25614.759882731145</v>
      </c>
      <c r="I116" s="112">
        <f t="shared" si="8"/>
        <v>7870319.5362546602</v>
      </c>
      <c r="J116" s="111"/>
    </row>
    <row r="117" spans="1:10" x14ac:dyDescent="0.25">
      <c r="A117" s="107" t="b">
        <f>IF(('Stress Test Inputs'!$C$23)="FRM", FALSE, ISNUMBER(MATCH(C117,'Stress Test Inputs'!$M$18:$M$30,0)))</f>
        <v>0</v>
      </c>
      <c r="B117" s="116">
        <f>IF($A117, (_xlfn.XLOOKUP(C117,'Stress Test Inputs'!$M$17:$M$29,'Stress Test Inputs'!$N$17:$N$29)+'Stress Test Financial Analysis'!$D$5),$B116)</f>
        <v>0.06</v>
      </c>
      <c r="C117" s="114">
        <f t="shared" si="7"/>
        <v>115</v>
      </c>
      <c r="D117" s="112">
        <f t="shared" si="9"/>
        <v>7870319.5362546602</v>
      </c>
      <c r="E117" s="112">
        <f>IF(OR(D117&lt;=0,C117&gt;'Stress Test Inputs'!$B$23*12),0,IF(AND(C117='Stress Test Inputs'!$B$23*12,'Stress Test Inputs'!$E$23&gt;'Stress Test Inputs'!$B$23),D117+D117*B117/12,IF('Stress Test Inputs'!$C$23="FRM",-PMT($B$3/12,'Stress Test Inputs'!$E$23*12,$D$3),IF($A117,-PMT(B117/12,('Stress Test Inputs'!$E$23*12)-C117+1,D117),E116))))</f>
        <v>65094.431363418102</v>
      </c>
      <c r="F117" s="112">
        <f t="shared" si="6"/>
        <v>7805225.1048912425</v>
      </c>
      <c r="G117" s="112">
        <f>IF(C117&gt;'Stress Test Inputs'!$B$23*12,0,D117*B117/12)</f>
        <v>39351.597681273299</v>
      </c>
      <c r="H117" s="112">
        <f t="shared" si="5"/>
        <v>25742.833682144803</v>
      </c>
      <c r="I117" s="112">
        <f t="shared" si="8"/>
        <v>7844576.7025725152</v>
      </c>
      <c r="J117" s="111"/>
    </row>
    <row r="118" spans="1:10" x14ac:dyDescent="0.25">
      <c r="A118" s="107" t="b">
        <f>IF(('Stress Test Inputs'!$C$23)="FRM", FALSE, ISNUMBER(MATCH(C118,'Stress Test Inputs'!$M$18:$M$30,0)))</f>
        <v>0</v>
      </c>
      <c r="B118" s="116">
        <f>IF($A118, (_xlfn.XLOOKUP(C118,'Stress Test Inputs'!$M$17:$M$29,'Stress Test Inputs'!$N$17:$N$29)+'Stress Test Financial Analysis'!$D$5),$B117)</f>
        <v>0.06</v>
      </c>
      <c r="C118" s="114">
        <f t="shared" si="7"/>
        <v>116</v>
      </c>
      <c r="D118" s="112">
        <f t="shared" si="9"/>
        <v>7844576.7025725152</v>
      </c>
      <c r="E118" s="112">
        <f>IF(OR(D118&lt;=0,C118&gt;'Stress Test Inputs'!$B$23*12),0,IF(AND(C118='Stress Test Inputs'!$B$23*12,'Stress Test Inputs'!$E$23&gt;'Stress Test Inputs'!$B$23),D118+D118*B118/12,IF('Stress Test Inputs'!$C$23="FRM",-PMT($B$3/12,'Stress Test Inputs'!$E$23*12,$D$3),IF($A118,-PMT(B118/12,('Stress Test Inputs'!$E$23*12)-C118+1,D118),E117))))</f>
        <v>65094.431363418102</v>
      </c>
      <c r="F118" s="112">
        <f t="shared" si="6"/>
        <v>7779482.2712090975</v>
      </c>
      <c r="G118" s="112">
        <f>IF(C118&gt;'Stress Test Inputs'!$B$23*12,0,D118*B118/12)</f>
        <v>39222.883512862572</v>
      </c>
      <c r="H118" s="112">
        <f t="shared" si="5"/>
        <v>25871.547850555529</v>
      </c>
      <c r="I118" s="112">
        <f t="shared" si="8"/>
        <v>7818705.1547219595</v>
      </c>
      <c r="J118" s="111"/>
    </row>
    <row r="119" spans="1:10" x14ac:dyDescent="0.25">
      <c r="A119" s="107" t="b">
        <f>IF(('Stress Test Inputs'!$C$23)="FRM", FALSE, ISNUMBER(MATCH(C119,'Stress Test Inputs'!$M$18:$M$30,0)))</f>
        <v>0</v>
      </c>
      <c r="B119" s="116">
        <f>IF($A119, (_xlfn.XLOOKUP(C119,'Stress Test Inputs'!$M$17:$M$29,'Stress Test Inputs'!$N$17:$N$29)+'Stress Test Financial Analysis'!$D$5),$B118)</f>
        <v>0.06</v>
      </c>
      <c r="C119" s="114">
        <f t="shared" si="7"/>
        <v>117</v>
      </c>
      <c r="D119" s="112">
        <f t="shared" si="9"/>
        <v>7818705.1547219595</v>
      </c>
      <c r="E119" s="112">
        <f>IF(OR(D119&lt;=0,C119&gt;'Stress Test Inputs'!$B$23*12),0,IF(AND(C119='Stress Test Inputs'!$B$23*12,'Stress Test Inputs'!$E$23&gt;'Stress Test Inputs'!$B$23),D119+D119*B119/12,IF('Stress Test Inputs'!$C$23="FRM",-PMT($B$3/12,'Stress Test Inputs'!$E$23*12,$D$3),IF($A119,-PMT(B119/12,('Stress Test Inputs'!$E$23*12)-C119+1,D119),E118))))</f>
        <v>65094.431363418102</v>
      </c>
      <c r="F119" s="112">
        <f t="shared" si="6"/>
        <v>7753610.7233585417</v>
      </c>
      <c r="G119" s="112">
        <f>IF(C119&gt;'Stress Test Inputs'!$B$23*12,0,D119*B119/12)</f>
        <v>39093.525773609792</v>
      </c>
      <c r="H119" s="112">
        <f t="shared" si="5"/>
        <v>26000.90558980831</v>
      </c>
      <c r="I119" s="112">
        <f t="shared" si="8"/>
        <v>7792704.2491321508</v>
      </c>
      <c r="J119" s="111"/>
    </row>
    <row r="120" spans="1:10" x14ac:dyDescent="0.25">
      <c r="A120" s="107" t="b">
        <f>IF(('Stress Test Inputs'!$C$23)="FRM", FALSE, ISNUMBER(MATCH(C120,'Stress Test Inputs'!$M$18:$M$30,0)))</f>
        <v>0</v>
      </c>
      <c r="B120" s="116">
        <f>IF($A120, (_xlfn.XLOOKUP(C120,'Stress Test Inputs'!$M$17:$M$29,'Stress Test Inputs'!$N$17:$N$29)+'Stress Test Financial Analysis'!$D$5),$B119)</f>
        <v>0.06</v>
      </c>
      <c r="C120" s="114">
        <f t="shared" si="7"/>
        <v>118</v>
      </c>
      <c r="D120" s="112">
        <f t="shared" si="9"/>
        <v>7792704.2491321508</v>
      </c>
      <c r="E120" s="112">
        <f>IF(OR(D120&lt;=0,C120&gt;'Stress Test Inputs'!$B$23*12),0,IF(AND(C120='Stress Test Inputs'!$B$23*12,'Stress Test Inputs'!$E$23&gt;'Stress Test Inputs'!$B$23),D120+D120*B120/12,IF('Stress Test Inputs'!$C$23="FRM",-PMT($B$3/12,'Stress Test Inputs'!$E$23*12,$D$3),IF($A120,-PMT(B120/12,('Stress Test Inputs'!$E$23*12)-C120+1,D120),E119))))</f>
        <v>65094.431363418102</v>
      </c>
      <c r="F120" s="112">
        <f t="shared" si="6"/>
        <v>7727609.817768733</v>
      </c>
      <c r="G120" s="112">
        <f>IF(C120&gt;'Stress Test Inputs'!$B$23*12,0,D120*B120/12)</f>
        <v>38963.521245660748</v>
      </c>
      <c r="H120" s="112">
        <f t="shared" si="5"/>
        <v>26130.910117757354</v>
      </c>
      <c r="I120" s="112">
        <f t="shared" si="8"/>
        <v>7766573.3390143933</v>
      </c>
      <c r="J120" s="111"/>
    </row>
    <row r="121" spans="1:10" x14ac:dyDescent="0.25">
      <c r="A121" s="107" t="b">
        <f>IF(('Stress Test Inputs'!$C$23)="FRM", FALSE, ISNUMBER(MATCH(C121,'Stress Test Inputs'!$M$18:$M$30,0)))</f>
        <v>0</v>
      </c>
      <c r="B121" s="116">
        <f>IF($A121, (_xlfn.XLOOKUP(C121,'Stress Test Inputs'!$M$17:$M$29,'Stress Test Inputs'!$N$17:$N$29)+'Stress Test Financial Analysis'!$D$5),$B120)</f>
        <v>0.06</v>
      </c>
      <c r="C121" s="114">
        <f t="shared" si="7"/>
        <v>119</v>
      </c>
      <c r="D121" s="112">
        <f t="shared" si="9"/>
        <v>7766573.3390143933</v>
      </c>
      <c r="E121" s="112">
        <f>IF(OR(D121&lt;=0,C121&gt;'Stress Test Inputs'!$B$23*12),0,IF(AND(C121='Stress Test Inputs'!$B$23*12,'Stress Test Inputs'!$E$23&gt;'Stress Test Inputs'!$B$23),D121+D121*B121/12,IF('Stress Test Inputs'!$C$23="FRM",-PMT($B$3/12,'Stress Test Inputs'!$E$23*12,$D$3),IF($A121,-PMT(B121/12,('Stress Test Inputs'!$E$23*12)-C121+1,D121),E120))))</f>
        <v>65094.431363418102</v>
      </c>
      <c r="F121" s="112">
        <f t="shared" si="6"/>
        <v>7701478.9076509755</v>
      </c>
      <c r="G121" s="112">
        <f>IF(C121&gt;'Stress Test Inputs'!$B$23*12,0,D121*B121/12)</f>
        <v>38832.866695071963</v>
      </c>
      <c r="H121" s="112">
        <f t="shared" si="5"/>
        <v>26261.564668346138</v>
      </c>
      <c r="I121" s="112">
        <f t="shared" si="8"/>
        <v>7740311.7743460471</v>
      </c>
      <c r="J121" s="111"/>
    </row>
    <row r="122" spans="1:10" x14ac:dyDescent="0.25">
      <c r="A122" s="107" t="b">
        <f>IF(('Stress Test Inputs'!$C$23)="FRM", FALSE, ISNUMBER(MATCH(C122,'Stress Test Inputs'!$M$18:$M$30,0)))</f>
        <v>0</v>
      </c>
      <c r="B122" s="116">
        <f>IF($A122, (_xlfn.XLOOKUP(C122,'Stress Test Inputs'!$M$17:$M$29,'Stress Test Inputs'!$N$17:$N$29)+'Stress Test Financial Analysis'!$D$5),$B121)</f>
        <v>0.06</v>
      </c>
      <c r="C122" s="114">
        <f t="shared" si="7"/>
        <v>120</v>
      </c>
      <c r="D122" s="112">
        <f t="shared" si="9"/>
        <v>7740311.7743460471</v>
      </c>
      <c r="E122" s="112">
        <f>IF(OR(D122&lt;=0,C122&gt;'Stress Test Inputs'!$B$23*12),0,IF(AND(C122='Stress Test Inputs'!$B$23*12,'Stress Test Inputs'!$E$23&gt;'Stress Test Inputs'!$B$23),D122+D122*B122/12,IF('Stress Test Inputs'!$C$23="FRM",-PMT($B$3/12,'Stress Test Inputs'!$E$23*12,$D$3),IF($A122,-PMT(B122/12,('Stress Test Inputs'!$E$23*12)-C122+1,D122),E121))))</f>
        <v>7779013.3332177773</v>
      </c>
      <c r="F122" s="112">
        <f t="shared" si="6"/>
        <v>0</v>
      </c>
      <c r="G122" s="112">
        <f>IF(C122&gt;'Stress Test Inputs'!$B$23*12,0,D122*B122/12)</f>
        <v>38701.558871730238</v>
      </c>
      <c r="H122" s="112">
        <f t="shared" si="5"/>
        <v>7740311.7743460471</v>
      </c>
      <c r="I122" s="112">
        <f t="shared" si="8"/>
        <v>0</v>
      </c>
      <c r="J122" s="111"/>
    </row>
    <row r="123" spans="1:10" x14ac:dyDescent="0.25">
      <c r="A123" s="107" t="b">
        <f>IF(('Stress Test Inputs'!$C$23)="FRM", FALSE, ISNUMBER(MATCH(C123,'Stress Test Inputs'!$M$18:$M$30,0)))</f>
        <v>0</v>
      </c>
      <c r="B123" s="116">
        <f>IF($A123, (_xlfn.XLOOKUP(C123,'Stress Test Inputs'!$M$17:$M$29,'Stress Test Inputs'!$N$17:$N$29)+'Stress Test Financial Analysis'!$D$5),$B122)</f>
        <v>0.06</v>
      </c>
      <c r="C123" s="114">
        <f t="shared" si="7"/>
        <v>121</v>
      </c>
      <c r="D123" s="112">
        <f t="shared" si="9"/>
        <v>0</v>
      </c>
      <c r="E123" s="112">
        <f>IF(OR(D123&lt;=0,C123&gt;'Stress Test Inputs'!$B$23*12),0,IF(AND(C123='Stress Test Inputs'!$B$23*12,'Stress Test Inputs'!$E$23&gt;'Stress Test Inputs'!$B$23),D123+D123*B123/12,IF('Stress Test Inputs'!$C$23="FRM",-PMT($B$3/12,'Stress Test Inputs'!$E$23*12,$D$3),IF($A123,-PMT(B123/12,('Stress Test Inputs'!$E$23*12)-C123+1,D123),E122))))</f>
        <v>0</v>
      </c>
      <c r="F123" s="112">
        <f t="shared" si="6"/>
        <v>0</v>
      </c>
      <c r="G123" s="112">
        <f>IF(C123&gt;'Stress Test Inputs'!$B$23*12,0,D123*B123/12)</f>
        <v>0</v>
      </c>
      <c r="H123" s="112">
        <f t="shared" si="5"/>
        <v>0</v>
      </c>
      <c r="I123" s="112">
        <f t="shared" si="8"/>
        <v>0</v>
      </c>
      <c r="J123" s="111"/>
    </row>
    <row r="124" spans="1:10" x14ac:dyDescent="0.25">
      <c r="A124" s="107" t="b">
        <f>IF(('Stress Test Inputs'!$C$23)="FRM", FALSE, ISNUMBER(MATCH(C124,'Stress Test Inputs'!$M$18:$M$30,0)))</f>
        <v>0</v>
      </c>
      <c r="B124" s="116">
        <f>IF($A124, (_xlfn.XLOOKUP(C124,'Stress Test Inputs'!$M$17:$M$29,'Stress Test Inputs'!$N$17:$N$29)+'Stress Test Financial Analysis'!$D$5),$B123)</f>
        <v>0.06</v>
      </c>
      <c r="C124" s="114">
        <f t="shared" si="7"/>
        <v>122</v>
      </c>
      <c r="D124" s="112">
        <f t="shared" si="9"/>
        <v>0</v>
      </c>
      <c r="E124" s="112">
        <f>IF(OR(D124&lt;=0,C124&gt;'Stress Test Inputs'!$B$23*12),0,IF(AND(C124='Stress Test Inputs'!$B$23*12,'Stress Test Inputs'!$E$23&gt;'Stress Test Inputs'!$B$23),D124+D124*B124/12,IF('Stress Test Inputs'!$C$23="FRM",-PMT($B$3/12,'Stress Test Inputs'!$E$23*12,$D$3),IF($A124,-PMT(B124/12,('Stress Test Inputs'!$E$23*12)-C124+1,D124),E123))))</f>
        <v>0</v>
      </c>
      <c r="F124" s="112">
        <f t="shared" si="6"/>
        <v>0</v>
      </c>
      <c r="G124" s="112">
        <f>IF(C124&gt;'Stress Test Inputs'!$B$23*12,0,D124*B124/12)</f>
        <v>0</v>
      </c>
      <c r="H124" s="112">
        <f t="shared" si="5"/>
        <v>0</v>
      </c>
      <c r="I124" s="112">
        <f t="shared" si="8"/>
        <v>0</v>
      </c>
      <c r="J124" s="111"/>
    </row>
    <row r="125" spans="1:10" x14ac:dyDescent="0.25">
      <c r="A125" s="107" t="b">
        <f>IF(('Stress Test Inputs'!$C$23)="FRM", FALSE, ISNUMBER(MATCH(C125,'Stress Test Inputs'!$M$18:$M$30,0)))</f>
        <v>0</v>
      </c>
      <c r="B125" s="116">
        <f>IF($A125, (_xlfn.XLOOKUP(C125,'Stress Test Inputs'!$M$17:$M$29,'Stress Test Inputs'!$N$17:$N$29)+'Stress Test Financial Analysis'!$D$5),$B124)</f>
        <v>0.06</v>
      </c>
      <c r="C125" s="114">
        <f t="shared" si="7"/>
        <v>123</v>
      </c>
      <c r="D125" s="112">
        <f t="shared" si="9"/>
        <v>0</v>
      </c>
      <c r="E125" s="112">
        <f>IF(OR(D125&lt;=0,C125&gt;'Stress Test Inputs'!$B$23*12),0,IF(AND(C125='Stress Test Inputs'!$B$23*12,'Stress Test Inputs'!$E$23&gt;'Stress Test Inputs'!$B$23),D125+D125*B125/12,IF('Stress Test Inputs'!$C$23="FRM",-PMT($B$3/12,'Stress Test Inputs'!$E$23*12,$D$3),IF($A125,-PMT(B125/12,('Stress Test Inputs'!$E$23*12)-C125+1,D125),E124))))</f>
        <v>0</v>
      </c>
      <c r="F125" s="112">
        <f t="shared" si="6"/>
        <v>0</v>
      </c>
      <c r="G125" s="112">
        <f>IF(C125&gt;'Stress Test Inputs'!$B$23*12,0,D125*B125/12)</f>
        <v>0</v>
      </c>
      <c r="H125" s="112">
        <f t="shared" si="5"/>
        <v>0</v>
      </c>
      <c r="I125" s="112">
        <f t="shared" si="8"/>
        <v>0</v>
      </c>
      <c r="J125" s="111"/>
    </row>
    <row r="126" spans="1:10" x14ac:dyDescent="0.25">
      <c r="A126" s="107" t="b">
        <f>IF(('Stress Test Inputs'!$C$23)="FRM", FALSE, ISNUMBER(MATCH(C126,'Stress Test Inputs'!$M$18:$M$30,0)))</f>
        <v>0</v>
      </c>
      <c r="B126" s="116">
        <f>IF($A126, (_xlfn.XLOOKUP(C126,'Stress Test Inputs'!$M$17:$M$29,'Stress Test Inputs'!$N$17:$N$29)+'Stress Test Financial Analysis'!$D$5),$B125)</f>
        <v>0.06</v>
      </c>
      <c r="C126" s="114">
        <f t="shared" si="7"/>
        <v>124</v>
      </c>
      <c r="D126" s="112">
        <f t="shared" si="9"/>
        <v>0</v>
      </c>
      <c r="E126" s="112">
        <f>IF(OR(D126&lt;=0,C126&gt;'Stress Test Inputs'!$B$23*12),0,IF(AND(C126='Stress Test Inputs'!$B$23*12,'Stress Test Inputs'!$E$23&gt;'Stress Test Inputs'!$B$23),D126+D126*B126/12,IF('Stress Test Inputs'!$C$23="FRM",-PMT($B$3/12,'Stress Test Inputs'!$E$23*12,$D$3),IF($A126,-PMT(B126/12,('Stress Test Inputs'!$E$23*12)-C126+1,D126),E125))))</f>
        <v>0</v>
      </c>
      <c r="F126" s="112">
        <f t="shared" si="6"/>
        <v>0</v>
      </c>
      <c r="G126" s="112">
        <f>IF(C126&gt;'Stress Test Inputs'!$B$23*12,0,D126*B126/12)</f>
        <v>0</v>
      </c>
      <c r="H126" s="112">
        <f t="shared" si="5"/>
        <v>0</v>
      </c>
      <c r="I126" s="112">
        <f t="shared" si="8"/>
        <v>0</v>
      </c>
      <c r="J126" s="111"/>
    </row>
    <row r="127" spans="1:10" x14ac:dyDescent="0.25">
      <c r="A127" s="107" t="b">
        <f>IF(('Stress Test Inputs'!$C$23)="FRM", FALSE, ISNUMBER(MATCH(C127,'Stress Test Inputs'!$M$18:$M$30,0)))</f>
        <v>0</v>
      </c>
      <c r="B127" s="116">
        <f>IF($A127, (_xlfn.XLOOKUP(C127,'Stress Test Inputs'!$M$17:$M$29,'Stress Test Inputs'!$N$17:$N$29)+'Stress Test Financial Analysis'!$D$5),$B126)</f>
        <v>0.06</v>
      </c>
      <c r="C127" s="114">
        <f t="shared" si="7"/>
        <v>125</v>
      </c>
      <c r="D127" s="112">
        <f t="shared" si="9"/>
        <v>0</v>
      </c>
      <c r="E127" s="112">
        <f>IF(OR(D127&lt;=0,C127&gt;'Stress Test Inputs'!$B$23*12),0,IF(AND(C127='Stress Test Inputs'!$B$23*12,'Stress Test Inputs'!$E$23&gt;'Stress Test Inputs'!$B$23),D127+D127*B127/12,IF('Stress Test Inputs'!$C$23="FRM",-PMT($B$3/12,'Stress Test Inputs'!$E$23*12,$D$3),IF($A127,-PMT(B127/12,('Stress Test Inputs'!$E$23*12)-C127+1,D127),E126))))</f>
        <v>0</v>
      </c>
      <c r="F127" s="112">
        <f t="shared" si="6"/>
        <v>0</v>
      </c>
      <c r="G127" s="112">
        <f>IF(C127&gt;'Stress Test Inputs'!$B$23*12,0,D127*B127/12)</f>
        <v>0</v>
      </c>
      <c r="H127" s="112">
        <f t="shared" si="5"/>
        <v>0</v>
      </c>
      <c r="I127" s="112">
        <f t="shared" si="8"/>
        <v>0</v>
      </c>
      <c r="J127" s="111"/>
    </row>
    <row r="128" spans="1:10" x14ac:dyDescent="0.25">
      <c r="A128" s="107" t="b">
        <f>IF(('Stress Test Inputs'!$C$23)="FRM", FALSE, ISNUMBER(MATCH(C128,'Stress Test Inputs'!$M$18:$M$30,0)))</f>
        <v>0</v>
      </c>
      <c r="B128" s="116">
        <f>IF($A128, (_xlfn.XLOOKUP(C128,'Stress Test Inputs'!$M$17:$M$29,'Stress Test Inputs'!$N$17:$N$29)+'Stress Test Financial Analysis'!$D$5),$B127)</f>
        <v>0.06</v>
      </c>
      <c r="C128" s="114">
        <f t="shared" si="7"/>
        <v>126</v>
      </c>
      <c r="D128" s="112">
        <f t="shared" si="9"/>
        <v>0</v>
      </c>
      <c r="E128" s="112">
        <f>IF(OR(D128&lt;=0,C128&gt;'Stress Test Inputs'!$B$23*12),0,IF(AND(C128='Stress Test Inputs'!$B$23*12,'Stress Test Inputs'!$E$23&gt;'Stress Test Inputs'!$B$23),D128+D128*B128/12,IF('Stress Test Inputs'!$C$23="FRM",-PMT($B$3/12,'Stress Test Inputs'!$E$23*12,$D$3),IF($A128,-PMT(B128/12,('Stress Test Inputs'!$E$23*12)-C128+1,D128),E127))))</f>
        <v>0</v>
      </c>
      <c r="F128" s="112">
        <f t="shared" si="6"/>
        <v>0</v>
      </c>
      <c r="G128" s="112">
        <f>IF(C128&gt;'Stress Test Inputs'!$B$23*12,0,D128*B128/12)</f>
        <v>0</v>
      </c>
      <c r="H128" s="112">
        <f t="shared" si="5"/>
        <v>0</v>
      </c>
      <c r="I128" s="112">
        <f t="shared" si="8"/>
        <v>0</v>
      </c>
      <c r="J128" s="111"/>
    </row>
    <row r="129" spans="1:10" x14ac:dyDescent="0.25">
      <c r="A129" s="107" t="b">
        <f>IF(('Stress Test Inputs'!$C$23)="FRM", FALSE, ISNUMBER(MATCH(C129,'Stress Test Inputs'!$M$18:$M$30,0)))</f>
        <v>0</v>
      </c>
      <c r="B129" s="116">
        <f>IF($A129, (_xlfn.XLOOKUP(C129,'Stress Test Inputs'!$M$17:$M$29,'Stress Test Inputs'!$N$17:$N$29)+'Stress Test Financial Analysis'!$D$5),$B128)</f>
        <v>0.06</v>
      </c>
      <c r="C129" s="114">
        <f t="shared" si="7"/>
        <v>127</v>
      </c>
      <c r="D129" s="112">
        <f t="shared" si="9"/>
        <v>0</v>
      </c>
      <c r="E129" s="112">
        <f>IF(OR(D129&lt;=0,C129&gt;'Stress Test Inputs'!$B$23*12),0,IF(AND(C129='Stress Test Inputs'!$B$23*12,'Stress Test Inputs'!$E$23&gt;'Stress Test Inputs'!$B$23),D129+D129*B129/12,IF('Stress Test Inputs'!$C$23="FRM",-PMT($B$3/12,'Stress Test Inputs'!$E$23*12,$D$3),IF($A129,-PMT(B129/12,('Stress Test Inputs'!$E$23*12)-C129+1,D129),E128))))</f>
        <v>0</v>
      </c>
      <c r="F129" s="112">
        <f t="shared" si="6"/>
        <v>0</v>
      </c>
      <c r="G129" s="112">
        <f>IF(C129&gt;'Stress Test Inputs'!$B$23*12,0,D129*B129/12)</f>
        <v>0</v>
      </c>
      <c r="H129" s="112">
        <f t="shared" si="5"/>
        <v>0</v>
      </c>
      <c r="I129" s="112">
        <f t="shared" si="8"/>
        <v>0</v>
      </c>
      <c r="J129" s="111"/>
    </row>
    <row r="130" spans="1:10" x14ac:dyDescent="0.25">
      <c r="A130" s="107" t="b">
        <f>IF(('Stress Test Inputs'!$C$23)="FRM", FALSE, ISNUMBER(MATCH(C130,'Stress Test Inputs'!$M$18:$M$30,0)))</f>
        <v>0</v>
      </c>
      <c r="B130" s="116">
        <f>IF($A130, (_xlfn.XLOOKUP(C130,'Stress Test Inputs'!$M$17:$M$29,'Stress Test Inputs'!$N$17:$N$29)+'Stress Test Financial Analysis'!$D$5),$B129)</f>
        <v>0.06</v>
      </c>
      <c r="C130" s="114">
        <f t="shared" si="7"/>
        <v>128</v>
      </c>
      <c r="D130" s="112">
        <f t="shared" si="9"/>
        <v>0</v>
      </c>
      <c r="E130" s="112">
        <f>IF(OR(D130&lt;=0,C130&gt;'Stress Test Inputs'!$B$23*12),0,IF(AND(C130='Stress Test Inputs'!$B$23*12,'Stress Test Inputs'!$E$23&gt;'Stress Test Inputs'!$B$23),D130+D130*B130/12,IF('Stress Test Inputs'!$C$23="FRM",-PMT($B$3/12,'Stress Test Inputs'!$E$23*12,$D$3),IF($A130,-PMT(B130/12,('Stress Test Inputs'!$E$23*12)-C130+1,D130),E129))))</f>
        <v>0</v>
      </c>
      <c r="F130" s="112">
        <f t="shared" si="6"/>
        <v>0</v>
      </c>
      <c r="G130" s="112">
        <f>IF(C130&gt;'Stress Test Inputs'!$B$23*12,0,D130*B130/12)</f>
        <v>0</v>
      </c>
      <c r="H130" s="112">
        <f t="shared" si="5"/>
        <v>0</v>
      </c>
      <c r="I130" s="112">
        <f t="shared" si="8"/>
        <v>0</v>
      </c>
      <c r="J130" s="111"/>
    </row>
    <row r="131" spans="1:10" x14ac:dyDescent="0.25">
      <c r="A131" s="107" t="b">
        <f>IF(('Stress Test Inputs'!$C$23)="FRM", FALSE, ISNUMBER(MATCH(C131,'Stress Test Inputs'!$M$18:$M$30,0)))</f>
        <v>0</v>
      </c>
      <c r="B131" s="116">
        <f>IF($A131, (_xlfn.XLOOKUP(C131,'Stress Test Inputs'!$M$17:$M$29,'Stress Test Inputs'!$N$17:$N$29)+'Stress Test Financial Analysis'!$D$5),$B130)</f>
        <v>0.06</v>
      </c>
      <c r="C131" s="114">
        <f t="shared" si="7"/>
        <v>129</v>
      </c>
      <c r="D131" s="112">
        <f t="shared" si="9"/>
        <v>0</v>
      </c>
      <c r="E131" s="112">
        <f>IF(OR(D131&lt;=0,C131&gt;'Stress Test Inputs'!$B$23*12),0,IF(AND(C131='Stress Test Inputs'!$B$23*12,'Stress Test Inputs'!$E$23&gt;'Stress Test Inputs'!$B$23),D131+D131*B131/12,IF('Stress Test Inputs'!$C$23="FRM",-PMT($B$3/12,'Stress Test Inputs'!$E$23*12,$D$3),IF($A131,-PMT(B131/12,('Stress Test Inputs'!$E$23*12)-C131+1,D131),E130))))</f>
        <v>0</v>
      </c>
      <c r="F131" s="112">
        <f t="shared" si="6"/>
        <v>0</v>
      </c>
      <c r="G131" s="112">
        <f>IF(C131&gt;'Stress Test Inputs'!$B$23*12,0,D131*B131/12)</f>
        <v>0</v>
      </c>
      <c r="H131" s="112">
        <f t="shared" ref="H131:H194" si="10">MIN(E131-G131,D131)</f>
        <v>0</v>
      </c>
      <c r="I131" s="112">
        <f t="shared" si="8"/>
        <v>0</v>
      </c>
      <c r="J131" s="111"/>
    </row>
    <row r="132" spans="1:10" x14ac:dyDescent="0.25">
      <c r="A132" s="107" t="b">
        <f>IF(('Stress Test Inputs'!$C$23)="FRM", FALSE, ISNUMBER(MATCH(C132,'Stress Test Inputs'!$M$18:$M$30,0)))</f>
        <v>0</v>
      </c>
      <c r="B132" s="116">
        <f>IF($A132, (_xlfn.XLOOKUP(C132,'Stress Test Inputs'!$M$17:$M$29,'Stress Test Inputs'!$N$17:$N$29)+'Stress Test Financial Analysis'!$D$5),$B131)</f>
        <v>0.06</v>
      </c>
      <c r="C132" s="114">
        <f t="shared" si="7"/>
        <v>130</v>
      </c>
      <c r="D132" s="112">
        <f t="shared" si="9"/>
        <v>0</v>
      </c>
      <c r="E132" s="112">
        <f>IF(OR(D132&lt;=0,C132&gt;'Stress Test Inputs'!$B$23*12),0,IF(AND(C132='Stress Test Inputs'!$B$23*12,'Stress Test Inputs'!$E$23&gt;'Stress Test Inputs'!$B$23),D132+D132*B132/12,IF('Stress Test Inputs'!$C$23="FRM",-PMT($B$3/12,'Stress Test Inputs'!$E$23*12,$D$3),IF($A132,-PMT(B132/12,('Stress Test Inputs'!$E$23*12)-C132+1,D132),E131))))</f>
        <v>0</v>
      </c>
      <c r="F132" s="112">
        <f t="shared" ref="F132:F195" si="11">IF(D132-E132&lt;0,0,D132-E132)</f>
        <v>0</v>
      </c>
      <c r="G132" s="112">
        <f>IF(C132&gt;'Stress Test Inputs'!$B$23*12,0,D132*B132/12)</f>
        <v>0</v>
      </c>
      <c r="H132" s="112">
        <f t="shared" si="10"/>
        <v>0</v>
      </c>
      <c r="I132" s="112">
        <f t="shared" si="8"/>
        <v>0</v>
      </c>
      <c r="J132" s="111"/>
    </row>
    <row r="133" spans="1:10" x14ac:dyDescent="0.25">
      <c r="A133" s="107" t="b">
        <f>IF(('Stress Test Inputs'!$C$23)="FRM", FALSE, ISNUMBER(MATCH(C133,'Stress Test Inputs'!$M$18:$M$30,0)))</f>
        <v>0</v>
      </c>
      <c r="B133" s="116">
        <f>IF($A133, (_xlfn.XLOOKUP(C133,'Stress Test Inputs'!$M$17:$M$29,'Stress Test Inputs'!$N$17:$N$29)+'Stress Test Financial Analysis'!$D$5),$B132)</f>
        <v>0.06</v>
      </c>
      <c r="C133" s="114">
        <f t="shared" ref="C133:C196" si="12">C132+1</f>
        <v>131</v>
      </c>
      <c r="D133" s="112">
        <f t="shared" si="9"/>
        <v>0</v>
      </c>
      <c r="E133" s="112">
        <f>IF(OR(D133&lt;=0,C133&gt;'Stress Test Inputs'!$B$23*12),0,IF(AND(C133='Stress Test Inputs'!$B$23*12,'Stress Test Inputs'!$E$23&gt;'Stress Test Inputs'!$B$23),D133+D133*B133/12,IF('Stress Test Inputs'!$C$23="FRM",-PMT($B$3/12,'Stress Test Inputs'!$E$23*12,$D$3),IF($A133,-PMT(B133/12,('Stress Test Inputs'!$E$23*12)-C133+1,D133),E132))))</f>
        <v>0</v>
      </c>
      <c r="F133" s="112">
        <f t="shared" si="11"/>
        <v>0</v>
      </c>
      <c r="G133" s="112">
        <f>IF(C133&gt;'Stress Test Inputs'!$B$23*12,0,D133*B133/12)</f>
        <v>0</v>
      </c>
      <c r="H133" s="112">
        <f t="shared" si="10"/>
        <v>0</v>
      </c>
      <c r="I133" s="112">
        <f t="shared" ref="I133:I196" si="13">IF(ROUND(D133-H133,2)=0,0,D133-H133)</f>
        <v>0</v>
      </c>
      <c r="J133" s="111"/>
    </row>
    <row r="134" spans="1:10" x14ac:dyDescent="0.25">
      <c r="A134" s="107" t="b">
        <f>IF(('Stress Test Inputs'!$C$23)="FRM", FALSE, ISNUMBER(MATCH(C134,'Stress Test Inputs'!$M$18:$M$30,0)))</f>
        <v>0</v>
      </c>
      <c r="B134" s="116">
        <f>IF($A134, (_xlfn.XLOOKUP(C134,'Stress Test Inputs'!$M$17:$M$29,'Stress Test Inputs'!$N$17:$N$29)+'Stress Test Financial Analysis'!$D$5),$B133)</f>
        <v>0.06</v>
      </c>
      <c r="C134" s="114">
        <f t="shared" si="12"/>
        <v>132</v>
      </c>
      <c r="D134" s="112">
        <f t="shared" si="9"/>
        <v>0</v>
      </c>
      <c r="E134" s="112">
        <f>IF(OR(D134&lt;=0,C134&gt;'Stress Test Inputs'!$B$23*12),0,IF(AND(C134='Stress Test Inputs'!$B$23*12,'Stress Test Inputs'!$E$23&gt;'Stress Test Inputs'!$B$23),D134+D134*B134/12,IF('Stress Test Inputs'!$C$23="FRM",-PMT($B$3/12,'Stress Test Inputs'!$E$23*12,$D$3),IF($A134,-PMT(B134/12,('Stress Test Inputs'!$E$23*12)-C134+1,D134),E133))))</f>
        <v>0</v>
      </c>
      <c r="F134" s="112">
        <f t="shared" si="11"/>
        <v>0</v>
      </c>
      <c r="G134" s="112">
        <f>IF(C134&gt;'Stress Test Inputs'!$B$23*12,0,D134*B134/12)</f>
        <v>0</v>
      </c>
      <c r="H134" s="112">
        <f t="shared" si="10"/>
        <v>0</v>
      </c>
      <c r="I134" s="112">
        <f t="shared" si="13"/>
        <v>0</v>
      </c>
      <c r="J134" s="111"/>
    </row>
    <row r="135" spans="1:10" x14ac:dyDescent="0.25">
      <c r="A135" s="107" t="b">
        <f>IF(('Stress Test Inputs'!$C$23)="FRM", FALSE, ISNUMBER(MATCH(C135,'Stress Test Inputs'!$M$18:$M$30,0)))</f>
        <v>0</v>
      </c>
      <c r="B135" s="116">
        <f>IF($A135, (_xlfn.XLOOKUP(C135,'Stress Test Inputs'!$M$17:$M$29,'Stress Test Inputs'!$N$17:$N$29)+'Stress Test Financial Analysis'!$D$5),$B134)</f>
        <v>0.06</v>
      </c>
      <c r="C135" s="114">
        <f t="shared" si="12"/>
        <v>133</v>
      </c>
      <c r="D135" s="112">
        <f t="shared" ref="D135:D198" si="14">IF(I134&gt;0,I134-J134,0)</f>
        <v>0</v>
      </c>
      <c r="E135" s="112">
        <f>IF(OR(D135&lt;=0,C135&gt;'Stress Test Inputs'!$B$23*12),0,IF(AND(C135='Stress Test Inputs'!$B$23*12,'Stress Test Inputs'!$E$23&gt;'Stress Test Inputs'!$B$23),D135+D135*B135/12,IF('Stress Test Inputs'!$C$23="FRM",-PMT($B$3/12,'Stress Test Inputs'!$E$23*12,$D$3),IF($A135,-PMT(B135/12,('Stress Test Inputs'!$E$23*12)-C135+1,D135),E134))))</f>
        <v>0</v>
      </c>
      <c r="F135" s="112">
        <f t="shared" si="11"/>
        <v>0</v>
      </c>
      <c r="G135" s="112">
        <f>IF(C135&gt;'Stress Test Inputs'!$B$23*12,0,D135*B135/12)</f>
        <v>0</v>
      </c>
      <c r="H135" s="112">
        <f t="shared" si="10"/>
        <v>0</v>
      </c>
      <c r="I135" s="112">
        <f t="shared" si="13"/>
        <v>0</v>
      </c>
      <c r="J135" s="111"/>
    </row>
    <row r="136" spans="1:10" x14ac:dyDescent="0.25">
      <c r="A136" s="107" t="b">
        <f>IF(('Stress Test Inputs'!$C$23)="FRM", FALSE, ISNUMBER(MATCH(C136,'Stress Test Inputs'!$M$18:$M$30,0)))</f>
        <v>0</v>
      </c>
      <c r="B136" s="116">
        <f>IF($A136, (_xlfn.XLOOKUP(C136,'Stress Test Inputs'!$M$17:$M$29,'Stress Test Inputs'!$N$17:$N$29)+'Stress Test Financial Analysis'!$D$5),$B135)</f>
        <v>0.06</v>
      </c>
      <c r="C136" s="114">
        <f t="shared" si="12"/>
        <v>134</v>
      </c>
      <c r="D136" s="112">
        <f t="shared" si="14"/>
        <v>0</v>
      </c>
      <c r="E136" s="112">
        <f>IF(OR(D136&lt;=0,C136&gt;'Stress Test Inputs'!$B$23*12),0,IF(AND(C136='Stress Test Inputs'!$B$23*12,'Stress Test Inputs'!$E$23&gt;'Stress Test Inputs'!$B$23),D136+D136*B136/12,IF('Stress Test Inputs'!$C$23="FRM",-PMT($B$3/12,'Stress Test Inputs'!$E$23*12,$D$3),IF($A136,-PMT(B136/12,('Stress Test Inputs'!$E$23*12)-C136+1,D136),E135))))</f>
        <v>0</v>
      </c>
      <c r="F136" s="112">
        <f t="shared" si="11"/>
        <v>0</v>
      </c>
      <c r="G136" s="112">
        <f>IF(C136&gt;'Stress Test Inputs'!$B$23*12,0,D136*B136/12)</f>
        <v>0</v>
      </c>
      <c r="H136" s="112">
        <f t="shared" si="10"/>
        <v>0</v>
      </c>
      <c r="I136" s="112">
        <f t="shared" si="13"/>
        <v>0</v>
      </c>
      <c r="J136" s="111"/>
    </row>
    <row r="137" spans="1:10" x14ac:dyDescent="0.25">
      <c r="A137" s="107" t="b">
        <f>IF(('Stress Test Inputs'!$C$23)="FRM", FALSE, ISNUMBER(MATCH(C137,'Stress Test Inputs'!$M$18:$M$30,0)))</f>
        <v>0</v>
      </c>
      <c r="B137" s="116">
        <f>IF($A137, (_xlfn.XLOOKUP(C137,'Stress Test Inputs'!$M$17:$M$29,'Stress Test Inputs'!$N$17:$N$29)+'Stress Test Financial Analysis'!$D$5),$B136)</f>
        <v>0.06</v>
      </c>
      <c r="C137" s="114">
        <f t="shared" si="12"/>
        <v>135</v>
      </c>
      <c r="D137" s="112">
        <f t="shared" si="14"/>
        <v>0</v>
      </c>
      <c r="E137" s="112">
        <f>IF(OR(D137&lt;=0,C137&gt;'Stress Test Inputs'!$B$23*12),0,IF(AND(C137='Stress Test Inputs'!$B$23*12,'Stress Test Inputs'!$E$23&gt;'Stress Test Inputs'!$B$23),D137+D137*B137/12,IF('Stress Test Inputs'!$C$23="FRM",-PMT($B$3/12,'Stress Test Inputs'!$E$23*12,$D$3),IF($A137,-PMT(B137/12,('Stress Test Inputs'!$E$23*12)-C137+1,D137),E136))))</f>
        <v>0</v>
      </c>
      <c r="F137" s="112">
        <f t="shared" si="11"/>
        <v>0</v>
      </c>
      <c r="G137" s="112">
        <f>IF(C137&gt;'Stress Test Inputs'!$B$23*12,0,D137*B137/12)</f>
        <v>0</v>
      </c>
      <c r="H137" s="112">
        <f t="shared" si="10"/>
        <v>0</v>
      </c>
      <c r="I137" s="112">
        <f t="shared" si="13"/>
        <v>0</v>
      </c>
      <c r="J137" s="111"/>
    </row>
    <row r="138" spans="1:10" x14ac:dyDescent="0.25">
      <c r="A138" s="107" t="b">
        <f>IF(('Stress Test Inputs'!$C$23)="FRM", FALSE, ISNUMBER(MATCH(C138,'Stress Test Inputs'!$M$18:$M$30,0)))</f>
        <v>0</v>
      </c>
      <c r="B138" s="116">
        <f>IF($A138, (_xlfn.XLOOKUP(C138,'Stress Test Inputs'!$M$17:$M$29,'Stress Test Inputs'!$N$17:$N$29)+'Stress Test Financial Analysis'!$D$5),$B137)</f>
        <v>0.06</v>
      </c>
      <c r="C138" s="114">
        <f t="shared" si="12"/>
        <v>136</v>
      </c>
      <c r="D138" s="112">
        <f t="shared" si="14"/>
        <v>0</v>
      </c>
      <c r="E138" s="112">
        <f>IF(OR(D138&lt;=0,C138&gt;'Stress Test Inputs'!$B$23*12),0,IF(AND(C138='Stress Test Inputs'!$B$23*12,'Stress Test Inputs'!$E$23&gt;'Stress Test Inputs'!$B$23),D138+D138*B138/12,IF('Stress Test Inputs'!$C$23="FRM",-PMT($B$3/12,'Stress Test Inputs'!$E$23*12,$D$3),IF($A138,-PMT(B138/12,('Stress Test Inputs'!$E$23*12)-C138+1,D138),E137))))</f>
        <v>0</v>
      </c>
      <c r="F138" s="112">
        <f t="shared" si="11"/>
        <v>0</v>
      </c>
      <c r="G138" s="112">
        <f>IF(C138&gt;'Stress Test Inputs'!$B$23*12,0,D138*B138/12)</f>
        <v>0</v>
      </c>
      <c r="H138" s="112">
        <f t="shared" si="10"/>
        <v>0</v>
      </c>
      <c r="I138" s="112">
        <f t="shared" si="13"/>
        <v>0</v>
      </c>
      <c r="J138" s="111"/>
    </row>
    <row r="139" spans="1:10" x14ac:dyDescent="0.25">
      <c r="A139" s="107" t="b">
        <f>IF(('Stress Test Inputs'!$C$23)="FRM", FALSE, ISNUMBER(MATCH(C139,'Stress Test Inputs'!$M$18:$M$30,0)))</f>
        <v>0</v>
      </c>
      <c r="B139" s="116">
        <f>IF($A139, (_xlfn.XLOOKUP(C139,'Stress Test Inputs'!$M$17:$M$29,'Stress Test Inputs'!$N$17:$N$29)+'Stress Test Financial Analysis'!$D$5),$B138)</f>
        <v>0.06</v>
      </c>
      <c r="C139" s="114">
        <f t="shared" si="12"/>
        <v>137</v>
      </c>
      <c r="D139" s="112">
        <f t="shared" si="14"/>
        <v>0</v>
      </c>
      <c r="E139" s="112">
        <f>IF(OR(D139&lt;=0,C139&gt;'Stress Test Inputs'!$B$23*12),0,IF(AND(C139='Stress Test Inputs'!$B$23*12,'Stress Test Inputs'!$E$23&gt;'Stress Test Inputs'!$B$23),D139+D139*B139/12,IF('Stress Test Inputs'!$C$23="FRM",-PMT($B$3/12,'Stress Test Inputs'!$E$23*12,$D$3),IF($A139,-PMT(B139/12,('Stress Test Inputs'!$E$23*12)-C139+1,D139),E138))))</f>
        <v>0</v>
      </c>
      <c r="F139" s="112">
        <f t="shared" si="11"/>
        <v>0</v>
      </c>
      <c r="G139" s="112">
        <f>IF(C139&gt;'Stress Test Inputs'!$B$23*12,0,D139*B139/12)</f>
        <v>0</v>
      </c>
      <c r="H139" s="112">
        <f t="shared" si="10"/>
        <v>0</v>
      </c>
      <c r="I139" s="112">
        <f t="shared" si="13"/>
        <v>0</v>
      </c>
      <c r="J139" s="111"/>
    </row>
    <row r="140" spans="1:10" x14ac:dyDescent="0.25">
      <c r="A140" s="107" t="b">
        <f>IF(('Stress Test Inputs'!$C$23)="FRM", FALSE, ISNUMBER(MATCH(C140,'Stress Test Inputs'!$M$18:$M$30,0)))</f>
        <v>0</v>
      </c>
      <c r="B140" s="116">
        <f>IF($A140, (_xlfn.XLOOKUP(C140,'Stress Test Inputs'!$M$17:$M$29,'Stress Test Inputs'!$N$17:$N$29)+'Stress Test Financial Analysis'!$D$5),$B139)</f>
        <v>0.06</v>
      </c>
      <c r="C140" s="114">
        <f t="shared" si="12"/>
        <v>138</v>
      </c>
      <c r="D140" s="112">
        <f t="shared" si="14"/>
        <v>0</v>
      </c>
      <c r="E140" s="112">
        <f>IF(OR(D140&lt;=0,C140&gt;'Stress Test Inputs'!$B$23*12),0,IF(AND(C140='Stress Test Inputs'!$B$23*12,'Stress Test Inputs'!$E$23&gt;'Stress Test Inputs'!$B$23),D140+D140*B140/12,IF('Stress Test Inputs'!$C$23="FRM",-PMT($B$3/12,'Stress Test Inputs'!$E$23*12,$D$3),IF($A140,-PMT(B140/12,('Stress Test Inputs'!$E$23*12)-C140+1,D140),E139))))</f>
        <v>0</v>
      </c>
      <c r="F140" s="112">
        <f t="shared" si="11"/>
        <v>0</v>
      </c>
      <c r="G140" s="112">
        <f>IF(C140&gt;'Stress Test Inputs'!$B$23*12,0,D140*B140/12)</f>
        <v>0</v>
      </c>
      <c r="H140" s="112">
        <f t="shared" si="10"/>
        <v>0</v>
      </c>
      <c r="I140" s="112">
        <f t="shared" si="13"/>
        <v>0</v>
      </c>
      <c r="J140" s="111"/>
    </row>
    <row r="141" spans="1:10" x14ac:dyDescent="0.25">
      <c r="A141" s="107" t="b">
        <f>IF(('Stress Test Inputs'!$C$23)="FRM", FALSE, ISNUMBER(MATCH(C141,'Stress Test Inputs'!$M$18:$M$30,0)))</f>
        <v>0</v>
      </c>
      <c r="B141" s="116">
        <f>IF($A141, (_xlfn.XLOOKUP(C141,'Stress Test Inputs'!$M$17:$M$29,'Stress Test Inputs'!$N$17:$N$29)+'Stress Test Financial Analysis'!$D$5),$B140)</f>
        <v>0.06</v>
      </c>
      <c r="C141" s="114">
        <f t="shared" si="12"/>
        <v>139</v>
      </c>
      <c r="D141" s="112">
        <f t="shared" si="14"/>
        <v>0</v>
      </c>
      <c r="E141" s="112">
        <f>IF(OR(D141&lt;=0,C141&gt;'Stress Test Inputs'!$B$23*12),0,IF(AND(C141='Stress Test Inputs'!$B$23*12,'Stress Test Inputs'!$E$23&gt;'Stress Test Inputs'!$B$23),D141+D141*B141/12,IF('Stress Test Inputs'!$C$23="FRM",-PMT($B$3/12,'Stress Test Inputs'!$E$23*12,$D$3),IF($A141,-PMT(B141/12,('Stress Test Inputs'!$E$23*12)-C141+1,D141),E140))))</f>
        <v>0</v>
      </c>
      <c r="F141" s="112">
        <f t="shared" si="11"/>
        <v>0</v>
      </c>
      <c r="G141" s="112">
        <f>IF(C141&gt;'Stress Test Inputs'!$B$23*12,0,D141*B141/12)</f>
        <v>0</v>
      </c>
      <c r="H141" s="112">
        <f t="shared" si="10"/>
        <v>0</v>
      </c>
      <c r="I141" s="112">
        <f t="shared" si="13"/>
        <v>0</v>
      </c>
      <c r="J141" s="111"/>
    </row>
    <row r="142" spans="1:10" x14ac:dyDescent="0.25">
      <c r="A142" s="107" t="b">
        <f>IF(('Stress Test Inputs'!$C$23)="FRM", FALSE, ISNUMBER(MATCH(C142,'Stress Test Inputs'!$M$18:$M$30,0)))</f>
        <v>0</v>
      </c>
      <c r="B142" s="116">
        <f>IF($A142, (_xlfn.XLOOKUP(C142,'Stress Test Inputs'!$M$17:$M$29,'Stress Test Inputs'!$N$17:$N$29)+'Stress Test Financial Analysis'!$D$5),$B141)</f>
        <v>0.06</v>
      </c>
      <c r="C142" s="114">
        <f t="shared" si="12"/>
        <v>140</v>
      </c>
      <c r="D142" s="112">
        <f t="shared" si="14"/>
        <v>0</v>
      </c>
      <c r="E142" s="112">
        <f>IF(OR(D142&lt;=0,C142&gt;'Stress Test Inputs'!$B$23*12),0,IF(AND(C142='Stress Test Inputs'!$B$23*12,'Stress Test Inputs'!$E$23&gt;'Stress Test Inputs'!$B$23),D142+D142*B142/12,IF('Stress Test Inputs'!$C$23="FRM",-PMT($B$3/12,'Stress Test Inputs'!$E$23*12,$D$3),IF($A142,-PMT(B142/12,('Stress Test Inputs'!$E$23*12)-C142+1,D142),E141))))</f>
        <v>0</v>
      </c>
      <c r="F142" s="112">
        <f t="shared" si="11"/>
        <v>0</v>
      </c>
      <c r="G142" s="112">
        <f>IF(C142&gt;'Stress Test Inputs'!$B$23*12,0,D142*B142/12)</f>
        <v>0</v>
      </c>
      <c r="H142" s="112">
        <f t="shared" si="10"/>
        <v>0</v>
      </c>
      <c r="I142" s="112">
        <f t="shared" si="13"/>
        <v>0</v>
      </c>
      <c r="J142" s="111"/>
    </row>
    <row r="143" spans="1:10" x14ac:dyDescent="0.25">
      <c r="A143" s="107" t="b">
        <f>IF(('Stress Test Inputs'!$C$23)="FRM", FALSE, ISNUMBER(MATCH(C143,'Stress Test Inputs'!$M$18:$M$30,0)))</f>
        <v>0</v>
      </c>
      <c r="B143" s="116">
        <f>IF($A143, (_xlfn.XLOOKUP(C143,'Stress Test Inputs'!$M$17:$M$29,'Stress Test Inputs'!$N$17:$N$29)+'Stress Test Financial Analysis'!$D$5),$B142)</f>
        <v>0.06</v>
      </c>
      <c r="C143" s="114">
        <f t="shared" si="12"/>
        <v>141</v>
      </c>
      <c r="D143" s="112">
        <f t="shared" si="14"/>
        <v>0</v>
      </c>
      <c r="E143" s="112">
        <f>IF(OR(D143&lt;=0,C143&gt;'Stress Test Inputs'!$B$23*12),0,IF(AND(C143='Stress Test Inputs'!$B$23*12,'Stress Test Inputs'!$E$23&gt;'Stress Test Inputs'!$B$23),D143+D143*B143/12,IF('Stress Test Inputs'!$C$23="FRM",-PMT($B$3/12,'Stress Test Inputs'!$E$23*12,$D$3),IF($A143,-PMT(B143/12,('Stress Test Inputs'!$E$23*12)-C143+1,D143),E142))))</f>
        <v>0</v>
      </c>
      <c r="F143" s="112">
        <f t="shared" si="11"/>
        <v>0</v>
      </c>
      <c r="G143" s="112">
        <f>IF(C143&gt;'Stress Test Inputs'!$B$23*12,0,D143*B143/12)</f>
        <v>0</v>
      </c>
      <c r="H143" s="112">
        <f t="shared" si="10"/>
        <v>0</v>
      </c>
      <c r="I143" s="112">
        <f t="shared" si="13"/>
        <v>0</v>
      </c>
      <c r="J143" s="111"/>
    </row>
    <row r="144" spans="1:10" x14ac:dyDescent="0.25">
      <c r="A144" s="107" t="b">
        <f>IF(('Stress Test Inputs'!$C$23)="FRM", FALSE, ISNUMBER(MATCH(C144,'Stress Test Inputs'!$M$18:$M$30,0)))</f>
        <v>0</v>
      </c>
      <c r="B144" s="116">
        <f>IF($A144, (_xlfn.XLOOKUP(C144,'Stress Test Inputs'!$M$17:$M$29,'Stress Test Inputs'!$N$17:$N$29)+'Stress Test Financial Analysis'!$D$5),$B143)</f>
        <v>0.06</v>
      </c>
      <c r="C144" s="114">
        <f t="shared" si="12"/>
        <v>142</v>
      </c>
      <c r="D144" s="112">
        <f t="shared" si="14"/>
        <v>0</v>
      </c>
      <c r="E144" s="112">
        <f>IF(OR(D144&lt;=0,C144&gt;'Stress Test Inputs'!$B$23*12),0,IF(AND(C144='Stress Test Inputs'!$B$23*12,'Stress Test Inputs'!$E$23&gt;'Stress Test Inputs'!$B$23),D144+D144*B144/12,IF('Stress Test Inputs'!$C$23="FRM",-PMT($B$3/12,'Stress Test Inputs'!$E$23*12,$D$3),IF($A144,-PMT(B144/12,('Stress Test Inputs'!$E$23*12)-C144+1,D144),E143))))</f>
        <v>0</v>
      </c>
      <c r="F144" s="112">
        <f t="shared" si="11"/>
        <v>0</v>
      </c>
      <c r="G144" s="112">
        <f>IF(C144&gt;'Stress Test Inputs'!$B$23*12,0,D144*B144/12)</f>
        <v>0</v>
      </c>
      <c r="H144" s="112">
        <f t="shared" si="10"/>
        <v>0</v>
      </c>
      <c r="I144" s="112">
        <f t="shared" si="13"/>
        <v>0</v>
      </c>
      <c r="J144" s="111"/>
    </row>
    <row r="145" spans="1:10" x14ac:dyDescent="0.25">
      <c r="A145" s="107" t="b">
        <f>IF(('Stress Test Inputs'!$C$23)="FRM", FALSE, ISNUMBER(MATCH(C145,'Stress Test Inputs'!$M$18:$M$30,0)))</f>
        <v>0</v>
      </c>
      <c r="B145" s="116">
        <f>IF($A145, (_xlfn.XLOOKUP(C145,'Stress Test Inputs'!$M$17:$M$29,'Stress Test Inputs'!$N$17:$N$29)+'Stress Test Financial Analysis'!$D$5),$B144)</f>
        <v>0.06</v>
      </c>
      <c r="C145" s="114">
        <f t="shared" si="12"/>
        <v>143</v>
      </c>
      <c r="D145" s="112">
        <f t="shared" si="14"/>
        <v>0</v>
      </c>
      <c r="E145" s="112">
        <f>IF(OR(D145&lt;=0,C145&gt;'Stress Test Inputs'!$B$23*12),0,IF(AND(C145='Stress Test Inputs'!$B$23*12,'Stress Test Inputs'!$E$23&gt;'Stress Test Inputs'!$B$23),D145+D145*B145/12,IF('Stress Test Inputs'!$C$23="FRM",-PMT($B$3/12,'Stress Test Inputs'!$E$23*12,$D$3),IF($A145,-PMT(B145/12,('Stress Test Inputs'!$E$23*12)-C145+1,D145),E144))))</f>
        <v>0</v>
      </c>
      <c r="F145" s="112">
        <f t="shared" si="11"/>
        <v>0</v>
      </c>
      <c r="G145" s="112">
        <f>IF(C145&gt;'Stress Test Inputs'!$B$23*12,0,D145*B145/12)</f>
        <v>0</v>
      </c>
      <c r="H145" s="112">
        <f t="shared" si="10"/>
        <v>0</v>
      </c>
      <c r="I145" s="112">
        <f t="shared" si="13"/>
        <v>0</v>
      </c>
      <c r="J145" s="111"/>
    </row>
    <row r="146" spans="1:10" x14ac:dyDescent="0.25">
      <c r="A146" s="107" t="b">
        <f>IF(('Stress Test Inputs'!$C$23)="FRM", FALSE, ISNUMBER(MATCH(C146,'Stress Test Inputs'!$M$18:$M$30,0)))</f>
        <v>0</v>
      </c>
      <c r="B146" s="116">
        <f>IF($A146, (_xlfn.XLOOKUP(C146,'Stress Test Inputs'!$M$17:$M$29,'Stress Test Inputs'!$N$17:$N$29)+'Stress Test Financial Analysis'!$D$5),$B145)</f>
        <v>0.06</v>
      </c>
      <c r="C146" s="114">
        <f t="shared" si="12"/>
        <v>144</v>
      </c>
      <c r="D146" s="112">
        <f t="shared" si="14"/>
        <v>0</v>
      </c>
      <c r="E146" s="112">
        <f>IF(OR(D146&lt;=0,C146&gt;'Stress Test Inputs'!$B$23*12),0,IF(AND(C146='Stress Test Inputs'!$B$23*12,'Stress Test Inputs'!$E$23&gt;'Stress Test Inputs'!$B$23),D146+D146*B146/12,IF('Stress Test Inputs'!$C$23="FRM",-PMT($B$3/12,'Stress Test Inputs'!$E$23*12,$D$3),IF($A146,-PMT(B146/12,('Stress Test Inputs'!$E$23*12)-C146+1,D146),E145))))</f>
        <v>0</v>
      </c>
      <c r="F146" s="112">
        <f t="shared" si="11"/>
        <v>0</v>
      </c>
      <c r="G146" s="112">
        <f>IF(C146&gt;'Stress Test Inputs'!$B$23*12,0,D146*B146/12)</f>
        <v>0</v>
      </c>
      <c r="H146" s="112">
        <f t="shared" si="10"/>
        <v>0</v>
      </c>
      <c r="I146" s="112">
        <f t="shared" si="13"/>
        <v>0</v>
      </c>
      <c r="J146" s="111"/>
    </row>
    <row r="147" spans="1:10" x14ac:dyDescent="0.25">
      <c r="A147" s="107" t="b">
        <f>IF(('Stress Test Inputs'!$C$23)="FRM", FALSE, ISNUMBER(MATCH(C147,'Stress Test Inputs'!$M$18:$M$30,0)))</f>
        <v>0</v>
      </c>
      <c r="B147" s="116">
        <f>IF($A147, (_xlfn.XLOOKUP(C147,'Stress Test Inputs'!$M$17:$M$29,'Stress Test Inputs'!$N$17:$N$29)+'Stress Test Financial Analysis'!$D$5),$B146)</f>
        <v>0.06</v>
      </c>
      <c r="C147" s="114">
        <f t="shared" si="12"/>
        <v>145</v>
      </c>
      <c r="D147" s="112">
        <f t="shared" si="14"/>
        <v>0</v>
      </c>
      <c r="E147" s="112">
        <f>IF(OR(D147&lt;=0,C147&gt;'Stress Test Inputs'!$B$23*12),0,IF(AND(C147='Stress Test Inputs'!$B$23*12,'Stress Test Inputs'!$E$23&gt;'Stress Test Inputs'!$B$23),D147+D147*B147/12,IF('Stress Test Inputs'!$C$23="FRM",-PMT($B$3/12,'Stress Test Inputs'!$E$23*12,$D$3),IF($A147,-PMT(B147/12,('Stress Test Inputs'!$E$23*12)-C147+1,D147),E146))))</f>
        <v>0</v>
      </c>
      <c r="F147" s="112">
        <f t="shared" si="11"/>
        <v>0</v>
      </c>
      <c r="G147" s="112">
        <f>IF(C147&gt;'Stress Test Inputs'!$B$23*12,0,D147*B147/12)</f>
        <v>0</v>
      </c>
      <c r="H147" s="112">
        <f t="shared" si="10"/>
        <v>0</v>
      </c>
      <c r="I147" s="112">
        <f t="shared" si="13"/>
        <v>0</v>
      </c>
      <c r="J147" s="111"/>
    </row>
    <row r="148" spans="1:10" x14ac:dyDescent="0.25">
      <c r="A148" s="107" t="b">
        <f>IF(('Stress Test Inputs'!$C$23)="FRM", FALSE, ISNUMBER(MATCH(C148,'Stress Test Inputs'!$M$18:$M$30,0)))</f>
        <v>0</v>
      </c>
      <c r="B148" s="116">
        <f>IF($A148, (_xlfn.XLOOKUP(C148,'Stress Test Inputs'!$M$17:$M$29,'Stress Test Inputs'!$N$17:$N$29)+'Stress Test Financial Analysis'!$D$5),$B147)</f>
        <v>0.06</v>
      </c>
      <c r="C148" s="114">
        <f t="shared" si="12"/>
        <v>146</v>
      </c>
      <c r="D148" s="112">
        <f t="shared" si="14"/>
        <v>0</v>
      </c>
      <c r="E148" s="112">
        <f>IF(OR(D148&lt;=0,C148&gt;'Stress Test Inputs'!$B$23*12),0,IF(AND(C148='Stress Test Inputs'!$B$23*12,'Stress Test Inputs'!$E$23&gt;'Stress Test Inputs'!$B$23),D148+D148*B148/12,IF('Stress Test Inputs'!$C$23="FRM",-PMT($B$3/12,'Stress Test Inputs'!$E$23*12,$D$3),IF($A148,-PMT(B148/12,('Stress Test Inputs'!$E$23*12)-C148+1,D148),E147))))</f>
        <v>0</v>
      </c>
      <c r="F148" s="112">
        <f t="shared" si="11"/>
        <v>0</v>
      </c>
      <c r="G148" s="112">
        <f>IF(C148&gt;'Stress Test Inputs'!$B$23*12,0,D148*B148/12)</f>
        <v>0</v>
      </c>
      <c r="H148" s="112">
        <f t="shared" si="10"/>
        <v>0</v>
      </c>
      <c r="I148" s="112">
        <f t="shared" si="13"/>
        <v>0</v>
      </c>
      <c r="J148" s="111"/>
    </row>
    <row r="149" spans="1:10" x14ac:dyDescent="0.25">
      <c r="A149" s="107" t="b">
        <f>IF(('Stress Test Inputs'!$C$23)="FRM", FALSE, ISNUMBER(MATCH(C149,'Stress Test Inputs'!$M$18:$M$30,0)))</f>
        <v>0</v>
      </c>
      <c r="B149" s="116">
        <f>IF($A149, (_xlfn.XLOOKUP(C149,'Stress Test Inputs'!$M$17:$M$29,'Stress Test Inputs'!$N$17:$N$29)+'Stress Test Financial Analysis'!$D$5),$B148)</f>
        <v>0.06</v>
      </c>
      <c r="C149" s="114">
        <f t="shared" si="12"/>
        <v>147</v>
      </c>
      <c r="D149" s="112">
        <f t="shared" si="14"/>
        <v>0</v>
      </c>
      <c r="E149" s="112">
        <f>IF(OR(D149&lt;=0,C149&gt;'Stress Test Inputs'!$B$23*12),0,IF(AND(C149='Stress Test Inputs'!$B$23*12,'Stress Test Inputs'!$E$23&gt;'Stress Test Inputs'!$B$23),D149+D149*B149/12,IF('Stress Test Inputs'!$C$23="FRM",-PMT($B$3/12,'Stress Test Inputs'!$E$23*12,$D$3),IF($A149,-PMT(B149/12,('Stress Test Inputs'!$E$23*12)-C149+1,D149),E148))))</f>
        <v>0</v>
      </c>
      <c r="F149" s="112">
        <f t="shared" si="11"/>
        <v>0</v>
      </c>
      <c r="G149" s="112">
        <f>IF(C149&gt;'Stress Test Inputs'!$B$23*12,0,D149*B149/12)</f>
        <v>0</v>
      </c>
      <c r="H149" s="112">
        <f t="shared" si="10"/>
        <v>0</v>
      </c>
      <c r="I149" s="112">
        <f t="shared" si="13"/>
        <v>0</v>
      </c>
      <c r="J149" s="111"/>
    </row>
    <row r="150" spans="1:10" x14ac:dyDescent="0.25">
      <c r="A150" s="107" t="b">
        <f>IF(('Stress Test Inputs'!$C$23)="FRM", FALSE, ISNUMBER(MATCH(C150,'Stress Test Inputs'!$M$18:$M$30,0)))</f>
        <v>0</v>
      </c>
      <c r="B150" s="116">
        <f>IF($A150, (_xlfn.XLOOKUP(C150,'Stress Test Inputs'!$M$17:$M$29,'Stress Test Inputs'!$N$17:$N$29)+'Stress Test Financial Analysis'!$D$5),$B149)</f>
        <v>0.06</v>
      </c>
      <c r="C150" s="114">
        <f t="shared" si="12"/>
        <v>148</v>
      </c>
      <c r="D150" s="112">
        <f t="shared" si="14"/>
        <v>0</v>
      </c>
      <c r="E150" s="112">
        <f>IF(OR(D150&lt;=0,C150&gt;'Stress Test Inputs'!$B$23*12),0,IF(AND(C150='Stress Test Inputs'!$B$23*12,'Stress Test Inputs'!$E$23&gt;'Stress Test Inputs'!$B$23),D150+D150*B150/12,IF('Stress Test Inputs'!$C$23="FRM",-PMT($B$3/12,'Stress Test Inputs'!$E$23*12,$D$3),IF($A150,-PMT(B150/12,('Stress Test Inputs'!$E$23*12)-C150+1,D150),E149))))</f>
        <v>0</v>
      </c>
      <c r="F150" s="112">
        <f t="shared" si="11"/>
        <v>0</v>
      </c>
      <c r="G150" s="112">
        <f>IF(C150&gt;'Stress Test Inputs'!$B$23*12,0,D150*B150/12)</f>
        <v>0</v>
      </c>
      <c r="H150" s="112">
        <f t="shared" si="10"/>
        <v>0</v>
      </c>
      <c r="I150" s="112">
        <f t="shared" si="13"/>
        <v>0</v>
      </c>
      <c r="J150" s="111"/>
    </row>
    <row r="151" spans="1:10" x14ac:dyDescent="0.25">
      <c r="A151" s="107" t="b">
        <f>IF(('Stress Test Inputs'!$C$23)="FRM", FALSE, ISNUMBER(MATCH(C151,'Stress Test Inputs'!$M$18:$M$30,0)))</f>
        <v>0</v>
      </c>
      <c r="B151" s="116">
        <f>IF($A151, (_xlfn.XLOOKUP(C151,'Stress Test Inputs'!$M$17:$M$29,'Stress Test Inputs'!$N$17:$N$29)+'Stress Test Financial Analysis'!$D$5),$B150)</f>
        <v>0.06</v>
      </c>
      <c r="C151" s="114">
        <f t="shared" si="12"/>
        <v>149</v>
      </c>
      <c r="D151" s="112">
        <f t="shared" si="14"/>
        <v>0</v>
      </c>
      <c r="E151" s="112">
        <f>IF(OR(D151&lt;=0,C151&gt;'Stress Test Inputs'!$B$23*12),0,IF(AND(C151='Stress Test Inputs'!$B$23*12,'Stress Test Inputs'!$E$23&gt;'Stress Test Inputs'!$B$23),D151+D151*B151/12,IF('Stress Test Inputs'!$C$23="FRM",-PMT($B$3/12,'Stress Test Inputs'!$E$23*12,$D$3),IF($A151,-PMT(B151/12,('Stress Test Inputs'!$E$23*12)-C151+1,D151),E150))))</f>
        <v>0</v>
      </c>
      <c r="F151" s="112">
        <f t="shared" si="11"/>
        <v>0</v>
      </c>
      <c r="G151" s="112">
        <f>IF(C151&gt;'Stress Test Inputs'!$B$23*12,0,D151*B151/12)</f>
        <v>0</v>
      </c>
      <c r="H151" s="112">
        <f t="shared" si="10"/>
        <v>0</v>
      </c>
      <c r="I151" s="112">
        <f t="shared" si="13"/>
        <v>0</v>
      </c>
      <c r="J151" s="111"/>
    </row>
    <row r="152" spans="1:10" x14ac:dyDescent="0.25">
      <c r="A152" s="107" t="b">
        <f>IF(('Stress Test Inputs'!$C$23)="FRM", FALSE, ISNUMBER(MATCH(C152,'Stress Test Inputs'!$M$18:$M$30,0)))</f>
        <v>0</v>
      </c>
      <c r="B152" s="116">
        <f>IF($A152, (_xlfn.XLOOKUP(C152,'Stress Test Inputs'!$M$17:$M$29,'Stress Test Inputs'!$N$17:$N$29)+'Stress Test Financial Analysis'!$D$5),$B151)</f>
        <v>0.06</v>
      </c>
      <c r="C152" s="114">
        <f t="shared" si="12"/>
        <v>150</v>
      </c>
      <c r="D152" s="112">
        <f t="shared" si="14"/>
        <v>0</v>
      </c>
      <c r="E152" s="112">
        <f>IF(OR(D152&lt;=0,C152&gt;'Stress Test Inputs'!$B$23*12),0,IF(AND(C152='Stress Test Inputs'!$B$23*12,'Stress Test Inputs'!$E$23&gt;'Stress Test Inputs'!$B$23),D152+D152*B152/12,IF('Stress Test Inputs'!$C$23="FRM",-PMT($B$3/12,'Stress Test Inputs'!$E$23*12,$D$3),IF($A152,-PMT(B152/12,('Stress Test Inputs'!$E$23*12)-C152+1,D152),E151))))</f>
        <v>0</v>
      </c>
      <c r="F152" s="112">
        <f t="shared" si="11"/>
        <v>0</v>
      </c>
      <c r="G152" s="112">
        <f>IF(C152&gt;'Stress Test Inputs'!$B$23*12,0,D152*B152/12)</f>
        <v>0</v>
      </c>
      <c r="H152" s="112">
        <f t="shared" si="10"/>
        <v>0</v>
      </c>
      <c r="I152" s="112">
        <f t="shared" si="13"/>
        <v>0</v>
      </c>
      <c r="J152" s="111"/>
    </row>
    <row r="153" spans="1:10" x14ac:dyDescent="0.25">
      <c r="A153" s="107" t="b">
        <f>IF(('Stress Test Inputs'!$C$23)="FRM", FALSE, ISNUMBER(MATCH(C153,'Stress Test Inputs'!$M$18:$M$30,0)))</f>
        <v>0</v>
      </c>
      <c r="B153" s="116">
        <f>IF($A153, (_xlfn.XLOOKUP(C153,'Stress Test Inputs'!$M$17:$M$29,'Stress Test Inputs'!$N$17:$N$29)+'Stress Test Financial Analysis'!$D$5),$B152)</f>
        <v>0.06</v>
      </c>
      <c r="C153" s="114">
        <f t="shared" si="12"/>
        <v>151</v>
      </c>
      <c r="D153" s="112">
        <f t="shared" si="14"/>
        <v>0</v>
      </c>
      <c r="E153" s="112">
        <f>IF(OR(D153&lt;=0,C153&gt;'Stress Test Inputs'!$B$23*12),0,IF(AND(C153='Stress Test Inputs'!$B$23*12,'Stress Test Inputs'!$E$23&gt;'Stress Test Inputs'!$B$23),D153+D153*B153/12,IF('Stress Test Inputs'!$C$23="FRM",-PMT($B$3/12,'Stress Test Inputs'!$E$23*12,$D$3),IF($A153,-PMT(B153/12,('Stress Test Inputs'!$E$23*12)-C153+1,D153),E152))))</f>
        <v>0</v>
      </c>
      <c r="F153" s="112">
        <f t="shared" si="11"/>
        <v>0</v>
      </c>
      <c r="G153" s="112">
        <f>IF(C153&gt;'Stress Test Inputs'!$B$23*12,0,D153*B153/12)</f>
        <v>0</v>
      </c>
      <c r="H153" s="112">
        <f t="shared" si="10"/>
        <v>0</v>
      </c>
      <c r="I153" s="112">
        <f t="shared" si="13"/>
        <v>0</v>
      </c>
      <c r="J153" s="111"/>
    </row>
    <row r="154" spans="1:10" x14ac:dyDescent="0.25">
      <c r="A154" s="107" t="b">
        <f>IF(('Stress Test Inputs'!$C$23)="FRM", FALSE, ISNUMBER(MATCH(C154,'Stress Test Inputs'!$M$18:$M$30,0)))</f>
        <v>0</v>
      </c>
      <c r="B154" s="116">
        <f>IF($A154, (_xlfn.XLOOKUP(C154,'Stress Test Inputs'!$M$17:$M$29,'Stress Test Inputs'!$N$17:$N$29)+'Stress Test Financial Analysis'!$D$5),$B153)</f>
        <v>0.06</v>
      </c>
      <c r="C154" s="114">
        <f t="shared" si="12"/>
        <v>152</v>
      </c>
      <c r="D154" s="112">
        <f t="shared" si="14"/>
        <v>0</v>
      </c>
      <c r="E154" s="112">
        <f>IF(OR(D154&lt;=0,C154&gt;'Stress Test Inputs'!$B$23*12),0,IF(AND(C154='Stress Test Inputs'!$B$23*12,'Stress Test Inputs'!$E$23&gt;'Stress Test Inputs'!$B$23),D154+D154*B154/12,IF('Stress Test Inputs'!$C$23="FRM",-PMT($B$3/12,'Stress Test Inputs'!$E$23*12,$D$3),IF($A154,-PMT(B154/12,('Stress Test Inputs'!$E$23*12)-C154+1,D154),E153))))</f>
        <v>0</v>
      </c>
      <c r="F154" s="112">
        <f t="shared" si="11"/>
        <v>0</v>
      </c>
      <c r="G154" s="112">
        <f>IF(C154&gt;'Stress Test Inputs'!$B$23*12,0,D154*B154/12)</f>
        <v>0</v>
      </c>
      <c r="H154" s="112">
        <f t="shared" si="10"/>
        <v>0</v>
      </c>
      <c r="I154" s="112">
        <f t="shared" si="13"/>
        <v>0</v>
      </c>
      <c r="J154" s="111"/>
    </row>
    <row r="155" spans="1:10" x14ac:dyDescent="0.25">
      <c r="A155" s="107" t="b">
        <f>IF(('Stress Test Inputs'!$C$23)="FRM", FALSE, ISNUMBER(MATCH(C155,'Stress Test Inputs'!$M$18:$M$30,0)))</f>
        <v>0</v>
      </c>
      <c r="B155" s="116">
        <f>IF($A155, (_xlfn.XLOOKUP(C155,'Stress Test Inputs'!$M$17:$M$29,'Stress Test Inputs'!$N$17:$N$29)+'Stress Test Financial Analysis'!$D$5),$B154)</f>
        <v>0.06</v>
      </c>
      <c r="C155" s="114">
        <f t="shared" si="12"/>
        <v>153</v>
      </c>
      <c r="D155" s="112">
        <f t="shared" si="14"/>
        <v>0</v>
      </c>
      <c r="E155" s="112">
        <f>IF(OR(D155&lt;=0,C155&gt;'Stress Test Inputs'!$B$23*12),0,IF(AND(C155='Stress Test Inputs'!$B$23*12,'Stress Test Inputs'!$E$23&gt;'Stress Test Inputs'!$B$23),D155+D155*B155/12,IF('Stress Test Inputs'!$C$23="FRM",-PMT($B$3/12,'Stress Test Inputs'!$E$23*12,$D$3),IF($A155,-PMT(B155/12,('Stress Test Inputs'!$E$23*12)-C155+1,D155),E154))))</f>
        <v>0</v>
      </c>
      <c r="F155" s="112">
        <f t="shared" si="11"/>
        <v>0</v>
      </c>
      <c r="G155" s="112">
        <f>IF(C155&gt;'Stress Test Inputs'!$B$23*12,0,D155*B155/12)</f>
        <v>0</v>
      </c>
      <c r="H155" s="112">
        <f t="shared" si="10"/>
        <v>0</v>
      </c>
      <c r="I155" s="112">
        <f t="shared" si="13"/>
        <v>0</v>
      </c>
      <c r="J155" s="111"/>
    </row>
    <row r="156" spans="1:10" x14ac:dyDescent="0.25">
      <c r="A156" s="107" t="b">
        <f>IF(('Stress Test Inputs'!$C$23)="FRM", FALSE, ISNUMBER(MATCH(C156,'Stress Test Inputs'!$M$18:$M$30,0)))</f>
        <v>0</v>
      </c>
      <c r="B156" s="116">
        <f>IF($A156, (_xlfn.XLOOKUP(C156,'Stress Test Inputs'!$M$17:$M$29,'Stress Test Inputs'!$N$17:$N$29)+'Stress Test Financial Analysis'!$D$5),$B155)</f>
        <v>0.06</v>
      </c>
      <c r="C156" s="114">
        <f t="shared" si="12"/>
        <v>154</v>
      </c>
      <c r="D156" s="112">
        <f t="shared" si="14"/>
        <v>0</v>
      </c>
      <c r="E156" s="112">
        <f>IF(OR(D156&lt;=0,C156&gt;'Stress Test Inputs'!$B$23*12),0,IF(AND(C156='Stress Test Inputs'!$B$23*12,'Stress Test Inputs'!$E$23&gt;'Stress Test Inputs'!$B$23),D156+D156*B156/12,IF('Stress Test Inputs'!$C$23="FRM",-PMT($B$3/12,'Stress Test Inputs'!$E$23*12,$D$3),IF($A156,-PMT(B156/12,('Stress Test Inputs'!$E$23*12)-C156+1,D156),E155))))</f>
        <v>0</v>
      </c>
      <c r="F156" s="112">
        <f t="shared" si="11"/>
        <v>0</v>
      </c>
      <c r="G156" s="112">
        <f>IF(C156&gt;'Stress Test Inputs'!$B$23*12,0,D156*B156/12)</f>
        <v>0</v>
      </c>
      <c r="H156" s="112">
        <f t="shared" si="10"/>
        <v>0</v>
      </c>
      <c r="I156" s="112">
        <f t="shared" si="13"/>
        <v>0</v>
      </c>
      <c r="J156" s="111"/>
    </row>
    <row r="157" spans="1:10" x14ac:dyDescent="0.25">
      <c r="A157" s="107" t="b">
        <f>IF(('Stress Test Inputs'!$C$23)="FRM", FALSE, ISNUMBER(MATCH(C157,'Stress Test Inputs'!$M$18:$M$30,0)))</f>
        <v>0</v>
      </c>
      <c r="B157" s="116">
        <f>IF($A157, (_xlfn.XLOOKUP(C157,'Stress Test Inputs'!$M$17:$M$29,'Stress Test Inputs'!$N$17:$N$29)+'Stress Test Financial Analysis'!$D$5),$B156)</f>
        <v>0.06</v>
      </c>
      <c r="C157" s="114">
        <f t="shared" si="12"/>
        <v>155</v>
      </c>
      <c r="D157" s="112">
        <f t="shared" si="14"/>
        <v>0</v>
      </c>
      <c r="E157" s="112">
        <f>IF(OR(D157&lt;=0,C157&gt;'Stress Test Inputs'!$B$23*12),0,IF(AND(C157='Stress Test Inputs'!$B$23*12,'Stress Test Inputs'!$E$23&gt;'Stress Test Inputs'!$B$23),D157+D157*B157/12,IF('Stress Test Inputs'!$C$23="FRM",-PMT($B$3/12,'Stress Test Inputs'!$E$23*12,$D$3),IF($A157,-PMT(B157/12,('Stress Test Inputs'!$E$23*12)-C157+1,D157),E156))))</f>
        <v>0</v>
      </c>
      <c r="F157" s="112">
        <f t="shared" si="11"/>
        <v>0</v>
      </c>
      <c r="G157" s="112">
        <f>IF(C157&gt;'Stress Test Inputs'!$B$23*12,0,D157*B157/12)</f>
        <v>0</v>
      </c>
      <c r="H157" s="112">
        <f t="shared" si="10"/>
        <v>0</v>
      </c>
      <c r="I157" s="112">
        <f t="shared" si="13"/>
        <v>0</v>
      </c>
      <c r="J157" s="111"/>
    </row>
    <row r="158" spans="1:10" x14ac:dyDescent="0.25">
      <c r="A158" s="107" t="b">
        <f>IF(('Stress Test Inputs'!$C$23)="FRM", FALSE, ISNUMBER(MATCH(C158,'Stress Test Inputs'!$M$18:$M$30,0)))</f>
        <v>0</v>
      </c>
      <c r="B158" s="116">
        <f>IF($A158, (_xlfn.XLOOKUP(C158,'Stress Test Inputs'!$M$17:$M$29,'Stress Test Inputs'!$N$17:$N$29)+'Stress Test Financial Analysis'!$D$5),$B157)</f>
        <v>0.06</v>
      </c>
      <c r="C158" s="114">
        <f t="shared" si="12"/>
        <v>156</v>
      </c>
      <c r="D158" s="112">
        <f t="shared" si="14"/>
        <v>0</v>
      </c>
      <c r="E158" s="112">
        <f>IF(OR(D158&lt;=0,C158&gt;'Stress Test Inputs'!$B$23*12),0,IF(AND(C158='Stress Test Inputs'!$B$23*12,'Stress Test Inputs'!$E$23&gt;'Stress Test Inputs'!$B$23),D158+D158*B158/12,IF('Stress Test Inputs'!$C$23="FRM",-PMT($B$3/12,'Stress Test Inputs'!$E$23*12,$D$3),IF($A158,-PMT(B158/12,('Stress Test Inputs'!$E$23*12)-C158+1,D158),E157))))</f>
        <v>0</v>
      </c>
      <c r="F158" s="112">
        <f t="shared" si="11"/>
        <v>0</v>
      </c>
      <c r="G158" s="112">
        <f>IF(C158&gt;'Stress Test Inputs'!$B$23*12,0,D158*B158/12)</f>
        <v>0</v>
      </c>
      <c r="H158" s="112">
        <f t="shared" si="10"/>
        <v>0</v>
      </c>
      <c r="I158" s="112">
        <f t="shared" si="13"/>
        <v>0</v>
      </c>
      <c r="J158" s="111"/>
    </row>
    <row r="159" spans="1:10" x14ac:dyDescent="0.25">
      <c r="A159" s="107" t="b">
        <f>IF(('Stress Test Inputs'!$C$23)="FRM", FALSE, ISNUMBER(MATCH(C159,'Stress Test Inputs'!$M$18:$M$30,0)))</f>
        <v>0</v>
      </c>
      <c r="B159" s="116">
        <f>IF($A159, (_xlfn.XLOOKUP(C159,'Stress Test Inputs'!$M$17:$M$29,'Stress Test Inputs'!$N$17:$N$29)+'Stress Test Financial Analysis'!$D$5),$B158)</f>
        <v>0.06</v>
      </c>
      <c r="C159" s="114">
        <f t="shared" si="12"/>
        <v>157</v>
      </c>
      <c r="D159" s="112">
        <f t="shared" si="14"/>
        <v>0</v>
      </c>
      <c r="E159" s="112">
        <f>IF(OR(D159&lt;=0,C159&gt;'Stress Test Inputs'!$B$23*12),0,IF(AND(C159='Stress Test Inputs'!$B$23*12,'Stress Test Inputs'!$E$23&gt;'Stress Test Inputs'!$B$23),D159+D159*B159/12,IF('Stress Test Inputs'!$C$23="FRM",-PMT($B$3/12,'Stress Test Inputs'!$E$23*12,$D$3),IF($A159,-PMT(B159/12,('Stress Test Inputs'!$E$23*12)-C159+1,D159),E158))))</f>
        <v>0</v>
      </c>
      <c r="F159" s="112">
        <f t="shared" si="11"/>
        <v>0</v>
      </c>
      <c r="G159" s="112">
        <f>IF(C159&gt;'Stress Test Inputs'!$B$23*12,0,D159*B159/12)</f>
        <v>0</v>
      </c>
      <c r="H159" s="112">
        <f t="shared" si="10"/>
        <v>0</v>
      </c>
      <c r="I159" s="112">
        <f t="shared" si="13"/>
        <v>0</v>
      </c>
      <c r="J159" s="111"/>
    </row>
    <row r="160" spans="1:10" x14ac:dyDescent="0.25">
      <c r="A160" s="107" t="b">
        <f>IF(('Stress Test Inputs'!$C$23)="FRM", FALSE, ISNUMBER(MATCH(C160,'Stress Test Inputs'!$M$18:$M$30,0)))</f>
        <v>0</v>
      </c>
      <c r="B160" s="116">
        <f>IF($A160, (_xlfn.XLOOKUP(C160,'Stress Test Inputs'!$M$17:$M$29,'Stress Test Inputs'!$N$17:$N$29)+'Stress Test Financial Analysis'!$D$5),$B159)</f>
        <v>0.06</v>
      </c>
      <c r="C160" s="114">
        <f t="shared" si="12"/>
        <v>158</v>
      </c>
      <c r="D160" s="112">
        <f t="shared" si="14"/>
        <v>0</v>
      </c>
      <c r="E160" s="112">
        <f>IF(OR(D160&lt;=0,C160&gt;'Stress Test Inputs'!$B$23*12),0,IF(AND(C160='Stress Test Inputs'!$B$23*12,'Stress Test Inputs'!$E$23&gt;'Stress Test Inputs'!$B$23),D160+D160*B160/12,IF('Stress Test Inputs'!$C$23="FRM",-PMT($B$3/12,'Stress Test Inputs'!$E$23*12,$D$3),IF($A160,-PMT(B160/12,('Stress Test Inputs'!$E$23*12)-C160+1,D160),E159))))</f>
        <v>0</v>
      </c>
      <c r="F160" s="112">
        <f t="shared" si="11"/>
        <v>0</v>
      </c>
      <c r="G160" s="112">
        <f>IF(C160&gt;'Stress Test Inputs'!$B$23*12,0,D160*B160/12)</f>
        <v>0</v>
      </c>
      <c r="H160" s="112">
        <f t="shared" si="10"/>
        <v>0</v>
      </c>
      <c r="I160" s="112">
        <f t="shared" si="13"/>
        <v>0</v>
      </c>
      <c r="J160" s="111"/>
    </row>
    <row r="161" spans="1:10" x14ac:dyDescent="0.25">
      <c r="A161" s="107" t="b">
        <f>IF(('Stress Test Inputs'!$C$23)="FRM", FALSE, ISNUMBER(MATCH(C161,'Stress Test Inputs'!$M$18:$M$30,0)))</f>
        <v>0</v>
      </c>
      <c r="B161" s="116">
        <f>IF($A161, (_xlfn.XLOOKUP(C161,'Stress Test Inputs'!$M$17:$M$29,'Stress Test Inputs'!$N$17:$N$29)+'Stress Test Financial Analysis'!$D$5),$B160)</f>
        <v>0.06</v>
      </c>
      <c r="C161" s="114">
        <f t="shared" si="12"/>
        <v>159</v>
      </c>
      <c r="D161" s="112">
        <f t="shared" si="14"/>
        <v>0</v>
      </c>
      <c r="E161" s="112">
        <f>IF(OR(D161&lt;=0,C161&gt;'Stress Test Inputs'!$B$23*12),0,IF(AND(C161='Stress Test Inputs'!$B$23*12,'Stress Test Inputs'!$E$23&gt;'Stress Test Inputs'!$B$23),D161+D161*B161/12,IF('Stress Test Inputs'!$C$23="FRM",-PMT($B$3/12,'Stress Test Inputs'!$E$23*12,$D$3),IF($A161,-PMT(B161/12,('Stress Test Inputs'!$E$23*12)-C161+1,D161),E160))))</f>
        <v>0</v>
      </c>
      <c r="F161" s="112">
        <f t="shared" si="11"/>
        <v>0</v>
      </c>
      <c r="G161" s="112">
        <f>IF(C161&gt;'Stress Test Inputs'!$B$23*12,0,D161*B161/12)</f>
        <v>0</v>
      </c>
      <c r="H161" s="112">
        <f t="shared" si="10"/>
        <v>0</v>
      </c>
      <c r="I161" s="112">
        <f t="shared" si="13"/>
        <v>0</v>
      </c>
      <c r="J161" s="111"/>
    </row>
    <row r="162" spans="1:10" x14ac:dyDescent="0.25">
      <c r="A162" s="107" t="b">
        <f>IF(('Stress Test Inputs'!$C$23)="FRM", FALSE, ISNUMBER(MATCH(C162,'Stress Test Inputs'!$M$18:$M$30,0)))</f>
        <v>0</v>
      </c>
      <c r="B162" s="116">
        <f>IF($A162, (_xlfn.XLOOKUP(C162,'Stress Test Inputs'!$M$17:$M$29,'Stress Test Inputs'!$N$17:$N$29)+'Stress Test Financial Analysis'!$D$5),$B161)</f>
        <v>0.06</v>
      </c>
      <c r="C162" s="114">
        <f t="shared" si="12"/>
        <v>160</v>
      </c>
      <c r="D162" s="112">
        <f t="shared" si="14"/>
        <v>0</v>
      </c>
      <c r="E162" s="112">
        <f>IF(OR(D162&lt;=0,C162&gt;'Stress Test Inputs'!$B$23*12),0,IF(AND(C162='Stress Test Inputs'!$B$23*12,'Stress Test Inputs'!$E$23&gt;'Stress Test Inputs'!$B$23),D162+D162*B162/12,IF('Stress Test Inputs'!$C$23="FRM",-PMT($B$3/12,'Stress Test Inputs'!$E$23*12,$D$3),IF($A162,-PMT(B162/12,('Stress Test Inputs'!$E$23*12)-C162+1,D162),E161))))</f>
        <v>0</v>
      </c>
      <c r="F162" s="112">
        <f t="shared" si="11"/>
        <v>0</v>
      </c>
      <c r="G162" s="112">
        <f>IF(C162&gt;'Stress Test Inputs'!$B$23*12,0,D162*B162/12)</f>
        <v>0</v>
      </c>
      <c r="H162" s="112">
        <f t="shared" si="10"/>
        <v>0</v>
      </c>
      <c r="I162" s="112">
        <f t="shared" si="13"/>
        <v>0</v>
      </c>
      <c r="J162" s="111"/>
    </row>
    <row r="163" spans="1:10" x14ac:dyDescent="0.25">
      <c r="A163" s="107" t="b">
        <f>IF(('Stress Test Inputs'!$C$23)="FRM", FALSE, ISNUMBER(MATCH(C163,'Stress Test Inputs'!$M$18:$M$30,0)))</f>
        <v>0</v>
      </c>
      <c r="B163" s="116">
        <f>IF($A163, (_xlfn.XLOOKUP(C163,'Stress Test Inputs'!$M$17:$M$29,'Stress Test Inputs'!$N$17:$N$29)+'Stress Test Financial Analysis'!$D$5),$B162)</f>
        <v>0.06</v>
      </c>
      <c r="C163" s="114">
        <f t="shared" si="12"/>
        <v>161</v>
      </c>
      <c r="D163" s="112">
        <f t="shared" si="14"/>
        <v>0</v>
      </c>
      <c r="E163" s="112">
        <f>IF(OR(D163&lt;=0,C163&gt;'Stress Test Inputs'!$B$23*12),0,IF(AND(C163='Stress Test Inputs'!$B$23*12,'Stress Test Inputs'!$E$23&gt;'Stress Test Inputs'!$B$23),D163+D163*B163/12,IF('Stress Test Inputs'!$C$23="FRM",-PMT($B$3/12,'Stress Test Inputs'!$E$23*12,$D$3),IF($A163,-PMT(B163/12,('Stress Test Inputs'!$E$23*12)-C163+1,D163),E162))))</f>
        <v>0</v>
      </c>
      <c r="F163" s="112">
        <f t="shared" si="11"/>
        <v>0</v>
      </c>
      <c r="G163" s="112">
        <f>IF(C163&gt;'Stress Test Inputs'!$B$23*12,0,D163*B163/12)</f>
        <v>0</v>
      </c>
      <c r="H163" s="112">
        <f t="shared" si="10"/>
        <v>0</v>
      </c>
      <c r="I163" s="112">
        <f t="shared" si="13"/>
        <v>0</v>
      </c>
      <c r="J163" s="111"/>
    </row>
    <row r="164" spans="1:10" x14ac:dyDescent="0.25">
      <c r="A164" s="107" t="b">
        <f>IF(('Stress Test Inputs'!$C$23)="FRM", FALSE, ISNUMBER(MATCH(C164,'Stress Test Inputs'!$M$18:$M$30,0)))</f>
        <v>0</v>
      </c>
      <c r="B164" s="116">
        <f>IF($A164, (_xlfn.XLOOKUP(C164,'Stress Test Inputs'!$M$17:$M$29,'Stress Test Inputs'!$N$17:$N$29)+'Stress Test Financial Analysis'!$D$5),$B163)</f>
        <v>0.06</v>
      </c>
      <c r="C164" s="114">
        <f t="shared" si="12"/>
        <v>162</v>
      </c>
      <c r="D164" s="112">
        <f t="shared" si="14"/>
        <v>0</v>
      </c>
      <c r="E164" s="112">
        <f>IF(OR(D164&lt;=0,C164&gt;'Stress Test Inputs'!$B$23*12),0,IF(AND(C164='Stress Test Inputs'!$B$23*12,'Stress Test Inputs'!$E$23&gt;'Stress Test Inputs'!$B$23),D164+D164*B164/12,IF('Stress Test Inputs'!$C$23="FRM",-PMT($B$3/12,'Stress Test Inputs'!$E$23*12,$D$3),IF($A164,-PMT(B164/12,('Stress Test Inputs'!$E$23*12)-C164+1,D164),E163))))</f>
        <v>0</v>
      </c>
      <c r="F164" s="112">
        <f t="shared" si="11"/>
        <v>0</v>
      </c>
      <c r="G164" s="112">
        <f>IF(C164&gt;'Stress Test Inputs'!$B$23*12,0,D164*B164/12)</f>
        <v>0</v>
      </c>
      <c r="H164" s="112">
        <f t="shared" si="10"/>
        <v>0</v>
      </c>
      <c r="I164" s="112">
        <f t="shared" si="13"/>
        <v>0</v>
      </c>
      <c r="J164" s="111"/>
    </row>
    <row r="165" spans="1:10" x14ac:dyDescent="0.25">
      <c r="A165" s="107" t="b">
        <f>IF(('Stress Test Inputs'!$C$23)="FRM", FALSE, ISNUMBER(MATCH(C165,'Stress Test Inputs'!$M$18:$M$30,0)))</f>
        <v>0</v>
      </c>
      <c r="B165" s="116">
        <f>IF($A165, (_xlfn.XLOOKUP(C165,'Stress Test Inputs'!$M$17:$M$29,'Stress Test Inputs'!$N$17:$N$29)+'Stress Test Financial Analysis'!$D$5),$B164)</f>
        <v>0.06</v>
      </c>
      <c r="C165" s="114">
        <f t="shared" si="12"/>
        <v>163</v>
      </c>
      <c r="D165" s="112">
        <f t="shared" si="14"/>
        <v>0</v>
      </c>
      <c r="E165" s="112">
        <f>IF(OR(D165&lt;=0,C165&gt;'Stress Test Inputs'!$B$23*12),0,IF(AND(C165='Stress Test Inputs'!$B$23*12,'Stress Test Inputs'!$E$23&gt;'Stress Test Inputs'!$B$23),D165+D165*B165/12,IF('Stress Test Inputs'!$C$23="FRM",-PMT($B$3/12,'Stress Test Inputs'!$E$23*12,$D$3),IF($A165,-PMT(B165/12,('Stress Test Inputs'!$E$23*12)-C165+1,D165),E164))))</f>
        <v>0</v>
      </c>
      <c r="F165" s="112">
        <f t="shared" si="11"/>
        <v>0</v>
      </c>
      <c r="G165" s="112">
        <f>IF(C165&gt;'Stress Test Inputs'!$B$23*12,0,D165*B165/12)</f>
        <v>0</v>
      </c>
      <c r="H165" s="112">
        <f t="shared" si="10"/>
        <v>0</v>
      </c>
      <c r="I165" s="112">
        <f t="shared" si="13"/>
        <v>0</v>
      </c>
      <c r="J165" s="111"/>
    </row>
    <row r="166" spans="1:10" x14ac:dyDescent="0.25">
      <c r="A166" s="107" t="b">
        <f>IF(('Stress Test Inputs'!$C$23)="FRM", FALSE, ISNUMBER(MATCH(C166,'Stress Test Inputs'!$M$18:$M$30,0)))</f>
        <v>0</v>
      </c>
      <c r="B166" s="116">
        <f>IF($A166, (_xlfn.XLOOKUP(C166,'Stress Test Inputs'!$M$17:$M$29,'Stress Test Inputs'!$N$17:$N$29)+'Stress Test Financial Analysis'!$D$5),$B165)</f>
        <v>0.06</v>
      </c>
      <c r="C166" s="114">
        <f t="shared" si="12"/>
        <v>164</v>
      </c>
      <c r="D166" s="112">
        <f t="shared" si="14"/>
        <v>0</v>
      </c>
      <c r="E166" s="112">
        <f>IF(OR(D166&lt;=0,C166&gt;'Stress Test Inputs'!$B$23*12),0,IF(AND(C166='Stress Test Inputs'!$B$23*12,'Stress Test Inputs'!$E$23&gt;'Stress Test Inputs'!$B$23),D166+D166*B166/12,IF('Stress Test Inputs'!$C$23="FRM",-PMT($B$3/12,'Stress Test Inputs'!$E$23*12,$D$3),IF($A166,-PMT(B166/12,('Stress Test Inputs'!$E$23*12)-C166+1,D166),E165))))</f>
        <v>0</v>
      </c>
      <c r="F166" s="112">
        <f t="shared" si="11"/>
        <v>0</v>
      </c>
      <c r="G166" s="112">
        <f>IF(C166&gt;'Stress Test Inputs'!$B$23*12,0,D166*B166/12)</f>
        <v>0</v>
      </c>
      <c r="H166" s="112">
        <f t="shared" si="10"/>
        <v>0</v>
      </c>
      <c r="I166" s="112">
        <f t="shared" si="13"/>
        <v>0</v>
      </c>
      <c r="J166" s="111"/>
    </row>
    <row r="167" spans="1:10" x14ac:dyDescent="0.25">
      <c r="A167" s="107" t="b">
        <f>IF(('Stress Test Inputs'!$C$23)="FRM", FALSE, ISNUMBER(MATCH(C167,'Stress Test Inputs'!$M$18:$M$30,0)))</f>
        <v>0</v>
      </c>
      <c r="B167" s="116">
        <f>IF($A167, (_xlfn.XLOOKUP(C167,'Stress Test Inputs'!$M$17:$M$29,'Stress Test Inputs'!$N$17:$N$29)+'Stress Test Financial Analysis'!$D$5),$B166)</f>
        <v>0.06</v>
      </c>
      <c r="C167" s="114">
        <f t="shared" si="12"/>
        <v>165</v>
      </c>
      <c r="D167" s="112">
        <f t="shared" si="14"/>
        <v>0</v>
      </c>
      <c r="E167" s="112">
        <f>IF(OR(D167&lt;=0,C167&gt;'Stress Test Inputs'!$B$23*12),0,IF(AND(C167='Stress Test Inputs'!$B$23*12,'Stress Test Inputs'!$E$23&gt;'Stress Test Inputs'!$B$23),D167+D167*B167/12,IF('Stress Test Inputs'!$C$23="FRM",-PMT($B$3/12,'Stress Test Inputs'!$E$23*12,$D$3),IF($A167,-PMT(B167/12,('Stress Test Inputs'!$E$23*12)-C167+1,D167),E166))))</f>
        <v>0</v>
      </c>
      <c r="F167" s="112">
        <f t="shared" si="11"/>
        <v>0</v>
      </c>
      <c r="G167" s="112">
        <f>IF(C167&gt;'Stress Test Inputs'!$B$23*12,0,D167*B167/12)</f>
        <v>0</v>
      </c>
      <c r="H167" s="112">
        <f t="shared" si="10"/>
        <v>0</v>
      </c>
      <c r="I167" s="112">
        <f t="shared" si="13"/>
        <v>0</v>
      </c>
      <c r="J167" s="111"/>
    </row>
    <row r="168" spans="1:10" x14ac:dyDescent="0.25">
      <c r="A168" s="107" t="b">
        <f>IF(('Stress Test Inputs'!$C$23)="FRM", FALSE, ISNUMBER(MATCH(C168,'Stress Test Inputs'!$M$18:$M$30,0)))</f>
        <v>0</v>
      </c>
      <c r="B168" s="116">
        <f>IF($A168, (_xlfn.XLOOKUP(C168,'Stress Test Inputs'!$M$17:$M$29,'Stress Test Inputs'!$N$17:$N$29)+'Stress Test Financial Analysis'!$D$5),$B167)</f>
        <v>0.06</v>
      </c>
      <c r="C168" s="114">
        <f t="shared" si="12"/>
        <v>166</v>
      </c>
      <c r="D168" s="112">
        <f t="shared" si="14"/>
        <v>0</v>
      </c>
      <c r="E168" s="112">
        <f>IF(OR(D168&lt;=0,C168&gt;'Stress Test Inputs'!$B$23*12),0,IF(AND(C168='Stress Test Inputs'!$B$23*12,'Stress Test Inputs'!$E$23&gt;'Stress Test Inputs'!$B$23),D168+D168*B168/12,IF('Stress Test Inputs'!$C$23="FRM",-PMT($B$3/12,'Stress Test Inputs'!$E$23*12,$D$3),IF($A168,-PMT(B168/12,('Stress Test Inputs'!$E$23*12)-C168+1,D168),E167))))</f>
        <v>0</v>
      </c>
      <c r="F168" s="112">
        <f t="shared" si="11"/>
        <v>0</v>
      </c>
      <c r="G168" s="112">
        <f>IF(C168&gt;'Stress Test Inputs'!$B$23*12,0,D168*B168/12)</f>
        <v>0</v>
      </c>
      <c r="H168" s="112">
        <f t="shared" si="10"/>
        <v>0</v>
      </c>
      <c r="I168" s="112">
        <f t="shared" si="13"/>
        <v>0</v>
      </c>
      <c r="J168" s="111"/>
    </row>
    <row r="169" spans="1:10" x14ac:dyDescent="0.25">
      <c r="A169" s="107" t="b">
        <f>IF(('Stress Test Inputs'!$C$23)="FRM", FALSE, ISNUMBER(MATCH(C169,'Stress Test Inputs'!$M$18:$M$30,0)))</f>
        <v>0</v>
      </c>
      <c r="B169" s="116">
        <f>IF($A169, (_xlfn.XLOOKUP(C169,'Stress Test Inputs'!$M$17:$M$29,'Stress Test Inputs'!$N$17:$N$29)+'Stress Test Financial Analysis'!$D$5),$B168)</f>
        <v>0.06</v>
      </c>
      <c r="C169" s="114">
        <f t="shared" si="12"/>
        <v>167</v>
      </c>
      <c r="D169" s="112">
        <f t="shared" si="14"/>
        <v>0</v>
      </c>
      <c r="E169" s="112">
        <f>IF(OR(D169&lt;=0,C169&gt;'Stress Test Inputs'!$B$23*12),0,IF(AND(C169='Stress Test Inputs'!$B$23*12,'Stress Test Inputs'!$E$23&gt;'Stress Test Inputs'!$B$23),D169+D169*B169/12,IF('Stress Test Inputs'!$C$23="FRM",-PMT($B$3/12,'Stress Test Inputs'!$E$23*12,$D$3),IF($A169,-PMT(B169/12,('Stress Test Inputs'!$E$23*12)-C169+1,D169),E168))))</f>
        <v>0</v>
      </c>
      <c r="F169" s="112">
        <f t="shared" si="11"/>
        <v>0</v>
      </c>
      <c r="G169" s="112">
        <f>IF(C169&gt;'Stress Test Inputs'!$B$23*12,0,D169*B169/12)</f>
        <v>0</v>
      </c>
      <c r="H169" s="112">
        <f t="shared" si="10"/>
        <v>0</v>
      </c>
      <c r="I169" s="112">
        <f t="shared" si="13"/>
        <v>0</v>
      </c>
      <c r="J169" s="111"/>
    </row>
    <row r="170" spans="1:10" x14ac:dyDescent="0.25">
      <c r="A170" s="107" t="b">
        <f>IF(('Stress Test Inputs'!$C$23)="FRM", FALSE, ISNUMBER(MATCH(C170,'Stress Test Inputs'!$M$18:$M$30,0)))</f>
        <v>0</v>
      </c>
      <c r="B170" s="116">
        <f>IF($A170, (_xlfn.XLOOKUP(C170,'Stress Test Inputs'!$M$17:$M$29,'Stress Test Inputs'!$N$17:$N$29)+'Stress Test Financial Analysis'!$D$5),$B169)</f>
        <v>0.06</v>
      </c>
      <c r="C170" s="114">
        <f t="shared" si="12"/>
        <v>168</v>
      </c>
      <c r="D170" s="112">
        <f t="shared" si="14"/>
        <v>0</v>
      </c>
      <c r="E170" s="112">
        <f>IF(OR(D170&lt;=0,C170&gt;'Stress Test Inputs'!$B$23*12),0,IF(AND(C170='Stress Test Inputs'!$B$23*12,'Stress Test Inputs'!$E$23&gt;'Stress Test Inputs'!$B$23),D170+D170*B170/12,IF('Stress Test Inputs'!$C$23="FRM",-PMT($B$3/12,'Stress Test Inputs'!$E$23*12,$D$3),IF($A170,-PMT(B170/12,('Stress Test Inputs'!$E$23*12)-C170+1,D170),E169))))</f>
        <v>0</v>
      </c>
      <c r="F170" s="112">
        <f t="shared" si="11"/>
        <v>0</v>
      </c>
      <c r="G170" s="112">
        <f>IF(C170&gt;'Stress Test Inputs'!$B$23*12,0,D170*B170/12)</f>
        <v>0</v>
      </c>
      <c r="H170" s="112">
        <f t="shared" si="10"/>
        <v>0</v>
      </c>
      <c r="I170" s="112">
        <f t="shared" si="13"/>
        <v>0</v>
      </c>
      <c r="J170" s="111"/>
    </row>
    <row r="171" spans="1:10" x14ac:dyDescent="0.25">
      <c r="A171" s="107" t="b">
        <f>IF(('Stress Test Inputs'!$C$23)="FRM", FALSE, ISNUMBER(MATCH(C171,'Stress Test Inputs'!$M$18:$M$30,0)))</f>
        <v>0</v>
      </c>
      <c r="B171" s="116">
        <f>IF($A171, (_xlfn.XLOOKUP(C171,'Stress Test Inputs'!$M$17:$M$29,'Stress Test Inputs'!$N$17:$N$29)+'Stress Test Financial Analysis'!$D$5),$B170)</f>
        <v>0.06</v>
      </c>
      <c r="C171" s="114">
        <f t="shared" si="12"/>
        <v>169</v>
      </c>
      <c r="D171" s="112">
        <f t="shared" si="14"/>
        <v>0</v>
      </c>
      <c r="E171" s="112">
        <f>IF(OR(D171&lt;=0,C171&gt;'Stress Test Inputs'!$B$23*12),0,IF(AND(C171='Stress Test Inputs'!$B$23*12,'Stress Test Inputs'!$E$23&gt;'Stress Test Inputs'!$B$23),D171+D171*B171/12,IF('Stress Test Inputs'!$C$23="FRM",-PMT($B$3/12,'Stress Test Inputs'!$E$23*12,$D$3),IF($A171,-PMT(B171/12,('Stress Test Inputs'!$E$23*12)-C171+1,D171),E170))))</f>
        <v>0</v>
      </c>
      <c r="F171" s="112">
        <f t="shared" si="11"/>
        <v>0</v>
      </c>
      <c r="G171" s="112">
        <f>IF(C171&gt;'Stress Test Inputs'!$B$23*12,0,D171*B171/12)</f>
        <v>0</v>
      </c>
      <c r="H171" s="112">
        <f t="shared" si="10"/>
        <v>0</v>
      </c>
      <c r="I171" s="112">
        <f t="shared" si="13"/>
        <v>0</v>
      </c>
      <c r="J171" s="111"/>
    </row>
    <row r="172" spans="1:10" x14ac:dyDescent="0.25">
      <c r="A172" s="107" t="b">
        <f>IF(('Stress Test Inputs'!$C$23)="FRM", FALSE, ISNUMBER(MATCH(C172,'Stress Test Inputs'!$M$18:$M$30,0)))</f>
        <v>0</v>
      </c>
      <c r="B172" s="116">
        <f>IF($A172, (_xlfn.XLOOKUP(C172,'Stress Test Inputs'!$M$17:$M$29,'Stress Test Inputs'!$N$17:$N$29)+'Stress Test Financial Analysis'!$D$5),$B171)</f>
        <v>0.06</v>
      </c>
      <c r="C172" s="114">
        <f t="shared" si="12"/>
        <v>170</v>
      </c>
      <c r="D172" s="112">
        <f t="shared" si="14"/>
        <v>0</v>
      </c>
      <c r="E172" s="112">
        <f>IF(OR(D172&lt;=0,C172&gt;'Stress Test Inputs'!$B$23*12),0,IF(AND(C172='Stress Test Inputs'!$B$23*12,'Stress Test Inputs'!$E$23&gt;'Stress Test Inputs'!$B$23),D172+D172*B172/12,IF('Stress Test Inputs'!$C$23="FRM",-PMT($B$3/12,'Stress Test Inputs'!$E$23*12,$D$3),IF($A172,-PMT(B172/12,('Stress Test Inputs'!$E$23*12)-C172+1,D172),E171))))</f>
        <v>0</v>
      </c>
      <c r="F172" s="112">
        <f t="shared" si="11"/>
        <v>0</v>
      </c>
      <c r="G172" s="112">
        <f>IF(C172&gt;'Stress Test Inputs'!$B$23*12,0,D172*B172/12)</f>
        <v>0</v>
      </c>
      <c r="H172" s="112">
        <f t="shared" si="10"/>
        <v>0</v>
      </c>
      <c r="I172" s="112">
        <f t="shared" si="13"/>
        <v>0</v>
      </c>
      <c r="J172" s="111"/>
    </row>
    <row r="173" spans="1:10" x14ac:dyDescent="0.25">
      <c r="A173" s="107" t="b">
        <f>IF(('Stress Test Inputs'!$C$23)="FRM", FALSE, ISNUMBER(MATCH(C173,'Stress Test Inputs'!$M$18:$M$30,0)))</f>
        <v>0</v>
      </c>
      <c r="B173" s="116">
        <f>IF($A173, (_xlfn.XLOOKUP(C173,'Stress Test Inputs'!$M$17:$M$29,'Stress Test Inputs'!$N$17:$N$29)+'Stress Test Financial Analysis'!$D$5),$B172)</f>
        <v>0.06</v>
      </c>
      <c r="C173" s="114">
        <f t="shared" si="12"/>
        <v>171</v>
      </c>
      <c r="D173" s="112">
        <f t="shared" si="14"/>
        <v>0</v>
      </c>
      <c r="E173" s="112">
        <f>IF(OR(D173&lt;=0,C173&gt;'Stress Test Inputs'!$B$23*12),0,IF(AND(C173='Stress Test Inputs'!$B$23*12,'Stress Test Inputs'!$E$23&gt;'Stress Test Inputs'!$B$23),D173+D173*B173/12,IF('Stress Test Inputs'!$C$23="FRM",-PMT($B$3/12,'Stress Test Inputs'!$E$23*12,$D$3),IF($A173,-PMT(B173/12,('Stress Test Inputs'!$E$23*12)-C173+1,D173),E172))))</f>
        <v>0</v>
      </c>
      <c r="F173" s="112">
        <f t="shared" si="11"/>
        <v>0</v>
      </c>
      <c r="G173" s="112">
        <f>IF(C173&gt;'Stress Test Inputs'!$B$23*12,0,D173*B173/12)</f>
        <v>0</v>
      </c>
      <c r="H173" s="112">
        <f t="shared" si="10"/>
        <v>0</v>
      </c>
      <c r="I173" s="112">
        <f t="shared" si="13"/>
        <v>0</v>
      </c>
      <c r="J173" s="111"/>
    </row>
    <row r="174" spans="1:10" x14ac:dyDescent="0.25">
      <c r="A174" s="107" t="b">
        <f>IF(('Stress Test Inputs'!$C$23)="FRM", FALSE, ISNUMBER(MATCH(C174,'Stress Test Inputs'!$M$18:$M$30,0)))</f>
        <v>0</v>
      </c>
      <c r="B174" s="116">
        <f>IF($A174, (_xlfn.XLOOKUP(C174,'Stress Test Inputs'!$M$17:$M$29,'Stress Test Inputs'!$N$17:$N$29)+'Stress Test Financial Analysis'!$D$5),$B173)</f>
        <v>0.06</v>
      </c>
      <c r="C174" s="114">
        <f t="shared" si="12"/>
        <v>172</v>
      </c>
      <c r="D174" s="112">
        <f t="shared" si="14"/>
        <v>0</v>
      </c>
      <c r="E174" s="112">
        <f>IF(OR(D174&lt;=0,C174&gt;'Stress Test Inputs'!$B$23*12),0,IF(AND(C174='Stress Test Inputs'!$B$23*12,'Stress Test Inputs'!$E$23&gt;'Stress Test Inputs'!$B$23),D174+D174*B174/12,IF('Stress Test Inputs'!$C$23="FRM",-PMT($B$3/12,'Stress Test Inputs'!$E$23*12,$D$3),IF($A174,-PMT(B174/12,('Stress Test Inputs'!$E$23*12)-C174+1,D174),E173))))</f>
        <v>0</v>
      </c>
      <c r="F174" s="112">
        <f t="shared" si="11"/>
        <v>0</v>
      </c>
      <c r="G174" s="112">
        <f>IF(C174&gt;'Stress Test Inputs'!$B$23*12,0,D174*B174/12)</f>
        <v>0</v>
      </c>
      <c r="H174" s="112">
        <f t="shared" si="10"/>
        <v>0</v>
      </c>
      <c r="I174" s="112">
        <f t="shared" si="13"/>
        <v>0</v>
      </c>
      <c r="J174" s="111"/>
    </row>
    <row r="175" spans="1:10" x14ac:dyDescent="0.25">
      <c r="A175" s="107" t="b">
        <f>IF(('Stress Test Inputs'!$C$23)="FRM", FALSE, ISNUMBER(MATCH(C175,'Stress Test Inputs'!$M$18:$M$30,0)))</f>
        <v>0</v>
      </c>
      <c r="B175" s="116">
        <f>IF($A175, (_xlfn.XLOOKUP(C175,'Stress Test Inputs'!$M$17:$M$29,'Stress Test Inputs'!$N$17:$N$29)+'Stress Test Financial Analysis'!$D$5),$B174)</f>
        <v>0.06</v>
      </c>
      <c r="C175" s="114">
        <f t="shared" si="12"/>
        <v>173</v>
      </c>
      <c r="D175" s="112">
        <f t="shared" si="14"/>
        <v>0</v>
      </c>
      <c r="E175" s="112">
        <f>IF(OR(D175&lt;=0,C175&gt;'Stress Test Inputs'!$B$23*12),0,IF(AND(C175='Stress Test Inputs'!$B$23*12,'Stress Test Inputs'!$E$23&gt;'Stress Test Inputs'!$B$23),D175+D175*B175/12,IF('Stress Test Inputs'!$C$23="FRM",-PMT($B$3/12,'Stress Test Inputs'!$E$23*12,$D$3),IF($A175,-PMT(B175/12,('Stress Test Inputs'!$E$23*12)-C175+1,D175),E174))))</f>
        <v>0</v>
      </c>
      <c r="F175" s="112">
        <f t="shared" si="11"/>
        <v>0</v>
      </c>
      <c r="G175" s="112">
        <f>IF(C175&gt;'Stress Test Inputs'!$B$23*12,0,D175*B175/12)</f>
        <v>0</v>
      </c>
      <c r="H175" s="112">
        <f t="shared" si="10"/>
        <v>0</v>
      </c>
      <c r="I175" s="112">
        <f t="shared" si="13"/>
        <v>0</v>
      </c>
      <c r="J175" s="111"/>
    </row>
    <row r="176" spans="1:10" x14ac:dyDescent="0.25">
      <c r="A176" s="107" t="b">
        <f>IF(('Stress Test Inputs'!$C$23)="FRM", FALSE, ISNUMBER(MATCH(C176,'Stress Test Inputs'!$M$18:$M$30,0)))</f>
        <v>0</v>
      </c>
      <c r="B176" s="116">
        <f>IF($A176, (_xlfn.XLOOKUP(C176,'Stress Test Inputs'!$M$17:$M$29,'Stress Test Inputs'!$N$17:$N$29)+'Stress Test Financial Analysis'!$D$5),$B175)</f>
        <v>0.06</v>
      </c>
      <c r="C176" s="114">
        <f t="shared" si="12"/>
        <v>174</v>
      </c>
      <c r="D176" s="112">
        <f t="shared" si="14"/>
        <v>0</v>
      </c>
      <c r="E176" s="112">
        <f>IF(OR(D176&lt;=0,C176&gt;'Stress Test Inputs'!$B$23*12),0,IF(AND(C176='Stress Test Inputs'!$B$23*12,'Stress Test Inputs'!$E$23&gt;'Stress Test Inputs'!$B$23),D176+D176*B176/12,IF('Stress Test Inputs'!$C$23="FRM",-PMT($B$3/12,'Stress Test Inputs'!$E$23*12,$D$3),IF($A176,-PMT(B176/12,('Stress Test Inputs'!$E$23*12)-C176+1,D176),E175))))</f>
        <v>0</v>
      </c>
      <c r="F176" s="112">
        <f t="shared" si="11"/>
        <v>0</v>
      </c>
      <c r="G176" s="112">
        <f>IF(C176&gt;'Stress Test Inputs'!$B$23*12,0,D176*B176/12)</f>
        <v>0</v>
      </c>
      <c r="H176" s="112">
        <f t="shared" si="10"/>
        <v>0</v>
      </c>
      <c r="I176" s="112">
        <f t="shared" si="13"/>
        <v>0</v>
      </c>
      <c r="J176" s="111"/>
    </row>
    <row r="177" spans="1:10" x14ac:dyDescent="0.25">
      <c r="A177" s="107" t="b">
        <f>IF(('Stress Test Inputs'!$C$23)="FRM", FALSE, ISNUMBER(MATCH(C177,'Stress Test Inputs'!$M$18:$M$30,0)))</f>
        <v>0</v>
      </c>
      <c r="B177" s="116">
        <f>IF($A177, (_xlfn.XLOOKUP(C177,'Stress Test Inputs'!$M$17:$M$29,'Stress Test Inputs'!$N$17:$N$29)+'Stress Test Financial Analysis'!$D$5),$B176)</f>
        <v>0.06</v>
      </c>
      <c r="C177" s="114">
        <f t="shared" si="12"/>
        <v>175</v>
      </c>
      <c r="D177" s="112">
        <f t="shared" si="14"/>
        <v>0</v>
      </c>
      <c r="E177" s="112">
        <f>IF(OR(D177&lt;=0,C177&gt;'Stress Test Inputs'!$B$23*12),0,IF(AND(C177='Stress Test Inputs'!$B$23*12,'Stress Test Inputs'!$E$23&gt;'Stress Test Inputs'!$B$23),D177+D177*B177/12,IF('Stress Test Inputs'!$C$23="FRM",-PMT($B$3/12,'Stress Test Inputs'!$E$23*12,$D$3),IF($A177,-PMT(B177/12,('Stress Test Inputs'!$E$23*12)-C177+1,D177),E176))))</f>
        <v>0</v>
      </c>
      <c r="F177" s="112">
        <f t="shared" si="11"/>
        <v>0</v>
      </c>
      <c r="G177" s="112">
        <f>IF(C177&gt;'Stress Test Inputs'!$B$23*12,0,D177*B177/12)</f>
        <v>0</v>
      </c>
      <c r="H177" s="112">
        <f t="shared" si="10"/>
        <v>0</v>
      </c>
      <c r="I177" s="112">
        <f t="shared" si="13"/>
        <v>0</v>
      </c>
      <c r="J177" s="111"/>
    </row>
    <row r="178" spans="1:10" x14ac:dyDescent="0.25">
      <c r="A178" s="107" t="b">
        <f>IF(('Stress Test Inputs'!$C$23)="FRM", FALSE, ISNUMBER(MATCH(C178,'Stress Test Inputs'!$M$18:$M$30,0)))</f>
        <v>0</v>
      </c>
      <c r="B178" s="116">
        <f>IF($A178, (_xlfn.XLOOKUP(C178,'Stress Test Inputs'!$M$17:$M$29,'Stress Test Inputs'!$N$17:$N$29)+'Stress Test Financial Analysis'!$D$5),$B177)</f>
        <v>0.06</v>
      </c>
      <c r="C178" s="114">
        <f t="shared" si="12"/>
        <v>176</v>
      </c>
      <c r="D178" s="112">
        <f t="shared" si="14"/>
        <v>0</v>
      </c>
      <c r="E178" s="112">
        <f>IF(OR(D178&lt;=0,C178&gt;'Stress Test Inputs'!$B$23*12),0,IF(AND(C178='Stress Test Inputs'!$B$23*12,'Stress Test Inputs'!$E$23&gt;'Stress Test Inputs'!$B$23),D178+D178*B178/12,IF('Stress Test Inputs'!$C$23="FRM",-PMT($B$3/12,'Stress Test Inputs'!$E$23*12,$D$3),IF($A178,-PMT(B178/12,('Stress Test Inputs'!$E$23*12)-C178+1,D178),E177))))</f>
        <v>0</v>
      </c>
      <c r="F178" s="112">
        <f t="shared" si="11"/>
        <v>0</v>
      </c>
      <c r="G178" s="112">
        <f>IF(C178&gt;'Stress Test Inputs'!$B$23*12,0,D178*B178/12)</f>
        <v>0</v>
      </c>
      <c r="H178" s="112">
        <f t="shared" si="10"/>
        <v>0</v>
      </c>
      <c r="I178" s="112">
        <f t="shared" si="13"/>
        <v>0</v>
      </c>
      <c r="J178" s="111"/>
    </row>
    <row r="179" spans="1:10" x14ac:dyDescent="0.25">
      <c r="A179" s="107" t="b">
        <f>IF(('Stress Test Inputs'!$C$23)="FRM", FALSE, ISNUMBER(MATCH(C179,'Stress Test Inputs'!$M$18:$M$30,0)))</f>
        <v>0</v>
      </c>
      <c r="B179" s="116">
        <f>IF($A179, (_xlfn.XLOOKUP(C179,'Stress Test Inputs'!$M$17:$M$29,'Stress Test Inputs'!$N$17:$N$29)+'Stress Test Financial Analysis'!$D$5),$B178)</f>
        <v>0.06</v>
      </c>
      <c r="C179" s="114">
        <f t="shared" si="12"/>
        <v>177</v>
      </c>
      <c r="D179" s="112">
        <f t="shared" si="14"/>
        <v>0</v>
      </c>
      <c r="E179" s="112">
        <f>IF(OR(D179&lt;=0,C179&gt;'Stress Test Inputs'!$B$23*12),0,IF(AND(C179='Stress Test Inputs'!$B$23*12,'Stress Test Inputs'!$E$23&gt;'Stress Test Inputs'!$B$23),D179+D179*B179/12,IF('Stress Test Inputs'!$C$23="FRM",-PMT($B$3/12,'Stress Test Inputs'!$E$23*12,$D$3),IF($A179,-PMT(B179/12,('Stress Test Inputs'!$E$23*12)-C179+1,D179),E178))))</f>
        <v>0</v>
      </c>
      <c r="F179" s="112">
        <f t="shared" si="11"/>
        <v>0</v>
      </c>
      <c r="G179" s="112">
        <f>IF(C179&gt;'Stress Test Inputs'!$B$23*12,0,D179*B179/12)</f>
        <v>0</v>
      </c>
      <c r="H179" s="112">
        <f t="shared" si="10"/>
        <v>0</v>
      </c>
      <c r="I179" s="112">
        <f t="shared" si="13"/>
        <v>0</v>
      </c>
      <c r="J179" s="111"/>
    </row>
    <row r="180" spans="1:10" x14ac:dyDescent="0.25">
      <c r="A180" s="107" t="b">
        <f>IF(('Stress Test Inputs'!$C$23)="FRM", FALSE, ISNUMBER(MATCH(C180,'Stress Test Inputs'!$M$18:$M$30,0)))</f>
        <v>0</v>
      </c>
      <c r="B180" s="116">
        <f>IF($A180, (_xlfn.XLOOKUP(C180,'Stress Test Inputs'!$M$17:$M$29,'Stress Test Inputs'!$N$17:$N$29)+'Stress Test Financial Analysis'!$D$5),$B179)</f>
        <v>0.06</v>
      </c>
      <c r="C180" s="114">
        <f t="shared" si="12"/>
        <v>178</v>
      </c>
      <c r="D180" s="112">
        <f t="shared" si="14"/>
        <v>0</v>
      </c>
      <c r="E180" s="112">
        <f>IF(OR(D180&lt;=0,C180&gt;'Stress Test Inputs'!$B$23*12),0,IF(AND(C180='Stress Test Inputs'!$B$23*12,'Stress Test Inputs'!$E$23&gt;'Stress Test Inputs'!$B$23),D180+D180*B180/12,IF('Stress Test Inputs'!$C$23="FRM",-PMT($B$3/12,'Stress Test Inputs'!$E$23*12,$D$3),IF($A180,-PMT(B180/12,('Stress Test Inputs'!$E$23*12)-C180+1,D180),E179))))</f>
        <v>0</v>
      </c>
      <c r="F180" s="112">
        <f t="shared" si="11"/>
        <v>0</v>
      </c>
      <c r="G180" s="112">
        <f>IF(C180&gt;'Stress Test Inputs'!$B$23*12,0,D180*B180/12)</f>
        <v>0</v>
      </c>
      <c r="H180" s="112">
        <f t="shared" si="10"/>
        <v>0</v>
      </c>
      <c r="I180" s="112">
        <f t="shared" si="13"/>
        <v>0</v>
      </c>
      <c r="J180" s="111"/>
    </row>
    <row r="181" spans="1:10" x14ac:dyDescent="0.25">
      <c r="A181" s="107" t="b">
        <f>IF(('Stress Test Inputs'!$C$23)="FRM", FALSE, ISNUMBER(MATCH(C181,'Stress Test Inputs'!$M$18:$M$30,0)))</f>
        <v>0</v>
      </c>
      <c r="B181" s="116">
        <f>IF($A181, (_xlfn.XLOOKUP(C181,'Stress Test Inputs'!$M$17:$M$29,'Stress Test Inputs'!$N$17:$N$29)+'Stress Test Financial Analysis'!$D$5),$B180)</f>
        <v>0.06</v>
      </c>
      <c r="C181" s="114">
        <f t="shared" si="12"/>
        <v>179</v>
      </c>
      <c r="D181" s="112">
        <f t="shared" si="14"/>
        <v>0</v>
      </c>
      <c r="E181" s="112">
        <f>IF(OR(D181&lt;=0,C181&gt;'Stress Test Inputs'!$B$23*12),0,IF(AND(C181='Stress Test Inputs'!$B$23*12,'Stress Test Inputs'!$E$23&gt;'Stress Test Inputs'!$B$23),D181+D181*B181/12,IF('Stress Test Inputs'!$C$23="FRM",-PMT($B$3/12,'Stress Test Inputs'!$E$23*12,$D$3),IF($A181,-PMT(B181/12,('Stress Test Inputs'!$E$23*12)-C181+1,D181),E180))))</f>
        <v>0</v>
      </c>
      <c r="F181" s="112">
        <f t="shared" si="11"/>
        <v>0</v>
      </c>
      <c r="G181" s="112">
        <f>IF(C181&gt;'Stress Test Inputs'!$B$23*12,0,D181*B181/12)</f>
        <v>0</v>
      </c>
      <c r="H181" s="112">
        <f t="shared" si="10"/>
        <v>0</v>
      </c>
      <c r="I181" s="112">
        <f t="shared" si="13"/>
        <v>0</v>
      </c>
      <c r="J181" s="111"/>
    </row>
    <row r="182" spans="1:10" x14ac:dyDescent="0.25">
      <c r="A182" s="107" t="b">
        <f>IF(('Stress Test Inputs'!$C$23)="FRM", FALSE, ISNUMBER(MATCH(C182,'Stress Test Inputs'!$M$18:$M$30,0)))</f>
        <v>0</v>
      </c>
      <c r="B182" s="116">
        <f>IF($A182, (_xlfn.XLOOKUP(C182,'Stress Test Inputs'!$M$17:$M$29,'Stress Test Inputs'!$N$17:$N$29)+'Stress Test Financial Analysis'!$D$5),$B181)</f>
        <v>0.06</v>
      </c>
      <c r="C182" s="114">
        <f t="shared" si="12"/>
        <v>180</v>
      </c>
      <c r="D182" s="112">
        <f>IF(I181&gt;0,I181-J181,0)</f>
        <v>0</v>
      </c>
      <c r="E182" s="112">
        <f>IF(OR(D182&lt;=0,C182&gt;'Stress Test Inputs'!$B$23*12),0,IF(AND(C182='Stress Test Inputs'!$B$23*12,'Stress Test Inputs'!$E$23&gt;'Stress Test Inputs'!$B$23),D182+D182*B182/12,IF('Stress Test Inputs'!$C$23="FRM",-PMT($B$3/12,'Stress Test Inputs'!$E$23*12,$D$3),IF($A182,-PMT(B182/12,('Stress Test Inputs'!$E$23*12)-C182+1,D182),E181))))</f>
        <v>0</v>
      </c>
      <c r="F182" s="112">
        <f t="shared" si="11"/>
        <v>0</v>
      </c>
      <c r="G182" s="112">
        <f>IF(C182&gt;'Stress Test Inputs'!$B$23*12,0,D182*B182/12)</f>
        <v>0</v>
      </c>
      <c r="H182" s="112">
        <f>MIN(E182-G182,D182)</f>
        <v>0</v>
      </c>
      <c r="I182" s="112">
        <f>IF(ROUND(D182-H182,2)=0,0,D182-H182)</f>
        <v>0</v>
      </c>
      <c r="J182" s="111"/>
    </row>
    <row r="183" spans="1:10" x14ac:dyDescent="0.25">
      <c r="A183" s="107" t="b">
        <f>IF(('Stress Test Inputs'!$C$23)="FRM", FALSE, ISNUMBER(MATCH(C183,'Stress Test Inputs'!$M$18:$M$30,0)))</f>
        <v>0</v>
      </c>
      <c r="B183" s="116">
        <f>IF($A183, (_xlfn.XLOOKUP(C183,'Stress Test Inputs'!$M$17:$M$29,'Stress Test Inputs'!$N$17:$N$29)+'Stress Test Financial Analysis'!$D$5),$B182)</f>
        <v>0.06</v>
      </c>
      <c r="C183" s="114">
        <f t="shared" si="12"/>
        <v>181</v>
      </c>
      <c r="D183" s="112">
        <f t="shared" si="14"/>
        <v>0</v>
      </c>
      <c r="E183" s="112">
        <f>IF(OR(D183&lt;=0,C183&gt;'Stress Test Inputs'!$B$23*12),0,IF(AND(C183='Stress Test Inputs'!$B$23*12,'Stress Test Inputs'!$E$23&gt;'Stress Test Inputs'!$B$23),D183+D183*B183/12,IF('Stress Test Inputs'!$C$23="FRM",-PMT($B$3/12,'Stress Test Inputs'!$E$23*12,$D$3),IF($A183,-PMT(B183/12,('Stress Test Inputs'!$E$23*12)-C183+1,D183),E182))))</f>
        <v>0</v>
      </c>
      <c r="F183" s="112">
        <f t="shared" si="11"/>
        <v>0</v>
      </c>
      <c r="G183" s="112">
        <f>IF(C183&gt;'Stress Test Inputs'!$B$23*12,0,D183*B183/12)</f>
        <v>0</v>
      </c>
      <c r="H183" s="112">
        <f t="shared" si="10"/>
        <v>0</v>
      </c>
      <c r="I183" s="112">
        <f t="shared" si="13"/>
        <v>0</v>
      </c>
      <c r="J183" s="111"/>
    </row>
    <row r="184" spans="1:10" x14ac:dyDescent="0.25">
      <c r="A184" s="107" t="b">
        <f>IF(('Stress Test Inputs'!$C$23)="FRM", FALSE, ISNUMBER(MATCH(C184,'Stress Test Inputs'!$M$18:$M$30,0)))</f>
        <v>0</v>
      </c>
      <c r="B184" s="116">
        <f>IF($A184, (_xlfn.XLOOKUP(C184,'Stress Test Inputs'!$M$17:$M$29,'Stress Test Inputs'!$N$17:$N$29)+'Stress Test Financial Analysis'!$D$5),$B183)</f>
        <v>0.06</v>
      </c>
      <c r="C184" s="114">
        <f t="shared" si="12"/>
        <v>182</v>
      </c>
      <c r="D184" s="112">
        <f t="shared" si="14"/>
        <v>0</v>
      </c>
      <c r="E184" s="112">
        <f>IF(OR(D184&lt;=0,C184&gt;'Stress Test Inputs'!$B$23*12),0,IF(AND(C184='Stress Test Inputs'!$B$23*12,'Stress Test Inputs'!$E$23&gt;'Stress Test Inputs'!$B$23),D184+D184*B184/12,IF('Stress Test Inputs'!$C$23="FRM",-PMT($B$3/12,'Stress Test Inputs'!$E$23*12,$D$3),IF($A184,-PMT(B184/12,('Stress Test Inputs'!$E$23*12)-C184+1,D184),E183))))</f>
        <v>0</v>
      </c>
      <c r="F184" s="112">
        <f t="shared" si="11"/>
        <v>0</v>
      </c>
      <c r="G184" s="112">
        <f>IF(C184&gt;'Stress Test Inputs'!$B$23*12,0,D184*B184/12)</f>
        <v>0</v>
      </c>
      <c r="H184" s="112">
        <f t="shared" si="10"/>
        <v>0</v>
      </c>
      <c r="I184" s="112">
        <f t="shared" si="13"/>
        <v>0</v>
      </c>
      <c r="J184" s="111"/>
    </row>
    <row r="185" spans="1:10" x14ac:dyDescent="0.25">
      <c r="A185" s="107" t="b">
        <f>IF(('Stress Test Inputs'!$C$23)="FRM", FALSE, ISNUMBER(MATCH(C185,'Stress Test Inputs'!$M$18:$M$30,0)))</f>
        <v>0</v>
      </c>
      <c r="B185" s="116">
        <f>IF($A185, (_xlfn.XLOOKUP(C185,'Stress Test Inputs'!$M$17:$M$29,'Stress Test Inputs'!$N$17:$N$29)+'Stress Test Financial Analysis'!$D$5),$B184)</f>
        <v>0.06</v>
      </c>
      <c r="C185" s="114">
        <f t="shared" si="12"/>
        <v>183</v>
      </c>
      <c r="D185" s="112">
        <f t="shared" si="14"/>
        <v>0</v>
      </c>
      <c r="E185" s="112">
        <f>IF(OR(D185&lt;=0,C185&gt;'Stress Test Inputs'!$B$23*12),0,IF(AND(C185='Stress Test Inputs'!$B$23*12,'Stress Test Inputs'!$E$23&gt;'Stress Test Inputs'!$B$23),D185+D185*B185/12,IF('Stress Test Inputs'!$C$23="FRM",-PMT($B$3/12,'Stress Test Inputs'!$E$23*12,$D$3),IF($A185,-PMT(B185/12,('Stress Test Inputs'!$E$23*12)-C185+1,D185),E184))))</f>
        <v>0</v>
      </c>
      <c r="F185" s="112">
        <f t="shared" si="11"/>
        <v>0</v>
      </c>
      <c r="G185" s="112">
        <f>IF(C185&gt;'Stress Test Inputs'!$B$23*12,0,D185*B185/12)</f>
        <v>0</v>
      </c>
      <c r="H185" s="112">
        <f t="shared" si="10"/>
        <v>0</v>
      </c>
      <c r="I185" s="112">
        <f t="shared" si="13"/>
        <v>0</v>
      </c>
      <c r="J185" s="111"/>
    </row>
    <row r="186" spans="1:10" x14ac:dyDescent="0.25">
      <c r="A186" s="107" t="b">
        <f>IF(('Stress Test Inputs'!$C$23)="FRM", FALSE, ISNUMBER(MATCH(C186,'Stress Test Inputs'!$M$18:$M$30,0)))</f>
        <v>0</v>
      </c>
      <c r="B186" s="116">
        <f>IF($A186, (_xlfn.XLOOKUP(C186,'Stress Test Inputs'!$M$17:$M$29,'Stress Test Inputs'!$N$17:$N$29)+'Stress Test Financial Analysis'!$D$5),$B185)</f>
        <v>0.06</v>
      </c>
      <c r="C186" s="114">
        <f t="shared" si="12"/>
        <v>184</v>
      </c>
      <c r="D186" s="112">
        <f t="shared" si="14"/>
        <v>0</v>
      </c>
      <c r="E186" s="112">
        <f>IF(OR(D186&lt;=0,C186&gt;'Stress Test Inputs'!$B$23*12),0,IF(AND(C186='Stress Test Inputs'!$B$23*12,'Stress Test Inputs'!$E$23&gt;'Stress Test Inputs'!$B$23),D186+D186*B186/12,IF('Stress Test Inputs'!$C$23="FRM",-PMT($B$3/12,'Stress Test Inputs'!$E$23*12,$D$3),IF($A186,-PMT(B186/12,('Stress Test Inputs'!$E$23*12)-C186+1,D186),E185))))</f>
        <v>0</v>
      </c>
      <c r="F186" s="112">
        <f t="shared" si="11"/>
        <v>0</v>
      </c>
      <c r="G186" s="112">
        <f>IF(C186&gt;'Stress Test Inputs'!$B$23*12,0,D186*B186/12)</f>
        <v>0</v>
      </c>
      <c r="H186" s="112">
        <f t="shared" si="10"/>
        <v>0</v>
      </c>
      <c r="I186" s="112">
        <f t="shared" si="13"/>
        <v>0</v>
      </c>
      <c r="J186" s="111"/>
    </row>
    <row r="187" spans="1:10" x14ac:dyDescent="0.25">
      <c r="A187" s="107" t="b">
        <f>IF(('Stress Test Inputs'!$C$23)="FRM", FALSE, ISNUMBER(MATCH(C187,'Stress Test Inputs'!$M$18:$M$30,0)))</f>
        <v>0</v>
      </c>
      <c r="B187" s="116">
        <f>IF($A187, (_xlfn.XLOOKUP(C187,'Stress Test Inputs'!$M$17:$M$29,'Stress Test Inputs'!$N$17:$N$29)+'Stress Test Financial Analysis'!$D$5),$B186)</f>
        <v>0.06</v>
      </c>
      <c r="C187" s="114">
        <f t="shared" si="12"/>
        <v>185</v>
      </c>
      <c r="D187" s="112">
        <f t="shared" si="14"/>
        <v>0</v>
      </c>
      <c r="E187" s="112">
        <f>IF(OR(D187&lt;=0,C187&gt;'Stress Test Inputs'!$B$23*12),0,IF(AND(C187='Stress Test Inputs'!$B$23*12,'Stress Test Inputs'!$E$23&gt;'Stress Test Inputs'!$B$23),D187+D187*B187/12,IF('Stress Test Inputs'!$C$23="FRM",-PMT($B$3/12,'Stress Test Inputs'!$E$23*12,$D$3),IF($A187,-PMT(B187/12,('Stress Test Inputs'!$E$23*12)-C187+1,D187),E186))))</f>
        <v>0</v>
      </c>
      <c r="F187" s="112">
        <f t="shared" si="11"/>
        <v>0</v>
      </c>
      <c r="G187" s="112">
        <f>IF(C187&gt;'Stress Test Inputs'!$B$23*12,0,D187*B187/12)</f>
        <v>0</v>
      </c>
      <c r="H187" s="112">
        <f t="shared" si="10"/>
        <v>0</v>
      </c>
      <c r="I187" s="112">
        <f t="shared" si="13"/>
        <v>0</v>
      </c>
      <c r="J187" s="111"/>
    </row>
    <row r="188" spans="1:10" x14ac:dyDescent="0.25">
      <c r="A188" s="107" t="b">
        <f>IF(('Stress Test Inputs'!$C$23)="FRM", FALSE, ISNUMBER(MATCH(C188,'Stress Test Inputs'!$M$18:$M$30,0)))</f>
        <v>0</v>
      </c>
      <c r="B188" s="116">
        <f>IF($A188, (_xlfn.XLOOKUP(C188,'Stress Test Inputs'!$M$17:$M$29,'Stress Test Inputs'!$N$17:$N$29)+'Stress Test Financial Analysis'!$D$5),$B187)</f>
        <v>0.06</v>
      </c>
      <c r="C188" s="114">
        <f t="shared" si="12"/>
        <v>186</v>
      </c>
      <c r="D188" s="112">
        <f t="shared" si="14"/>
        <v>0</v>
      </c>
      <c r="E188" s="112">
        <f>IF(OR(D188&lt;=0,C188&gt;'Stress Test Inputs'!$B$23*12),0,IF(AND(C188='Stress Test Inputs'!$B$23*12,'Stress Test Inputs'!$E$23&gt;'Stress Test Inputs'!$B$23),D188+D188*B188/12,IF('Stress Test Inputs'!$C$23="FRM",-PMT($B$3/12,'Stress Test Inputs'!$E$23*12,$D$3),IF($A188,-PMT(B188/12,('Stress Test Inputs'!$E$23*12)-C188+1,D188),E187))))</f>
        <v>0</v>
      </c>
      <c r="F188" s="112">
        <f t="shared" si="11"/>
        <v>0</v>
      </c>
      <c r="G188" s="112">
        <f>IF(C188&gt;'Stress Test Inputs'!$B$23*12,0,D188*B188/12)</f>
        <v>0</v>
      </c>
      <c r="H188" s="112">
        <f t="shared" si="10"/>
        <v>0</v>
      </c>
      <c r="I188" s="112">
        <f t="shared" si="13"/>
        <v>0</v>
      </c>
      <c r="J188" s="111"/>
    </row>
    <row r="189" spans="1:10" x14ac:dyDescent="0.25">
      <c r="A189" s="107" t="b">
        <f>IF(('Stress Test Inputs'!$C$23)="FRM", FALSE, ISNUMBER(MATCH(C189,'Stress Test Inputs'!$M$18:$M$30,0)))</f>
        <v>0</v>
      </c>
      <c r="B189" s="116">
        <f>IF($A189, (_xlfn.XLOOKUP(C189,'Stress Test Inputs'!$M$17:$M$29,'Stress Test Inputs'!$N$17:$N$29)+'Stress Test Financial Analysis'!$D$5),$B188)</f>
        <v>0.06</v>
      </c>
      <c r="C189" s="114">
        <f t="shared" si="12"/>
        <v>187</v>
      </c>
      <c r="D189" s="112">
        <f t="shared" si="14"/>
        <v>0</v>
      </c>
      <c r="E189" s="112">
        <f>IF(OR(D189&lt;=0,C189&gt;'Stress Test Inputs'!$B$23*12),0,IF(AND(C189='Stress Test Inputs'!$B$23*12,'Stress Test Inputs'!$E$23&gt;'Stress Test Inputs'!$B$23),D189+D189*B189/12,IF('Stress Test Inputs'!$C$23="FRM",-PMT($B$3/12,'Stress Test Inputs'!$E$23*12,$D$3),IF($A189,-PMT(B189/12,('Stress Test Inputs'!$E$23*12)-C189+1,D189),E188))))</f>
        <v>0</v>
      </c>
      <c r="F189" s="112">
        <f t="shared" si="11"/>
        <v>0</v>
      </c>
      <c r="G189" s="112">
        <f>IF(C189&gt;'Stress Test Inputs'!$B$23*12,0,D189*B189/12)</f>
        <v>0</v>
      </c>
      <c r="H189" s="112">
        <f t="shared" si="10"/>
        <v>0</v>
      </c>
      <c r="I189" s="112">
        <f t="shared" si="13"/>
        <v>0</v>
      </c>
      <c r="J189" s="111"/>
    </row>
    <row r="190" spans="1:10" x14ac:dyDescent="0.25">
      <c r="A190" s="107" t="b">
        <f>IF(('Stress Test Inputs'!$C$23)="FRM", FALSE, ISNUMBER(MATCH(C190,'Stress Test Inputs'!$M$18:$M$30,0)))</f>
        <v>0</v>
      </c>
      <c r="B190" s="116">
        <f>IF($A190, (_xlfn.XLOOKUP(C190,'Stress Test Inputs'!$M$17:$M$29,'Stress Test Inputs'!$N$17:$N$29)+'Stress Test Financial Analysis'!$D$5),$B189)</f>
        <v>0.06</v>
      </c>
      <c r="C190" s="114">
        <f t="shared" si="12"/>
        <v>188</v>
      </c>
      <c r="D190" s="112">
        <f t="shared" si="14"/>
        <v>0</v>
      </c>
      <c r="E190" s="112">
        <f>IF(OR(D190&lt;=0,C190&gt;'Stress Test Inputs'!$B$23*12),0,IF(AND(C190='Stress Test Inputs'!$B$23*12,'Stress Test Inputs'!$E$23&gt;'Stress Test Inputs'!$B$23),D190+D190*B190/12,IF('Stress Test Inputs'!$C$23="FRM",-PMT($B$3/12,'Stress Test Inputs'!$E$23*12,$D$3),IF($A190,-PMT(B190/12,('Stress Test Inputs'!$E$23*12)-C190+1,D190),E189))))</f>
        <v>0</v>
      </c>
      <c r="F190" s="112">
        <f t="shared" si="11"/>
        <v>0</v>
      </c>
      <c r="G190" s="112">
        <f>IF(C190&gt;'Stress Test Inputs'!$B$23*12,0,D190*B190/12)</f>
        <v>0</v>
      </c>
      <c r="H190" s="112">
        <f t="shared" si="10"/>
        <v>0</v>
      </c>
      <c r="I190" s="112">
        <f t="shared" si="13"/>
        <v>0</v>
      </c>
      <c r="J190" s="111"/>
    </row>
    <row r="191" spans="1:10" x14ac:dyDescent="0.25">
      <c r="A191" s="107" t="b">
        <f>IF(('Stress Test Inputs'!$C$23)="FRM", FALSE, ISNUMBER(MATCH(C191,'Stress Test Inputs'!$M$18:$M$30,0)))</f>
        <v>0</v>
      </c>
      <c r="B191" s="116">
        <f>IF($A191, (_xlfn.XLOOKUP(C191,'Stress Test Inputs'!$M$17:$M$29,'Stress Test Inputs'!$N$17:$N$29)+'Stress Test Financial Analysis'!$D$5),$B190)</f>
        <v>0.06</v>
      </c>
      <c r="C191" s="114">
        <f t="shared" si="12"/>
        <v>189</v>
      </c>
      <c r="D191" s="112">
        <f t="shared" si="14"/>
        <v>0</v>
      </c>
      <c r="E191" s="112">
        <f>IF(OR(D191&lt;=0,C191&gt;'Stress Test Inputs'!$B$23*12),0,IF(AND(C191='Stress Test Inputs'!$B$23*12,'Stress Test Inputs'!$E$23&gt;'Stress Test Inputs'!$B$23),D191+D191*B191/12,IF('Stress Test Inputs'!$C$23="FRM",-PMT($B$3/12,'Stress Test Inputs'!$E$23*12,$D$3),IF($A191,-PMT(B191/12,('Stress Test Inputs'!$E$23*12)-C191+1,D191),E190))))</f>
        <v>0</v>
      </c>
      <c r="F191" s="112">
        <f t="shared" si="11"/>
        <v>0</v>
      </c>
      <c r="G191" s="112">
        <f>IF(C191&gt;'Stress Test Inputs'!$B$23*12,0,D191*B191/12)</f>
        <v>0</v>
      </c>
      <c r="H191" s="112">
        <f t="shared" si="10"/>
        <v>0</v>
      </c>
      <c r="I191" s="112">
        <f t="shared" si="13"/>
        <v>0</v>
      </c>
      <c r="J191" s="111"/>
    </row>
    <row r="192" spans="1:10" x14ac:dyDescent="0.25">
      <c r="A192" s="107" t="b">
        <f>IF(('Stress Test Inputs'!$C$23)="FRM", FALSE, ISNUMBER(MATCH(C192,'Stress Test Inputs'!$M$18:$M$30,0)))</f>
        <v>0</v>
      </c>
      <c r="B192" s="116">
        <f>IF($A192, (_xlfn.XLOOKUP(C192,'Stress Test Inputs'!$M$17:$M$29,'Stress Test Inputs'!$N$17:$N$29)+'Stress Test Financial Analysis'!$D$5),$B191)</f>
        <v>0.06</v>
      </c>
      <c r="C192" s="114">
        <f t="shared" si="12"/>
        <v>190</v>
      </c>
      <c r="D192" s="112">
        <f>IF(I191&gt;0,I191-J191,0)</f>
        <v>0</v>
      </c>
      <c r="E192" s="112">
        <f>IF(OR(D192&lt;=0,C192&gt;'Stress Test Inputs'!$B$23*12),0,IF(AND(C192='Stress Test Inputs'!$B$23*12,'Stress Test Inputs'!$E$23&gt;'Stress Test Inputs'!$B$23),D192+D192*B192/12,IF('Stress Test Inputs'!$C$23="FRM",-PMT($B$3/12,'Stress Test Inputs'!$E$23*12,$D$3),IF($A192,-PMT(B192/12,('Stress Test Inputs'!$E$23*12)-C192+1,D192),E191))))</f>
        <v>0</v>
      </c>
      <c r="F192" s="112">
        <f t="shared" si="11"/>
        <v>0</v>
      </c>
      <c r="G192" s="112">
        <f>IF(C192&gt;'Stress Test Inputs'!$B$23*12,0,D192*B192/12)</f>
        <v>0</v>
      </c>
      <c r="H192" s="112">
        <f t="shared" si="10"/>
        <v>0</v>
      </c>
      <c r="I192" s="112">
        <f t="shared" si="13"/>
        <v>0</v>
      </c>
      <c r="J192" s="111"/>
    </row>
    <row r="193" spans="1:10" x14ac:dyDescent="0.25">
      <c r="A193" s="107" t="b">
        <f>IF(('Stress Test Inputs'!$C$23)="FRM", FALSE, ISNUMBER(MATCH(C193,'Stress Test Inputs'!$M$18:$M$30,0)))</f>
        <v>0</v>
      </c>
      <c r="B193" s="116">
        <f>IF($A193, (_xlfn.XLOOKUP(C193,'Stress Test Inputs'!$M$17:$M$29,'Stress Test Inputs'!$N$17:$N$29)+'Stress Test Financial Analysis'!$D$5),$B192)</f>
        <v>0.06</v>
      </c>
      <c r="C193" s="114">
        <f t="shared" si="12"/>
        <v>191</v>
      </c>
      <c r="D193" s="112">
        <f t="shared" si="14"/>
        <v>0</v>
      </c>
      <c r="E193" s="112">
        <f>IF(OR(D193&lt;=0,C193&gt;'Stress Test Inputs'!$B$23*12),0,IF(AND(C193='Stress Test Inputs'!$B$23*12,'Stress Test Inputs'!$E$23&gt;'Stress Test Inputs'!$B$23),D193+D193*B193/12,IF('Stress Test Inputs'!$C$23="FRM",-PMT($B$3/12,'Stress Test Inputs'!$E$23*12,$D$3),IF($A193,-PMT(B193/12,('Stress Test Inputs'!$E$23*12)-C193+1,D193),E192))))</f>
        <v>0</v>
      </c>
      <c r="F193" s="112">
        <f t="shared" si="11"/>
        <v>0</v>
      </c>
      <c r="G193" s="112">
        <f>IF(C193&gt;'Stress Test Inputs'!$B$23*12,0,D193*B193/12)</f>
        <v>0</v>
      </c>
      <c r="H193" s="112">
        <f t="shared" si="10"/>
        <v>0</v>
      </c>
      <c r="I193" s="112">
        <f t="shared" si="13"/>
        <v>0</v>
      </c>
      <c r="J193" s="111"/>
    </row>
    <row r="194" spans="1:10" x14ac:dyDescent="0.25">
      <c r="A194" s="107" t="b">
        <f>IF(('Stress Test Inputs'!$C$23)="FRM", FALSE, ISNUMBER(MATCH(C194,'Stress Test Inputs'!$M$18:$M$30,0)))</f>
        <v>0</v>
      </c>
      <c r="B194" s="116">
        <f>IF($A194, (_xlfn.XLOOKUP(C194,'Stress Test Inputs'!$M$17:$M$29,'Stress Test Inputs'!$N$17:$N$29)+'Stress Test Financial Analysis'!$D$5),$B193)</f>
        <v>0.06</v>
      </c>
      <c r="C194" s="114">
        <f t="shared" si="12"/>
        <v>192</v>
      </c>
      <c r="D194" s="112">
        <f t="shared" si="14"/>
        <v>0</v>
      </c>
      <c r="E194" s="112">
        <f>IF(OR(D194&lt;=0,C194&gt;'Stress Test Inputs'!$B$23*12),0,IF(AND(C194='Stress Test Inputs'!$B$23*12,'Stress Test Inputs'!$E$23&gt;'Stress Test Inputs'!$B$23),D194+D194*B194/12,IF('Stress Test Inputs'!$C$23="FRM",-PMT($B$3/12,'Stress Test Inputs'!$E$23*12,$D$3),IF($A194,-PMT(B194/12,('Stress Test Inputs'!$E$23*12)-C194+1,D194),E193))))</f>
        <v>0</v>
      </c>
      <c r="F194" s="112">
        <f t="shared" si="11"/>
        <v>0</v>
      </c>
      <c r="G194" s="112">
        <f>IF(C194&gt;'Stress Test Inputs'!$B$23*12,0,D194*B194/12)</f>
        <v>0</v>
      </c>
      <c r="H194" s="112">
        <f t="shared" si="10"/>
        <v>0</v>
      </c>
      <c r="I194" s="112">
        <f t="shared" si="13"/>
        <v>0</v>
      </c>
      <c r="J194" s="111"/>
    </row>
    <row r="195" spans="1:10" x14ac:dyDescent="0.25">
      <c r="A195" s="107" t="b">
        <f>IF(('Stress Test Inputs'!$C$23)="FRM", FALSE, ISNUMBER(MATCH(C195,'Stress Test Inputs'!$M$18:$M$30,0)))</f>
        <v>0</v>
      </c>
      <c r="B195" s="116">
        <f>IF($A195, (_xlfn.XLOOKUP(C195,'Stress Test Inputs'!$M$17:$M$29,'Stress Test Inputs'!$N$17:$N$29)+'Stress Test Financial Analysis'!$D$5),$B194)</f>
        <v>0.06</v>
      </c>
      <c r="C195" s="114">
        <f t="shared" si="12"/>
        <v>193</v>
      </c>
      <c r="D195" s="112">
        <f t="shared" si="14"/>
        <v>0</v>
      </c>
      <c r="E195" s="112">
        <f>IF(OR(D195&lt;=0,C195&gt;'Stress Test Inputs'!$B$23*12),0,IF(AND(C195='Stress Test Inputs'!$B$23*12,'Stress Test Inputs'!$E$23&gt;'Stress Test Inputs'!$B$23),D195+D195*B195/12,IF('Stress Test Inputs'!$C$23="FRM",-PMT($B$3/12,'Stress Test Inputs'!$E$23*12,$D$3),IF($A195,-PMT(B195/12,('Stress Test Inputs'!$E$23*12)-C195+1,D195),E194))))</f>
        <v>0</v>
      </c>
      <c r="F195" s="112">
        <f t="shared" si="11"/>
        <v>0</v>
      </c>
      <c r="G195" s="112">
        <f>IF(C195&gt;'Stress Test Inputs'!$B$23*12,0,D195*B195/12)</f>
        <v>0</v>
      </c>
      <c r="H195" s="112">
        <f t="shared" ref="H195:H258" si="15">MIN(E195-G195,D195)</f>
        <v>0</v>
      </c>
      <c r="I195" s="112">
        <f t="shared" si="13"/>
        <v>0</v>
      </c>
      <c r="J195" s="111"/>
    </row>
    <row r="196" spans="1:10" x14ac:dyDescent="0.25">
      <c r="A196" s="107" t="b">
        <f>IF(('Stress Test Inputs'!$C$23)="FRM", FALSE, ISNUMBER(MATCH(C196,'Stress Test Inputs'!$M$18:$M$30,0)))</f>
        <v>0</v>
      </c>
      <c r="B196" s="116">
        <f>IF($A196, (_xlfn.XLOOKUP(C196,'Stress Test Inputs'!$M$17:$M$29,'Stress Test Inputs'!$N$17:$N$29)+'Stress Test Financial Analysis'!$D$5),$B195)</f>
        <v>0.06</v>
      </c>
      <c r="C196" s="114">
        <f t="shared" si="12"/>
        <v>194</v>
      </c>
      <c r="D196" s="112">
        <f t="shared" si="14"/>
        <v>0</v>
      </c>
      <c r="E196" s="112">
        <f>IF(OR(D196&lt;=0,C196&gt;'Stress Test Inputs'!$B$23*12),0,IF(AND(C196='Stress Test Inputs'!$B$23*12,'Stress Test Inputs'!$E$23&gt;'Stress Test Inputs'!$B$23),D196+D196*B196/12,IF('Stress Test Inputs'!$C$23="FRM",-PMT($B$3/12,'Stress Test Inputs'!$E$23*12,$D$3),IF($A196,-PMT(B196/12,('Stress Test Inputs'!$E$23*12)-C196+1,D196),E195))))</f>
        <v>0</v>
      </c>
      <c r="F196" s="112">
        <f t="shared" ref="F196:F259" si="16">IF(D196-E196&lt;0,0,D196-E196)</f>
        <v>0</v>
      </c>
      <c r="G196" s="112">
        <f>IF(C196&gt;'Stress Test Inputs'!$B$23*12,0,D196*B196/12)</f>
        <v>0</v>
      </c>
      <c r="H196" s="112">
        <f t="shared" si="15"/>
        <v>0</v>
      </c>
      <c r="I196" s="112">
        <f t="shared" si="13"/>
        <v>0</v>
      </c>
      <c r="J196" s="111"/>
    </row>
    <row r="197" spans="1:10" x14ac:dyDescent="0.25">
      <c r="A197" s="107" t="b">
        <f>IF(('Stress Test Inputs'!$C$23)="FRM", FALSE, ISNUMBER(MATCH(C197,'Stress Test Inputs'!$M$18:$M$30,0)))</f>
        <v>0</v>
      </c>
      <c r="B197" s="116">
        <f>IF($A197, (_xlfn.XLOOKUP(C197,'Stress Test Inputs'!$M$17:$M$29,'Stress Test Inputs'!$N$17:$N$29)+'Stress Test Financial Analysis'!$D$5),$B196)</f>
        <v>0.06</v>
      </c>
      <c r="C197" s="114">
        <f t="shared" ref="C197:C260" si="17">C196+1</f>
        <v>195</v>
      </c>
      <c r="D197" s="112">
        <f t="shared" si="14"/>
        <v>0</v>
      </c>
      <c r="E197" s="112">
        <f>IF(OR(D197&lt;=0,C197&gt;'Stress Test Inputs'!$B$23*12),0,IF(AND(C197='Stress Test Inputs'!$B$23*12,'Stress Test Inputs'!$E$23&gt;'Stress Test Inputs'!$B$23),D197+D197*B197/12,IF('Stress Test Inputs'!$C$23="FRM",-PMT($B$3/12,'Stress Test Inputs'!$E$23*12,$D$3),IF($A197,-PMT(B197/12,('Stress Test Inputs'!$E$23*12)-C197+1,D197),E196))))</f>
        <v>0</v>
      </c>
      <c r="F197" s="112">
        <f t="shared" si="16"/>
        <v>0</v>
      </c>
      <c r="G197" s="112">
        <f>IF(C197&gt;'Stress Test Inputs'!$B$23*12,0,D197*B197/12)</f>
        <v>0</v>
      </c>
      <c r="H197" s="112">
        <f t="shared" si="15"/>
        <v>0</v>
      </c>
      <c r="I197" s="112">
        <f t="shared" ref="I197:I260" si="18">IF(ROUND(D197-H197,2)=0,0,D197-H197)</f>
        <v>0</v>
      </c>
      <c r="J197" s="111"/>
    </row>
    <row r="198" spans="1:10" x14ac:dyDescent="0.25">
      <c r="A198" s="107" t="b">
        <f>IF(('Stress Test Inputs'!$C$23)="FRM", FALSE, ISNUMBER(MATCH(C198,'Stress Test Inputs'!$M$18:$M$30,0)))</f>
        <v>0</v>
      </c>
      <c r="B198" s="116">
        <f>IF($A198, (_xlfn.XLOOKUP(C198,'Stress Test Inputs'!$M$17:$M$29,'Stress Test Inputs'!$N$17:$N$29)+'Stress Test Financial Analysis'!$D$5),$B197)</f>
        <v>0.06</v>
      </c>
      <c r="C198" s="114">
        <f t="shared" si="17"/>
        <v>196</v>
      </c>
      <c r="D198" s="112">
        <f t="shared" si="14"/>
        <v>0</v>
      </c>
      <c r="E198" s="112">
        <f>IF(OR(D198&lt;=0,C198&gt;'Stress Test Inputs'!$B$23*12),0,IF(AND(C198='Stress Test Inputs'!$B$23*12,'Stress Test Inputs'!$E$23&gt;'Stress Test Inputs'!$B$23),D198+D198*B198/12,IF('Stress Test Inputs'!$C$23="FRM",-PMT($B$3/12,'Stress Test Inputs'!$E$23*12,$D$3),IF($A198,-PMT(B198/12,('Stress Test Inputs'!$E$23*12)-C198+1,D198),E197))))</f>
        <v>0</v>
      </c>
      <c r="F198" s="112">
        <f t="shared" si="16"/>
        <v>0</v>
      </c>
      <c r="G198" s="112">
        <f>IF(C198&gt;'Stress Test Inputs'!$B$23*12,0,D198*B198/12)</f>
        <v>0</v>
      </c>
      <c r="H198" s="112">
        <f t="shared" si="15"/>
        <v>0</v>
      </c>
      <c r="I198" s="112">
        <f t="shared" si="18"/>
        <v>0</v>
      </c>
      <c r="J198" s="111"/>
    </row>
    <row r="199" spans="1:10" x14ac:dyDescent="0.25">
      <c r="A199" s="107" t="b">
        <f>IF(('Stress Test Inputs'!$C$23)="FRM", FALSE, ISNUMBER(MATCH(C199,'Stress Test Inputs'!$M$18:$M$30,0)))</f>
        <v>0</v>
      </c>
      <c r="B199" s="116">
        <f>IF($A199, (_xlfn.XLOOKUP(C199,'Stress Test Inputs'!$M$17:$M$29,'Stress Test Inputs'!$N$17:$N$29)+'Stress Test Financial Analysis'!$D$5),$B198)</f>
        <v>0.06</v>
      </c>
      <c r="C199" s="114">
        <f t="shared" si="17"/>
        <v>197</v>
      </c>
      <c r="D199" s="112">
        <f t="shared" ref="D199:D262" si="19">IF(I198&gt;0,I198-J198,0)</f>
        <v>0</v>
      </c>
      <c r="E199" s="112">
        <f>IF(OR(D199&lt;=0,C199&gt;'Stress Test Inputs'!$B$23*12),0,IF(AND(C199='Stress Test Inputs'!$B$23*12,'Stress Test Inputs'!$E$23&gt;'Stress Test Inputs'!$B$23),D199+D199*B199/12,IF('Stress Test Inputs'!$C$23="FRM",-PMT($B$3/12,'Stress Test Inputs'!$E$23*12,$D$3),IF($A199,-PMT(B199/12,('Stress Test Inputs'!$E$23*12)-C199+1,D199),E198))))</f>
        <v>0</v>
      </c>
      <c r="F199" s="112">
        <f t="shared" si="16"/>
        <v>0</v>
      </c>
      <c r="G199" s="112">
        <f>IF(C199&gt;'Stress Test Inputs'!$B$23*12,0,D199*B199/12)</f>
        <v>0</v>
      </c>
      <c r="H199" s="112">
        <f t="shared" si="15"/>
        <v>0</v>
      </c>
      <c r="I199" s="112">
        <f t="shared" si="18"/>
        <v>0</v>
      </c>
      <c r="J199" s="111"/>
    </row>
    <row r="200" spans="1:10" x14ac:dyDescent="0.25">
      <c r="A200" s="107" t="b">
        <f>IF(('Stress Test Inputs'!$C$23)="FRM", FALSE, ISNUMBER(MATCH(C200,'Stress Test Inputs'!$M$18:$M$30,0)))</f>
        <v>0</v>
      </c>
      <c r="B200" s="116">
        <f>IF($A200, (_xlfn.XLOOKUP(C200,'Stress Test Inputs'!$M$17:$M$29,'Stress Test Inputs'!$N$17:$N$29)+'Stress Test Financial Analysis'!$D$5),$B199)</f>
        <v>0.06</v>
      </c>
      <c r="C200" s="114">
        <f t="shared" si="17"/>
        <v>198</v>
      </c>
      <c r="D200" s="112">
        <f t="shared" si="19"/>
        <v>0</v>
      </c>
      <c r="E200" s="112">
        <f>IF(OR(D200&lt;=0,C200&gt;'Stress Test Inputs'!$B$23*12),0,IF(AND(C200='Stress Test Inputs'!$B$23*12,'Stress Test Inputs'!$E$23&gt;'Stress Test Inputs'!$B$23),D200+D200*B200/12,IF('Stress Test Inputs'!$C$23="FRM",-PMT($B$3/12,'Stress Test Inputs'!$E$23*12,$D$3),IF($A200,-PMT(B200/12,('Stress Test Inputs'!$E$23*12)-C200+1,D200),E199))))</f>
        <v>0</v>
      </c>
      <c r="F200" s="112">
        <f t="shared" si="16"/>
        <v>0</v>
      </c>
      <c r="G200" s="112">
        <f>IF(C200&gt;'Stress Test Inputs'!$B$23*12,0,D200*B200/12)</f>
        <v>0</v>
      </c>
      <c r="H200" s="112">
        <f t="shared" si="15"/>
        <v>0</v>
      </c>
      <c r="I200" s="112">
        <f t="shared" si="18"/>
        <v>0</v>
      </c>
      <c r="J200" s="111"/>
    </row>
    <row r="201" spans="1:10" x14ac:dyDescent="0.25">
      <c r="A201" s="107" t="b">
        <f>IF(('Stress Test Inputs'!$C$23)="FRM", FALSE, ISNUMBER(MATCH(C201,'Stress Test Inputs'!$M$18:$M$30,0)))</f>
        <v>0</v>
      </c>
      <c r="B201" s="116">
        <f>IF($A201, (_xlfn.XLOOKUP(C201,'Stress Test Inputs'!$M$17:$M$29,'Stress Test Inputs'!$N$17:$N$29)+'Stress Test Financial Analysis'!$D$5),$B200)</f>
        <v>0.06</v>
      </c>
      <c r="C201" s="114">
        <f t="shared" si="17"/>
        <v>199</v>
      </c>
      <c r="D201" s="112">
        <f t="shared" si="19"/>
        <v>0</v>
      </c>
      <c r="E201" s="112">
        <f>IF(OR(D201&lt;=0,C201&gt;'Stress Test Inputs'!$B$23*12),0,IF(AND(C201='Stress Test Inputs'!$B$23*12,'Stress Test Inputs'!$E$23&gt;'Stress Test Inputs'!$B$23),D201+D201*B201/12,IF('Stress Test Inputs'!$C$23="FRM",-PMT($B$3/12,'Stress Test Inputs'!$E$23*12,$D$3),IF($A201,-PMT(B201/12,('Stress Test Inputs'!$E$23*12)-C201+1,D201),E200))))</f>
        <v>0</v>
      </c>
      <c r="F201" s="112">
        <f t="shared" si="16"/>
        <v>0</v>
      </c>
      <c r="G201" s="112">
        <f>IF(C201&gt;'Stress Test Inputs'!$B$23*12,0,D201*B201/12)</f>
        <v>0</v>
      </c>
      <c r="H201" s="112">
        <f t="shared" si="15"/>
        <v>0</v>
      </c>
      <c r="I201" s="112">
        <f t="shared" si="18"/>
        <v>0</v>
      </c>
      <c r="J201" s="111"/>
    </row>
    <row r="202" spans="1:10" x14ac:dyDescent="0.25">
      <c r="A202" s="107" t="b">
        <f>IF(('Stress Test Inputs'!$C$23)="FRM", FALSE, ISNUMBER(MATCH(C202,'Stress Test Inputs'!$M$18:$M$30,0)))</f>
        <v>0</v>
      </c>
      <c r="B202" s="116">
        <f>IF($A202, (_xlfn.XLOOKUP(C202,'Stress Test Inputs'!$M$17:$M$29,'Stress Test Inputs'!$N$17:$N$29)+'Stress Test Financial Analysis'!$D$5),$B201)</f>
        <v>0.06</v>
      </c>
      <c r="C202" s="114">
        <f t="shared" si="17"/>
        <v>200</v>
      </c>
      <c r="D202" s="112">
        <f t="shared" si="19"/>
        <v>0</v>
      </c>
      <c r="E202" s="112">
        <f>IF(OR(D202&lt;=0,C202&gt;'Stress Test Inputs'!$B$23*12),0,IF(AND(C202='Stress Test Inputs'!$B$23*12,'Stress Test Inputs'!$E$23&gt;'Stress Test Inputs'!$B$23),D202+D202*B202/12,IF('Stress Test Inputs'!$C$23="FRM",-PMT($B$3/12,'Stress Test Inputs'!$E$23*12,$D$3),IF($A202,-PMT(B202/12,('Stress Test Inputs'!$E$23*12)-C202+1,D202),E201))))</f>
        <v>0</v>
      </c>
      <c r="F202" s="112">
        <f t="shared" si="16"/>
        <v>0</v>
      </c>
      <c r="G202" s="112">
        <f>IF(C202&gt;'Stress Test Inputs'!$B$23*12,0,D202*B202/12)</f>
        <v>0</v>
      </c>
      <c r="H202" s="112">
        <f t="shared" si="15"/>
        <v>0</v>
      </c>
      <c r="I202" s="112">
        <f t="shared" si="18"/>
        <v>0</v>
      </c>
      <c r="J202" s="111"/>
    </row>
    <row r="203" spans="1:10" x14ac:dyDescent="0.25">
      <c r="A203" s="107" t="b">
        <f>IF(('Stress Test Inputs'!$C$23)="FRM", FALSE, ISNUMBER(MATCH(C203,'Stress Test Inputs'!$M$18:$M$30,0)))</f>
        <v>0</v>
      </c>
      <c r="B203" s="116">
        <f>IF($A203, (_xlfn.XLOOKUP(C203,'Stress Test Inputs'!$M$17:$M$29,'Stress Test Inputs'!$N$17:$N$29)+'Stress Test Financial Analysis'!$D$5),$B202)</f>
        <v>0.06</v>
      </c>
      <c r="C203" s="114">
        <f t="shared" si="17"/>
        <v>201</v>
      </c>
      <c r="D203" s="112">
        <f t="shared" si="19"/>
        <v>0</v>
      </c>
      <c r="E203" s="112">
        <f>IF(OR(D203&lt;=0,C203&gt;'Stress Test Inputs'!$B$23*12),0,IF(AND(C203='Stress Test Inputs'!$B$23*12,'Stress Test Inputs'!$E$23&gt;'Stress Test Inputs'!$B$23),D203+D203*B203/12,IF('Stress Test Inputs'!$C$23="FRM",-PMT($B$3/12,'Stress Test Inputs'!$E$23*12,$D$3),IF($A203,-PMT(B203/12,('Stress Test Inputs'!$E$23*12)-C203+1,D203),E202))))</f>
        <v>0</v>
      </c>
      <c r="F203" s="112">
        <f t="shared" si="16"/>
        <v>0</v>
      </c>
      <c r="G203" s="112">
        <f>IF(C203&gt;'Stress Test Inputs'!$B$23*12,0,D203*B203/12)</f>
        <v>0</v>
      </c>
      <c r="H203" s="112">
        <f t="shared" si="15"/>
        <v>0</v>
      </c>
      <c r="I203" s="112">
        <f t="shared" si="18"/>
        <v>0</v>
      </c>
      <c r="J203" s="111"/>
    </row>
    <row r="204" spans="1:10" x14ac:dyDescent="0.25">
      <c r="A204" s="107" t="b">
        <f>IF(('Stress Test Inputs'!$C$23)="FRM", FALSE, ISNUMBER(MATCH(C204,'Stress Test Inputs'!$M$18:$M$30,0)))</f>
        <v>0</v>
      </c>
      <c r="B204" s="116">
        <f>IF($A204, (_xlfn.XLOOKUP(C204,'Stress Test Inputs'!$M$17:$M$29,'Stress Test Inputs'!$N$17:$N$29)+'Stress Test Financial Analysis'!$D$5),$B203)</f>
        <v>0.06</v>
      </c>
      <c r="C204" s="114">
        <f t="shared" si="17"/>
        <v>202</v>
      </c>
      <c r="D204" s="112">
        <f t="shared" si="19"/>
        <v>0</v>
      </c>
      <c r="E204" s="112">
        <f>IF(OR(D204&lt;=0,C204&gt;'Stress Test Inputs'!$B$23*12),0,IF(AND(C204='Stress Test Inputs'!$B$23*12,'Stress Test Inputs'!$E$23&gt;'Stress Test Inputs'!$B$23),D204+D204*B204/12,IF('Stress Test Inputs'!$C$23="FRM",-PMT($B$3/12,'Stress Test Inputs'!$E$23*12,$D$3),IF($A204,-PMT(B204/12,('Stress Test Inputs'!$E$23*12)-C204+1,D204),E203))))</f>
        <v>0</v>
      </c>
      <c r="F204" s="112">
        <f t="shared" si="16"/>
        <v>0</v>
      </c>
      <c r="G204" s="112">
        <f>IF(C204&gt;'Stress Test Inputs'!$B$23*12,0,D204*B204/12)</f>
        <v>0</v>
      </c>
      <c r="H204" s="112">
        <f t="shared" si="15"/>
        <v>0</v>
      </c>
      <c r="I204" s="112">
        <f t="shared" si="18"/>
        <v>0</v>
      </c>
      <c r="J204" s="111"/>
    </row>
    <row r="205" spans="1:10" x14ac:dyDescent="0.25">
      <c r="A205" s="107" t="b">
        <f>IF(('Stress Test Inputs'!$C$23)="FRM", FALSE, ISNUMBER(MATCH(C205,'Stress Test Inputs'!$M$18:$M$30,0)))</f>
        <v>0</v>
      </c>
      <c r="B205" s="116">
        <f>IF($A205, (_xlfn.XLOOKUP(C205,'Stress Test Inputs'!$M$17:$M$29,'Stress Test Inputs'!$N$17:$N$29)+'Stress Test Financial Analysis'!$D$5),$B204)</f>
        <v>0.06</v>
      </c>
      <c r="C205" s="114">
        <f t="shared" si="17"/>
        <v>203</v>
      </c>
      <c r="D205" s="112">
        <f t="shared" si="19"/>
        <v>0</v>
      </c>
      <c r="E205" s="112">
        <f>IF(OR(D205&lt;=0,C205&gt;'Stress Test Inputs'!$B$23*12),0,IF(AND(C205='Stress Test Inputs'!$B$23*12,'Stress Test Inputs'!$E$23&gt;'Stress Test Inputs'!$B$23),D205+D205*B205/12,IF('Stress Test Inputs'!$C$23="FRM",-PMT($B$3/12,'Stress Test Inputs'!$E$23*12,$D$3),IF($A205,-PMT(B205/12,('Stress Test Inputs'!$E$23*12)-C205+1,D205),E204))))</f>
        <v>0</v>
      </c>
      <c r="F205" s="112">
        <f t="shared" si="16"/>
        <v>0</v>
      </c>
      <c r="G205" s="112">
        <f>IF(C205&gt;'Stress Test Inputs'!$B$23*12,0,D205*B205/12)</f>
        <v>0</v>
      </c>
      <c r="H205" s="112">
        <f t="shared" si="15"/>
        <v>0</v>
      </c>
      <c r="I205" s="112">
        <f t="shared" si="18"/>
        <v>0</v>
      </c>
      <c r="J205" s="111"/>
    </row>
    <row r="206" spans="1:10" x14ac:dyDescent="0.25">
      <c r="A206" s="107" t="b">
        <f>IF(('Stress Test Inputs'!$C$23)="FRM", FALSE, ISNUMBER(MATCH(C206,'Stress Test Inputs'!$M$18:$M$30,0)))</f>
        <v>0</v>
      </c>
      <c r="B206" s="116">
        <f>IF($A206, (_xlfn.XLOOKUP(C206,'Stress Test Inputs'!$M$17:$M$29,'Stress Test Inputs'!$N$17:$N$29)+'Stress Test Financial Analysis'!$D$5),$B205)</f>
        <v>0.06</v>
      </c>
      <c r="C206" s="114">
        <f t="shared" si="17"/>
        <v>204</v>
      </c>
      <c r="D206" s="112">
        <f t="shared" si="19"/>
        <v>0</v>
      </c>
      <c r="E206" s="112">
        <f>IF(OR(D206&lt;=0,C206&gt;'Stress Test Inputs'!$B$23*12),0,IF(AND(C206='Stress Test Inputs'!$B$23*12,'Stress Test Inputs'!$E$23&gt;'Stress Test Inputs'!$B$23),D206+D206*B206/12,IF('Stress Test Inputs'!$C$23="FRM",-PMT($B$3/12,'Stress Test Inputs'!$E$23*12,$D$3),IF($A206,-PMT(B206/12,('Stress Test Inputs'!$E$23*12)-C206+1,D206),E205))))</f>
        <v>0</v>
      </c>
      <c r="F206" s="112">
        <f t="shared" si="16"/>
        <v>0</v>
      </c>
      <c r="G206" s="112">
        <f>IF(C206&gt;'Stress Test Inputs'!$B$23*12,0,D206*B206/12)</f>
        <v>0</v>
      </c>
      <c r="H206" s="112">
        <f t="shared" si="15"/>
        <v>0</v>
      </c>
      <c r="I206" s="112">
        <f t="shared" si="18"/>
        <v>0</v>
      </c>
      <c r="J206" s="111"/>
    </row>
    <row r="207" spans="1:10" x14ac:dyDescent="0.25">
      <c r="A207" s="107" t="b">
        <f>IF(('Stress Test Inputs'!$C$23)="FRM", FALSE, ISNUMBER(MATCH(C207,'Stress Test Inputs'!$M$18:$M$30,0)))</f>
        <v>0</v>
      </c>
      <c r="B207" s="116">
        <f>IF($A207, (_xlfn.XLOOKUP(C207,'Stress Test Inputs'!$M$17:$M$29,'Stress Test Inputs'!$N$17:$N$29)+'Stress Test Financial Analysis'!$D$5),$B206)</f>
        <v>0.06</v>
      </c>
      <c r="C207" s="114">
        <f t="shared" si="17"/>
        <v>205</v>
      </c>
      <c r="D207" s="112">
        <f t="shared" si="19"/>
        <v>0</v>
      </c>
      <c r="E207" s="112">
        <f>IF(OR(D207&lt;=0,C207&gt;'Stress Test Inputs'!$B$23*12),0,IF(AND(C207='Stress Test Inputs'!$B$23*12,'Stress Test Inputs'!$E$23&gt;'Stress Test Inputs'!$B$23),D207+D207*B207/12,IF('Stress Test Inputs'!$C$23="FRM",-PMT($B$3/12,'Stress Test Inputs'!$E$23*12,$D$3),IF($A207,-PMT(B207/12,('Stress Test Inputs'!$E$23*12)-C207+1,D207),E206))))</f>
        <v>0</v>
      </c>
      <c r="F207" s="112">
        <f t="shared" si="16"/>
        <v>0</v>
      </c>
      <c r="G207" s="112">
        <f>IF(C207&gt;'Stress Test Inputs'!$B$23*12,0,D207*B207/12)</f>
        <v>0</v>
      </c>
      <c r="H207" s="112">
        <f t="shared" si="15"/>
        <v>0</v>
      </c>
      <c r="I207" s="112">
        <f t="shared" si="18"/>
        <v>0</v>
      </c>
      <c r="J207" s="111"/>
    </row>
    <row r="208" spans="1:10" x14ac:dyDescent="0.25">
      <c r="A208" s="107" t="b">
        <f>IF(('Stress Test Inputs'!$C$23)="FRM", FALSE, ISNUMBER(MATCH(C208,'Stress Test Inputs'!$M$18:$M$30,0)))</f>
        <v>0</v>
      </c>
      <c r="B208" s="116">
        <f>IF($A208, (_xlfn.XLOOKUP(C208,'Stress Test Inputs'!$M$17:$M$29,'Stress Test Inputs'!$N$17:$N$29)+'Stress Test Financial Analysis'!$D$5),$B207)</f>
        <v>0.06</v>
      </c>
      <c r="C208" s="114">
        <f t="shared" si="17"/>
        <v>206</v>
      </c>
      <c r="D208" s="112">
        <f t="shared" si="19"/>
        <v>0</v>
      </c>
      <c r="E208" s="112">
        <f>IF(OR(D208&lt;=0,C208&gt;'Stress Test Inputs'!$B$23*12),0,IF(AND(C208='Stress Test Inputs'!$B$23*12,'Stress Test Inputs'!$E$23&gt;'Stress Test Inputs'!$B$23),D208+D208*B208/12,IF('Stress Test Inputs'!$C$23="FRM",-PMT($B$3/12,'Stress Test Inputs'!$E$23*12,$D$3),IF($A208,-PMT(B208/12,('Stress Test Inputs'!$E$23*12)-C208+1,D208),E207))))</f>
        <v>0</v>
      </c>
      <c r="F208" s="112">
        <f t="shared" si="16"/>
        <v>0</v>
      </c>
      <c r="G208" s="112">
        <f>IF(C208&gt;'Stress Test Inputs'!$B$23*12,0,D208*B208/12)</f>
        <v>0</v>
      </c>
      <c r="H208" s="112">
        <f t="shared" si="15"/>
        <v>0</v>
      </c>
      <c r="I208" s="112">
        <f t="shared" si="18"/>
        <v>0</v>
      </c>
      <c r="J208" s="111"/>
    </row>
    <row r="209" spans="1:10" x14ac:dyDescent="0.25">
      <c r="A209" s="107" t="b">
        <f>IF(('Stress Test Inputs'!$C$23)="FRM", FALSE, ISNUMBER(MATCH(C209,'Stress Test Inputs'!$M$18:$M$30,0)))</f>
        <v>0</v>
      </c>
      <c r="B209" s="116">
        <f>IF($A209, (_xlfn.XLOOKUP(C209,'Stress Test Inputs'!$M$17:$M$29,'Stress Test Inputs'!$N$17:$N$29)+'Stress Test Financial Analysis'!$D$5),$B208)</f>
        <v>0.06</v>
      </c>
      <c r="C209" s="114">
        <f t="shared" si="17"/>
        <v>207</v>
      </c>
      <c r="D209" s="112">
        <f t="shared" si="19"/>
        <v>0</v>
      </c>
      <c r="E209" s="112">
        <f>IF(OR(D209&lt;=0,C209&gt;'Stress Test Inputs'!$B$23*12),0,IF(AND(C209='Stress Test Inputs'!$B$23*12,'Stress Test Inputs'!$E$23&gt;'Stress Test Inputs'!$B$23),D209+D209*B209/12,IF('Stress Test Inputs'!$C$23="FRM",-PMT($B$3/12,'Stress Test Inputs'!$E$23*12,$D$3),IF($A209,-PMT(B209/12,('Stress Test Inputs'!$E$23*12)-C209+1,D209),E208))))</f>
        <v>0</v>
      </c>
      <c r="F209" s="112">
        <f t="shared" si="16"/>
        <v>0</v>
      </c>
      <c r="G209" s="112">
        <f>IF(C209&gt;'Stress Test Inputs'!$B$23*12,0,D209*B209/12)</f>
        <v>0</v>
      </c>
      <c r="H209" s="112">
        <f t="shared" si="15"/>
        <v>0</v>
      </c>
      <c r="I209" s="112">
        <f t="shared" si="18"/>
        <v>0</v>
      </c>
      <c r="J209" s="111"/>
    </row>
    <row r="210" spans="1:10" x14ac:dyDescent="0.25">
      <c r="A210" s="107" t="b">
        <f>IF(('Stress Test Inputs'!$C$23)="FRM", FALSE, ISNUMBER(MATCH(C210,'Stress Test Inputs'!$M$18:$M$30,0)))</f>
        <v>0</v>
      </c>
      <c r="B210" s="116">
        <f>IF($A210, (_xlfn.XLOOKUP(C210,'Stress Test Inputs'!$M$17:$M$29,'Stress Test Inputs'!$N$17:$N$29)+'Stress Test Financial Analysis'!$D$5),$B209)</f>
        <v>0.06</v>
      </c>
      <c r="C210" s="114">
        <f t="shared" si="17"/>
        <v>208</v>
      </c>
      <c r="D210" s="112">
        <f t="shared" si="19"/>
        <v>0</v>
      </c>
      <c r="E210" s="112">
        <f>IF(OR(D210&lt;=0,C210&gt;'Stress Test Inputs'!$B$23*12),0,IF(AND(C210='Stress Test Inputs'!$B$23*12,'Stress Test Inputs'!$E$23&gt;'Stress Test Inputs'!$B$23),D210+D210*B210/12,IF('Stress Test Inputs'!$C$23="FRM",-PMT($B$3/12,'Stress Test Inputs'!$E$23*12,$D$3),IF($A210,-PMT(B210/12,('Stress Test Inputs'!$E$23*12)-C210+1,D210),E209))))</f>
        <v>0</v>
      </c>
      <c r="F210" s="112">
        <f t="shared" si="16"/>
        <v>0</v>
      </c>
      <c r="G210" s="112">
        <f>IF(C210&gt;'Stress Test Inputs'!$B$23*12,0,D210*B210/12)</f>
        <v>0</v>
      </c>
      <c r="H210" s="112">
        <f t="shared" si="15"/>
        <v>0</v>
      </c>
      <c r="I210" s="112">
        <f t="shared" si="18"/>
        <v>0</v>
      </c>
      <c r="J210" s="111"/>
    </row>
    <row r="211" spans="1:10" x14ac:dyDescent="0.25">
      <c r="A211" s="107" t="b">
        <f>IF(('Stress Test Inputs'!$C$23)="FRM", FALSE, ISNUMBER(MATCH(C211,'Stress Test Inputs'!$M$18:$M$30,0)))</f>
        <v>0</v>
      </c>
      <c r="B211" s="116">
        <f>IF($A211, (_xlfn.XLOOKUP(C211,'Stress Test Inputs'!$M$17:$M$29,'Stress Test Inputs'!$N$17:$N$29)+'Stress Test Financial Analysis'!$D$5),$B210)</f>
        <v>0.06</v>
      </c>
      <c r="C211" s="114">
        <f t="shared" si="17"/>
        <v>209</v>
      </c>
      <c r="D211" s="112">
        <f t="shared" si="19"/>
        <v>0</v>
      </c>
      <c r="E211" s="112">
        <f>IF(OR(D211&lt;=0,C211&gt;'Stress Test Inputs'!$B$23*12),0,IF(AND(C211='Stress Test Inputs'!$B$23*12,'Stress Test Inputs'!$E$23&gt;'Stress Test Inputs'!$B$23),D211+D211*B211/12,IF('Stress Test Inputs'!$C$23="FRM",-PMT($B$3/12,'Stress Test Inputs'!$E$23*12,$D$3),IF($A211,-PMT(B211/12,('Stress Test Inputs'!$E$23*12)-C211+1,D211),E210))))</f>
        <v>0</v>
      </c>
      <c r="F211" s="112">
        <f t="shared" si="16"/>
        <v>0</v>
      </c>
      <c r="G211" s="112">
        <f>IF(C211&gt;'Stress Test Inputs'!$B$23*12,0,D211*B211/12)</f>
        <v>0</v>
      </c>
      <c r="H211" s="112">
        <f t="shared" si="15"/>
        <v>0</v>
      </c>
      <c r="I211" s="112">
        <f t="shared" si="18"/>
        <v>0</v>
      </c>
      <c r="J211" s="111"/>
    </row>
    <row r="212" spans="1:10" x14ac:dyDescent="0.25">
      <c r="A212" s="107" t="b">
        <f>IF(('Stress Test Inputs'!$C$23)="FRM", FALSE, ISNUMBER(MATCH(C212,'Stress Test Inputs'!$M$18:$M$30,0)))</f>
        <v>0</v>
      </c>
      <c r="B212" s="116">
        <f>IF($A212, (_xlfn.XLOOKUP(C212,'Stress Test Inputs'!$M$17:$M$29,'Stress Test Inputs'!$N$17:$N$29)+'Stress Test Financial Analysis'!$D$5),$B211)</f>
        <v>0.06</v>
      </c>
      <c r="C212" s="114">
        <f t="shared" si="17"/>
        <v>210</v>
      </c>
      <c r="D212" s="112">
        <f t="shared" si="19"/>
        <v>0</v>
      </c>
      <c r="E212" s="112">
        <f>IF(OR(D212&lt;=0,C212&gt;'Stress Test Inputs'!$B$23*12),0,IF(AND(C212='Stress Test Inputs'!$B$23*12,'Stress Test Inputs'!$E$23&gt;'Stress Test Inputs'!$B$23),D212+D212*B212/12,IF('Stress Test Inputs'!$C$23="FRM",-PMT($B$3/12,'Stress Test Inputs'!$E$23*12,$D$3),IF($A212,-PMT(B212/12,('Stress Test Inputs'!$E$23*12)-C212+1,D212),E211))))</f>
        <v>0</v>
      </c>
      <c r="F212" s="112">
        <f t="shared" si="16"/>
        <v>0</v>
      </c>
      <c r="G212" s="112">
        <f>IF(C212&gt;'Stress Test Inputs'!$B$23*12,0,D212*B212/12)</f>
        <v>0</v>
      </c>
      <c r="H212" s="112">
        <f t="shared" si="15"/>
        <v>0</v>
      </c>
      <c r="I212" s="112">
        <f t="shared" si="18"/>
        <v>0</v>
      </c>
      <c r="J212" s="111"/>
    </row>
    <row r="213" spans="1:10" x14ac:dyDescent="0.25">
      <c r="A213" s="107" t="b">
        <f>IF(('Stress Test Inputs'!$C$23)="FRM", FALSE, ISNUMBER(MATCH(C213,'Stress Test Inputs'!$M$18:$M$30,0)))</f>
        <v>0</v>
      </c>
      <c r="B213" s="116">
        <f>IF($A213, (_xlfn.XLOOKUP(C213,'Stress Test Inputs'!$M$17:$M$29,'Stress Test Inputs'!$N$17:$N$29)+'Stress Test Financial Analysis'!$D$5),$B212)</f>
        <v>0.06</v>
      </c>
      <c r="C213" s="114">
        <f t="shared" si="17"/>
        <v>211</v>
      </c>
      <c r="D213" s="112">
        <f t="shared" si="19"/>
        <v>0</v>
      </c>
      <c r="E213" s="112">
        <f>IF(OR(D213&lt;=0,C213&gt;'Stress Test Inputs'!$B$23*12),0,IF(AND(C213='Stress Test Inputs'!$B$23*12,'Stress Test Inputs'!$E$23&gt;'Stress Test Inputs'!$B$23),D213+D213*B213/12,IF('Stress Test Inputs'!$C$23="FRM",-PMT($B$3/12,'Stress Test Inputs'!$E$23*12,$D$3),IF($A213,-PMT(B213/12,('Stress Test Inputs'!$E$23*12)-C213+1,D213),E212))))</f>
        <v>0</v>
      </c>
      <c r="F213" s="112">
        <f t="shared" si="16"/>
        <v>0</v>
      </c>
      <c r="G213" s="112">
        <f>IF(C213&gt;'Stress Test Inputs'!$B$23*12,0,D213*B213/12)</f>
        <v>0</v>
      </c>
      <c r="H213" s="112">
        <f t="shared" si="15"/>
        <v>0</v>
      </c>
      <c r="I213" s="112">
        <f t="shared" si="18"/>
        <v>0</v>
      </c>
      <c r="J213" s="111"/>
    </row>
    <row r="214" spans="1:10" x14ac:dyDescent="0.25">
      <c r="A214" s="107" t="b">
        <f>IF(('Stress Test Inputs'!$C$23)="FRM", FALSE, ISNUMBER(MATCH(C214,'Stress Test Inputs'!$M$18:$M$30,0)))</f>
        <v>0</v>
      </c>
      <c r="B214" s="116">
        <f>IF($A214, (_xlfn.XLOOKUP(C214,'Stress Test Inputs'!$M$17:$M$29,'Stress Test Inputs'!$N$17:$N$29)+'Stress Test Financial Analysis'!$D$5),$B213)</f>
        <v>0.06</v>
      </c>
      <c r="C214" s="114">
        <f t="shared" si="17"/>
        <v>212</v>
      </c>
      <c r="D214" s="112">
        <f t="shared" si="19"/>
        <v>0</v>
      </c>
      <c r="E214" s="112">
        <f>IF(OR(D214&lt;=0,C214&gt;'Stress Test Inputs'!$B$23*12),0,IF(AND(C214='Stress Test Inputs'!$B$23*12,'Stress Test Inputs'!$E$23&gt;'Stress Test Inputs'!$B$23),D214+D214*B214/12,IF('Stress Test Inputs'!$C$23="FRM",-PMT($B$3/12,'Stress Test Inputs'!$E$23*12,$D$3),IF($A214,-PMT(B214/12,('Stress Test Inputs'!$E$23*12)-C214+1,D214),E213))))</f>
        <v>0</v>
      </c>
      <c r="F214" s="112">
        <f t="shared" si="16"/>
        <v>0</v>
      </c>
      <c r="G214" s="112">
        <f>IF(C214&gt;'Stress Test Inputs'!$B$23*12,0,D214*B214/12)</f>
        <v>0</v>
      </c>
      <c r="H214" s="112">
        <f t="shared" si="15"/>
        <v>0</v>
      </c>
      <c r="I214" s="112">
        <f t="shared" si="18"/>
        <v>0</v>
      </c>
      <c r="J214" s="111"/>
    </row>
    <row r="215" spans="1:10" x14ac:dyDescent="0.25">
      <c r="A215" s="107" t="b">
        <f>IF(('Stress Test Inputs'!$C$23)="FRM", FALSE, ISNUMBER(MATCH(C215,'Stress Test Inputs'!$M$18:$M$30,0)))</f>
        <v>0</v>
      </c>
      <c r="B215" s="116">
        <f>IF($A215, (_xlfn.XLOOKUP(C215,'Stress Test Inputs'!$M$17:$M$29,'Stress Test Inputs'!$N$17:$N$29)+'Stress Test Financial Analysis'!$D$5),$B214)</f>
        <v>0.06</v>
      </c>
      <c r="C215" s="114">
        <f t="shared" si="17"/>
        <v>213</v>
      </c>
      <c r="D215" s="112">
        <f t="shared" si="19"/>
        <v>0</v>
      </c>
      <c r="E215" s="112">
        <f>IF(OR(D215&lt;=0,C215&gt;'Stress Test Inputs'!$B$23*12),0,IF(AND(C215='Stress Test Inputs'!$B$23*12,'Stress Test Inputs'!$E$23&gt;'Stress Test Inputs'!$B$23),D215+D215*B215/12,IF('Stress Test Inputs'!$C$23="FRM",-PMT($B$3/12,'Stress Test Inputs'!$E$23*12,$D$3),IF($A215,-PMT(B215/12,('Stress Test Inputs'!$E$23*12)-C215+1,D215),E214))))</f>
        <v>0</v>
      </c>
      <c r="F215" s="112">
        <f t="shared" si="16"/>
        <v>0</v>
      </c>
      <c r="G215" s="112">
        <f>IF(C215&gt;'Stress Test Inputs'!$B$23*12,0,D215*B215/12)</f>
        <v>0</v>
      </c>
      <c r="H215" s="112">
        <f t="shared" si="15"/>
        <v>0</v>
      </c>
      <c r="I215" s="112">
        <f t="shared" si="18"/>
        <v>0</v>
      </c>
      <c r="J215" s="111"/>
    </row>
    <row r="216" spans="1:10" x14ac:dyDescent="0.25">
      <c r="A216" s="107" t="b">
        <f>IF(('Stress Test Inputs'!$C$23)="FRM", FALSE, ISNUMBER(MATCH(C216,'Stress Test Inputs'!$M$18:$M$30,0)))</f>
        <v>0</v>
      </c>
      <c r="B216" s="116">
        <f>IF($A216, (_xlfn.XLOOKUP(C216,'Stress Test Inputs'!$M$17:$M$29,'Stress Test Inputs'!$N$17:$N$29)+'Stress Test Financial Analysis'!$D$5),$B215)</f>
        <v>0.06</v>
      </c>
      <c r="C216" s="114">
        <f t="shared" si="17"/>
        <v>214</v>
      </c>
      <c r="D216" s="112">
        <f t="shared" si="19"/>
        <v>0</v>
      </c>
      <c r="E216" s="112">
        <f>IF(OR(D216&lt;=0,C216&gt;'Stress Test Inputs'!$B$23*12),0,IF(AND(C216='Stress Test Inputs'!$B$23*12,'Stress Test Inputs'!$E$23&gt;'Stress Test Inputs'!$B$23),D216+D216*B216/12,IF('Stress Test Inputs'!$C$23="FRM",-PMT($B$3/12,'Stress Test Inputs'!$E$23*12,$D$3),IF($A216,-PMT(B216/12,('Stress Test Inputs'!$E$23*12)-C216+1,D216),E215))))</f>
        <v>0</v>
      </c>
      <c r="F216" s="112">
        <f t="shared" si="16"/>
        <v>0</v>
      </c>
      <c r="G216" s="112">
        <f>IF(C216&gt;'Stress Test Inputs'!$B$23*12,0,D216*B216/12)</f>
        <v>0</v>
      </c>
      <c r="H216" s="112">
        <f t="shared" si="15"/>
        <v>0</v>
      </c>
      <c r="I216" s="112">
        <f t="shared" si="18"/>
        <v>0</v>
      </c>
      <c r="J216" s="111"/>
    </row>
    <row r="217" spans="1:10" x14ac:dyDescent="0.25">
      <c r="A217" s="107" t="b">
        <f>IF(('Stress Test Inputs'!$C$23)="FRM", FALSE, ISNUMBER(MATCH(C217,'Stress Test Inputs'!$M$18:$M$30,0)))</f>
        <v>0</v>
      </c>
      <c r="B217" s="116">
        <f>IF($A217, (_xlfn.XLOOKUP(C217,'Stress Test Inputs'!$M$17:$M$29,'Stress Test Inputs'!$N$17:$N$29)+'Stress Test Financial Analysis'!$D$5),$B216)</f>
        <v>0.06</v>
      </c>
      <c r="C217" s="114">
        <f t="shared" si="17"/>
        <v>215</v>
      </c>
      <c r="D217" s="112">
        <f t="shared" si="19"/>
        <v>0</v>
      </c>
      <c r="E217" s="112">
        <f>IF(OR(D217&lt;=0,C217&gt;'Stress Test Inputs'!$B$23*12),0,IF(AND(C217='Stress Test Inputs'!$B$23*12,'Stress Test Inputs'!$E$23&gt;'Stress Test Inputs'!$B$23),D217+D217*B217/12,IF('Stress Test Inputs'!$C$23="FRM",-PMT($B$3/12,'Stress Test Inputs'!$E$23*12,$D$3),IF($A217,-PMT(B217/12,('Stress Test Inputs'!$E$23*12)-C217+1,D217),E216))))</f>
        <v>0</v>
      </c>
      <c r="F217" s="112">
        <f t="shared" si="16"/>
        <v>0</v>
      </c>
      <c r="G217" s="112">
        <f>IF(C217&gt;'Stress Test Inputs'!$B$23*12,0,D217*B217/12)</f>
        <v>0</v>
      </c>
      <c r="H217" s="112">
        <f t="shared" si="15"/>
        <v>0</v>
      </c>
      <c r="I217" s="112">
        <f t="shared" si="18"/>
        <v>0</v>
      </c>
      <c r="J217" s="111"/>
    </row>
    <row r="218" spans="1:10" x14ac:dyDescent="0.25">
      <c r="A218" s="107" t="b">
        <f>IF(('Stress Test Inputs'!$C$23)="FRM", FALSE, ISNUMBER(MATCH(C218,'Stress Test Inputs'!$M$18:$M$30,0)))</f>
        <v>0</v>
      </c>
      <c r="B218" s="116">
        <f>IF($A218, (_xlfn.XLOOKUP(C218,'Stress Test Inputs'!$M$17:$M$29,'Stress Test Inputs'!$N$17:$N$29)+'Stress Test Financial Analysis'!$D$5),$B217)</f>
        <v>0.06</v>
      </c>
      <c r="C218" s="114">
        <f t="shared" si="17"/>
        <v>216</v>
      </c>
      <c r="D218" s="112">
        <f t="shared" si="19"/>
        <v>0</v>
      </c>
      <c r="E218" s="112">
        <f>IF(OR(D218&lt;=0,C218&gt;'Stress Test Inputs'!$B$23*12),0,IF(AND(C218='Stress Test Inputs'!$B$23*12,'Stress Test Inputs'!$E$23&gt;'Stress Test Inputs'!$B$23),D218+D218*B218/12,IF('Stress Test Inputs'!$C$23="FRM",-PMT($B$3/12,'Stress Test Inputs'!$E$23*12,$D$3),IF($A218,-PMT(B218/12,('Stress Test Inputs'!$E$23*12)-C218+1,D218),E217))))</f>
        <v>0</v>
      </c>
      <c r="F218" s="112">
        <f t="shared" si="16"/>
        <v>0</v>
      </c>
      <c r="G218" s="112">
        <f>IF(C218&gt;'Stress Test Inputs'!$B$23*12,0,D218*B218/12)</f>
        <v>0</v>
      </c>
      <c r="H218" s="112">
        <f t="shared" si="15"/>
        <v>0</v>
      </c>
      <c r="I218" s="112">
        <f t="shared" si="18"/>
        <v>0</v>
      </c>
      <c r="J218" s="111"/>
    </row>
    <row r="219" spans="1:10" x14ac:dyDescent="0.25">
      <c r="A219" s="107" t="b">
        <f>IF(('Stress Test Inputs'!$C$23)="FRM", FALSE, ISNUMBER(MATCH(C219,'Stress Test Inputs'!$M$18:$M$30,0)))</f>
        <v>0</v>
      </c>
      <c r="B219" s="116">
        <f>IF($A219, (_xlfn.XLOOKUP(C219,'Stress Test Inputs'!$M$17:$M$29,'Stress Test Inputs'!$N$17:$N$29)+'Stress Test Financial Analysis'!$D$5),$B218)</f>
        <v>0.06</v>
      </c>
      <c r="C219" s="114">
        <f t="shared" si="17"/>
        <v>217</v>
      </c>
      <c r="D219" s="112">
        <f t="shared" si="19"/>
        <v>0</v>
      </c>
      <c r="E219" s="112">
        <f>IF(OR(D219&lt;=0,C219&gt;'Stress Test Inputs'!$B$23*12),0,IF(AND(C219='Stress Test Inputs'!$B$23*12,'Stress Test Inputs'!$E$23&gt;'Stress Test Inputs'!$B$23),D219+D219*B219/12,IF('Stress Test Inputs'!$C$23="FRM",-PMT($B$3/12,'Stress Test Inputs'!$E$23*12,$D$3),IF($A219,-PMT(B219/12,('Stress Test Inputs'!$E$23*12)-C219+1,D219),E218))))</f>
        <v>0</v>
      </c>
      <c r="F219" s="112">
        <f t="shared" si="16"/>
        <v>0</v>
      </c>
      <c r="G219" s="112">
        <f>IF(C219&gt;'Stress Test Inputs'!$B$23*12,0,D219*B219/12)</f>
        <v>0</v>
      </c>
      <c r="H219" s="112">
        <f t="shared" si="15"/>
        <v>0</v>
      </c>
      <c r="I219" s="112">
        <f t="shared" si="18"/>
        <v>0</v>
      </c>
      <c r="J219" s="111"/>
    </row>
    <row r="220" spans="1:10" x14ac:dyDescent="0.25">
      <c r="A220" s="107" t="b">
        <f>IF(('Stress Test Inputs'!$C$23)="FRM", FALSE, ISNUMBER(MATCH(C220,'Stress Test Inputs'!$M$18:$M$30,0)))</f>
        <v>0</v>
      </c>
      <c r="B220" s="116">
        <f>IF($A220, (_xlfn.XLOOKUP(C220,'Stress Test Inputs'!$M$17:$M$29,'Stress Test Inputs'!$N$17:$N$29)+'Stress Test Financial Analysis'!$D$5),$B219)</f>
        <v>0.06</v>
      </c>
      <c r="C220" s="114">
        <f t="shared" si="17"/>
        <v>218</v>
      </c>
      <c r="D220" s="112">
        <f t="shared" si="19"/>
        <v>0</v>
      </c>
      <c r="E220" s="112">
        <f>IF(OR(D220&lt;=0,C220&gt;'Stress Test Inputs'!$B$23*12),0,IF(AND(C220='Stress Test Inputs'!$B$23*12,'Stress Test Inputs'!$E$23&gt;'Stress Test Inputs'!$B$23),D220+D220*B220/12,IF('Stress Test Inputs'!$C$23="FRM",-PMT($B$3/12,'Stress Test Inputs'!$E$23*12,$D$3),IF($A220,-PMT(B220/12,('Stress Test Inputs'!$E$23*12)-C220+1,D220),E219))))</f>
        <v>0</v>
      </c>
      <c r="F220" s="112">
        <f t="shared" si="16"/>
        <v>0</v>
      </c>
      <c r="G220" s="112">
        <f>IF(C220&gt;'Stress Test Inputs'!$B$23*12,0,D220*B220/12)</f>
        <v>0</v>
      </c>
      <c r="H220" s="112">
        <f t="shared" si="15"/>
        <v>0</v>
      </c>
      <c r="I220" s="112">
        <f t="shared" si="18"/>
        <v>0</v>
      </c>
      <c r="J220" s="111"/>
    </row>
    <row r="221" spans="1:10" x14ac:dyDescent="0.25">
      <c r="A221" s="107" t="b">
        <f>IF(('Stress Test Inputs'!$C$23)="FRM", FALSE, ISNUMBER(MATCH(C221,'Stress Test Inputs'!$M$18:$M$30,0)))</f>
        <v>0</v>
      </c>
      <c r="B221" s="116">
        <f>IF($A221, (_xlfn.XLOOKUP(C221,'Stress Test Inputs'!$M$17:$M$29,'Stress Test Inputs'!$N$17:$N$29)+'Stress Test Financial Analysis'!$D$5),$B220)</f>
        <v>0.06</v>
      </c>
      <c r="C221" s="114">
        <f t="shared" si="17"/>
        <v>219</v>
      </c>
      <c r="D221" s="112">
        <f t="shared" si="19"/>
        <v>0</v>
      </c>
      <c r="E221" s="112">
        <f>IF(OR(D221&lt;=0,C221&gt;'Stress Test Inputs'!$B$23*12),0,IF(AND(C221='Stress Test Inputs'!$B$23*12,'Stress Test Inputs'!$E$23&gt;'Stress Test Inputs'!$B$23),D221+D221*B221/12,IF('Stress Test Inputs'!$C$23="FRM",-PMT($B$3/12,'Stress Test Inputs'!$E$23*12,$D$3),IF($A221,-PMT(B221/12,('Stress Test Inputs'!$E$23*12)-C221+1,D221),E220))))</f>
        <v>0</v>
      </c>
      <c r="F221" s="112">
        <f t="shared" si="16"/>
        <v>0</v>
      </c>
      <c r="G221" s="112">
        <f>IF(C221&gt;'Stress Test Inputs'!$B$23*12,0,D221*B221/12)</f>
        <v>0</v>
      </c>
      <c r="H221" s="112">
        <f t="shared" si="15"/>
        <v>0</v>
      </c>
      <c r="I221" s="112">
        <f t="shared" si="18"/>
        <v>0</v>
      </c>
      <c r="J221" s="111"/>
    </row>
    <row r="222" spans="1:10" x14ac:dyDescent="0.25">
      <c r="A222" s="107" t="b">
        <f>IF(('Stress Test Inputs'!$C$23)="FRM", FALSE, ISNUMBER(MATCH(C222,'Stress Test Inputs'!$M$18:$M$30,0)))</f>
        <v>0</v>
      </c>
      <c r="B222" s="116">
        <f>IF($A222, (_xlfn.XLOOKUP(C222,'Stress Test Inputs'!$M$17:$M$29,'Stress Test Inputs'!$N$17:$N$29)+'Stress Test Financial Analysis'!$D$5),$B221)</f>
        <v>0.06</v>
      </c>
      <c r="C222" s="114">
        <f t="shared" si="17"/>
        <v>220</v>
      </c>
      <c r="D222" s="112">
        <f t="shared" si="19"/>
        <v>0</v>
      </c>
      <c r="E222" s="112">
        <f>IF(OR(D222&lt;=0,C222&gt;'Stress Test Inputs'!$B$23*12),0,IF(AND(C222='Stress Test Inputs'!$B$23*12,'Stress Test Inputs'!$E$23&gt;'Stress Test Inputs'!$B$23),D222+D222*B222/12,IF('Stress Test Inputs'!$C$23="FRM",-PMT($B$3/12,'Stress Test Inputs'!$E$23*12,$D$3),IF($A222,-PMT(B222/12,('Stress Test Inputs'!$E$23*12)-C222+1,D222),E221))))</f>
        <v>0</v>
      </c>
      <c r="F222" s="112">
        <f t="shared" si="16"/>
        <v>0</v>
      </c>
      <c r="G222" s="112">
        <f>IF(C222&gt;'Stress Test Inputs'!$B$23*12,0,D222*B222/12)</f>
        <v>0</v>
      </c>
      <c r="H222" s="112">
        <f t="shared" si="15"/>
        <v>0</v>
      </c>
      <c r="I222" s="112">
        <f t="shared" si="18"/>
        <v>0</v>
      </c>
      <c r="J222" s="111"/>
    </row>
    <row r="223" spans="1:10" x14ac:dyDescent="0.25">
      <c r="A223" s="107" t="b">
        <f>IF(('Stress Test Inputs'!$C$23)="FRM", FALSE, ISNUMBER(MATCH(C223,'Stress Test Inputs'!$M$18:$M$30,0)))</f>
        <v>0</v>
      </c>
      <c r="B223" s="116">
        <f>IF($A223, (_xlfn.XLOOKUP(C223,'Stress Test Inputs'!$M$17:$M$29,'Stress Test Inputs'!$N$17:$N$29)+'Stress Test Financial Analysis'!$D$5),$B222)</f>
        <v>0.06</v>
      </c>
      <c r="C223" s="114">
        <f t="shared" si="17"/>
        <v>221</v>
      </c>
      <c r="D223" s="112">
        <f t="shared" si="19"/>
        <v>0</v>
      </c>
      <c r="E223" s="112">
        <f>IF(OR(D223&lt;=0,C223&gt;'Stress Test Inputs'!$B$23*12),0,IF(AND(C223='Stress Test Inputs'!$B$23*12,'Stress Test Inputs'!$E$23&gt;'Stress Test Inputs'!$B$23),D223+D223*B223/12,IF('Stress Test Inputs'!$C$23="FRM",-PMT($B$3/12,'Stress Test Inputs'!$E$23*12,$D$3),IF($A223,-PMT(B223/12,('Stress Test Inputs'!$E$23*12)-C223+1,D223),E222))))</f>
        <v>0</v>
      </c>
      <c r="F223" s="112">
        <f t="shared" si="16"/>
        <v>0</v>
      </c>
      <c r="G223" s="112">
        <f>IF(C223&gt;'Stress Test Inputs'!$B$23*12,0,D223*B223/12)</f>
        <v>0</v>
      </c>
      <c r="H223" s="112">
        <f t="shared" si="15"/>
        <v>0</v>
      </c>
      <c r="I223" s="112">
        <f t="shared" si="18"/>
        <v>0</v>
      </c>
      <c r="J223" s="111"/>
    </row>
    <row r="224" spans="1:10" x14ac:dyDescent="0.25">
      <c r="A224" s="107" t="b">
        <f>IF(('Stress Test Inputs'!$C$23)="FRM", FALSE, ISNUMBER(MATCH(C224,'Stress Test Inputs'!$M$18:$M$30,0)))</f>
        <v>0</v>
      </c>
      <c r="B224" s="116">
        <f>IF($A224, (_xlfn.XLOOKUP(C224,'Stress Test Inputs'!$M$17:$M$29,'Stress Test Inputs'!$N$17:$N$29)+'Stress Test Financial Analysis'!$D$5),$B223)</f>
        <v>0.06</v>
      </c>
      <c r="C224" s="114">
        <f t="shared" si="17"/>
        <v>222</v>
      </c>
      <c r="D224" s="112">
        <f t="shared" si="19"/>
        <v>0</v>
      </c>
      <c r="E224" s="112">
        <f>IF(OR(D224&lt;=0,C224&gt;'Stress Test Inputs'!$B$23*12),0,IF(AND(C224='Stress Test Inputs'!$B$23*12,'Stress Test Inputs'!$E$23&gt;'Stress Test Inputs'!$B$23),D224+D224*B224/12,IF('Stress Test Inputs'!$C$23="FRM",-PMT($B$3/12,'Stress Test Inputs'!$E$23*12,$D$3),IF($A224,-PMT(B224/12,('Stress Test Inputs'!$E$23*12)-C224+1,D224),E223))))</f>
        <v>0</v>
      </c>
      <c r="F224" s="112">
        <f t="shared" si="16"/>
        <v>0</v>
      </c>
      <c r="G224" s="112">
        <f>IF(C224&gt;'Stress Test Inputs'!$B$23*12,0,D224*B224/12)</f>
        <v>0</v>
      </c>
      <c r="H224" s="112">
        <f t="shared" si="15"/>
        <v>0</v>
      </c>
      <c r="I224" s="112">
        <f t="shared" si="18"/>
        <v>0</v>
      </c>
      <c r="J224" s="111"/>
    </row>
    <row r="225" spans="1:10" x14ac:dyDescent="0.25">
      <c r="A225" s="107" t="b">
        <f>IF(('Stress Test Inputs'!$C$23)="FRM", FALSE, ISNUMBER(MATCH(C225,'Stress Test Inputs'!$M$18:$M$30,0)))</f>
        <v>0</v>
      </c>
      <c r="B225" s="116">
        <f>IF($A225, (_xlfn.XLOOKUP(C225,'Stress Test Inputs'!$M$17:$M$29,'Stress Test Inputs'!$N$17:$N$29)+'Stress Test Financial Analysis'!$D$5),$B224)</f>
        <v>0.06</v>
      </c>
      <c r="C225" s="114">
        <f t="shared" si="17"/>
        <v>223</v>
      </c>
      <c r="D225" s="112">
        <f t="shared" si="19"/>
        <v>0</v>
      </c>
      <c r="E225" s="112">
        <f>IF(OR(D225&lt;=0,C225&gt;'Stress Test Inputs'!$B$23*12),0,IF(AND(C225='Stress Test Inputs'!$B$23*12,'Stress Test Inputs'!$E$23&gt;'Stress Test Inputs'!$B$23),D225+D225*B225/12,IF('Stress Test Inputs'!$C$23="FRM",-PMT($B$3/12,'Stress Test Inputs'!$E$23*12,$D$3),IF($A225,-PMT(B225/12,('Stress Test Inputs'!$E$23*12)-C225+1,D225),E224))))</f>
        <v>0</v>
      </c>
      <c r="F225" s="112">
        <f t="shared" si="16"/>
        <v>0</v>
      </c>
      <c r="G225" s="112">
        <f>IF(C225&gt;'Stress Test Inputs'!$B$23*12,0,D225*B225/12)</f>
        <v>0</v>
      </c>
      <c r="H225" s="112">
        <f t="shared" si="15"/>
        <v>0</v>
      </c>
      <c r="I225" s="112">
        <f t="shared" si="18"/>
        <v>0</v>
      </c>
      <c r="J225" s="111"/>
    </row>
    <row r="226" spans="1:10" x14ac:dyDescent="0.25">
      <c r="A226" s="107" t="b">
        <f>IF(('Stress Test Inputs'!$C$23)="FRM", FALSE, ISNUMBER(MATCH(C226,'Stress Test Inputs'!$M$18:$M$30,0)))</f>
        <v>0</v>
      </c>
      <c r="B226" s="116">
        <f>IF($A226, (_xlfn.XLOOKUP(C226,'Stress Test Inputs'!$M$17:$M$29,'Stress Test Inputs'!$N$17:$N$29)+'Stress Test Financial Analysis'!$D$5),$B225)</f>
        <v>0.06</v>
      </c>
      <c r="C226" s="114">
        <f t="shared" si="17"/>
        <v>224</v>
      </c>
      <c r="D226" s="112">
        <f t="shared" si="19"/>
        <v>0</v>
      </c>
      <c r="E226" s="112">
        <f>IF(OR(D226&lt;=0,C226&gt;'Stress Test Inputs'!$B$23*12),0,IF(AND(C226='Stress Test Inputs'!$B$23*12,'Stress Test Inputs'!$E$23&gt;'Stress Test Inputs'!$B$23),D226+D226*B226/12,IF('Stress Test Inputs'!$C$23="FRM",-PMT($B$3/12,'Stress Test Inputs'!$E$23*12,$D$3),IF($A226,-PMT(B226/12,('Stress Test Inputs'!$E$23*12)-C226+1,D226),E225))))</f>
        <v>0</v>
      </c>
      <c r="F226" s="112">
        <f t="shared" si="16"/>
        <v>0</v>
      </c>
      <c r="G226" s="112">
        <f>IF(C226&gt;'Stress Test Inputs'!$B$23*12,0,D226*B226/12)</f>
        <v>0</v>
      </c>
      <c r="H226" s="112">
        <f t="shared" si="15"/>
        <v>0</v>
      </c>
      <c r="I226" s="112">
        <f t="shared" si="18"/>
        <v>0</v>
      </c>
      <c r="J226" s="111"/>
    </row>
    <row r="227" spans="1:10" x14ac:dyDescent="0.25">
      <c r="A227" s="107" t="b">
        <f>IF(('Stress Test Inputs'!$C$23)="FRM", FALSE, ISNUMBER(MATCH(C227,'Stress Test Inputs'!$M$18:$M$30,0)))</f>
        <v>0</v>
      </c>
      <c r="B227" s="116">
        <f>IF($A227, (_xlfn.XLOOKUP(C227,'Stress Test Inputs'!$M$17:$M$29,'Stress Test Inputs'!$N$17:$N$29)+'Stress Test Financial Analysis'!$D$5),$B226)</f>
        <v>0.06</v>
      </c>
      <c r="C227" s="114">
        <f t="shared" si="17"/>
        <v>225</v>
      </c>
      <c r="D227" s="112">
        <f t="shared" si="19"/>
        <v>0</v>
      </c>
      <c r="E227" s="112">
        <f>IF(OR(D227&lt;=0,C227&gt;'Stress Test Inputs'!$B$23*12),0,IF(AND(C227='Stress Test Inputs'!$B$23*12,'Stress Test Inputs'!$E$23&gt;'Stress Test Inputs'!$B$23),D227+D227*B227/12,IF('Stress Test Inputs'!$C$23="FRM",-PMT($B$3/12,'Stress Test Inputs'!$E$23*12,$D$3),IF($A227,-PMT(B227/12,('Stress Test Inputs'!$E$23*12)-C227+1,D227),E226))))</f>
        <v>0</v>
      </c>
      <c r="F227" s="112">
        <f t="shared" si="16"/>
        <v>0</v>
      </c>
      <c r="G227" s="112">
        <f>IF(C227&gt;'Stress Test Inputs'!$B$23*12,0,D227*B227/12)</f>
        <v>0</v>
      </c>
      <c r="H227" s="112">
        <f t="shared" si="15"/>
        <v>0</v>
      </c>
      <c r="I227" s="112">
        <f t="shared" si="18"/>
        <v>0</v>
      </c>
      <c r="J227" s="111"/>
    </row>
    <row r="228" spans="1:10" x14ac:dyDescent="0.25">
      <c r="A228" s="107" t="b">
        <f>IF(('Stress Test Inputs'!$C$23)="FRM", FALSE, ISNUMBER(MATCH(C228,'Stress Test Inputs'!$M$18:$M$30,0)))</f>
        <v>0</v>
      </c>
      <c r="B228" s="116">
        <f>IF($A228, (_xlfn.XLOOKUP(C228,'Stress Test Inputs'!$M$17:$M$29,'Stress Test Inputs'!$N$17:$N$29)+'Stress Test Financial Analysis'!$D$5),$B227)</f>
        <v>0.06</v>
      </c>
      <c r="C228" s="114">
        <f t="shared" si="17"/>
        <v>226</v>
      </c>
      <c r="D228" s="112">
        <f t="shared" si="19"/>
        <v>0</v>
      </c>
      <c r="E228" s="112">
        <f>IF(OR(D228&lt;=0,C228&gt;'Stress Test Inputs'!$B$23*12),0,IF(AND(C228='Stress Test Inputs'!$B$23*12,'Stress Test Inputs'!$E$23&gt;'Stress Test Inputs'!$B$23),D228+D228*B228/12,IF('Stress Test Inputs'!$C$23="FRM",-PMT($B$3/12,'Stress Test Inputs'!$E$23*12,$D$3),IF($A228,-PMT(B228/12,('Stress Test Inputs'!$E$23*12)-C228+1,D228),E227))))</f>
        <v>0</v>
      </c>
      <c r="F228" s="112">
        <f t="shared" si="16"/>
        <v>0</v>
      </c>
      <c r="G228" s="112">
        <f>IF(C228&gt;'Stress Test Inputs'!$B$23*12,0,D228*B228/12)</f>
        <v>0</v>
      </c>
      <c r="H228" s="112">
        <f t="shared" si="15"/>
        <v>0</v>
      </c>
      <c r="I228" s="112">
        <f t="shared" si="18"/>
        <v>0</v>
      </c>
      <c r="J228" s="111"/>
    </row>
    <row r="229" spans="1:10" x14ac:dyDescent="0.25">
      <c r="A229" s="107" t="b">
        <f>IF(('Stress Test Inputs'!$C$23)="FRM", FALSE, ISNUMBER(MATCH(C229,'Stress Test Inputs'!$M$18:$M$30,0)))</f>
        <v>0</v>
      </c>
      <c r="B229" s="116">
        <f>IF($A229, (_xlfn.XLOOKUP(C229,'Stress Test Inputs'!$M$17:$M$29,'Stress Test Inputs'!$N$17:$N$29)+'Stress Test Financial Analysis'!$D$5),$B228)</f>
        <v>0.06</v>
      </c>
      <c r="C229" s="114">
        <f t="shared" si="17"/>
        <v>227</v>
      </c>
      <c r="D229" s="112">
        <f t="shared" si="19"/>
        <v>0</v>
      </c>
      <c r="E229" s="112">
        <f>IF(OR(D229&lt;=0,C229&gt;'Stress Test Inputs'!$B$23*12),0,IF(AND(C229='Stress Test Inputs'!$B$23*12,'Stress Test Inputs'!$E$23&gt;'Stress Test Inputs'!$B$23),D229+D229*B229/12,IF('Stress Test Inputs'!$C$23="FRM",-PMT($B$3/12,'Stress Test Inputs'!$E$23*12,$D$3),IF($A229,-PMT(B229/12,('Stress Test Inputs'!$E$23*12)-C229+1,D229),E228))))</f>
        <v>0</v>
      </c>
      <c r="F229" s="112">
        <f t="shared" si="16"/>
        <v>0</v>
      </c>
      <c r="G229" s="112">
        <f>IF(C229&gt;'Stress Test Inputs'!$B$23*12,0,D229*B229/12)</f>
        <v>0</v>
      </c>
      <c r="H229" s="112">
        <f t="shared" si="15"/>
        <v>0</v>
      </c>
      <c r="I229" s="112">
        <f t="shared" si="18"/>
        <v>0</v>
      </c>
      <c r="J229" s="111"/>
    </row>
    <row r="230" spans="1:10" x14ac:dyDescent="0.25">
      <c r="A230" s="107" t="b">
        <f>IF(('Stress Test Inputs'!$C$23)="FRM", FALSE, ISNUMBER(MATCH(C230,'Stress Test Inputs'!$M$18:$M$30,0)))</f>
        <v>0</v>
      </c>
      <c r="B230" s="116">
        <f>IF($A230, (_xlfn.XLOOKUP(C230,'Stress Test Inputs'!$M$17:$M$29,'Stress Test Inputs'!$N$17:$N$29)+'Stress Test Financial Analysis'!$D$5),$B229)</f>
        <v>0.06</v>
      </c>
      <c r="C230" s="114">
        <f t="shared" si="17"/>
        <v>228</v>
      </c>
      <c r="D230" s="112">
        <f t="shared" si="19"/>
        <v>0</v>
      </c>
      <c r="E230" s="112">
        <f>IF(OR(D230&lt;=0,C230&gt;'Stress Test Inputs'!$B$23*12),0,IF(AND(C230='Stress Test Inputs'!$B$23*12,'Stress Test Inputs'!$E$23&gt;'Stress Test Inputs'!$B$23),D230+D230*B230/12,IF('Stress Test Inputs'!$C$23="FRM",-PMT($B$3/12,'Stress Test Inputs'!$E$23*12,$D$3),IF($A230,-PMT(B230/12,('Stress Test Inputs'!$E$23*12)-C230+1,D230),E229))))</f>
        <v>0</v>
      </c>
      <c r="F230" s="112">
        <f t="shared" si="16"/>
        <v>0</v>
      </c>
      <c r="G230" s="112">
        <f>IF(C230&gt;'Stress Test Inputs'!$B$23*12,0,D230*B230/12)</f>
        <v>0</v>
      </c>
      <c r="H230" s="112">
        <f t="shared" si="15"/>
        <v>0</v>
      </c>
      <c r="I230" s="112">
        <f t="shared" si="18"/>
        <v>0</v>
      </c>
      <c r="J230" s="111"/>
    </row>
    <row r="231" spans="1:10" x14ac:dyDescent="0.25">
      <c r="A231" s="107" t="b">
        <f>IF(('Stress Test Inputs'!$C$23)="FRM", FALSE, ISNUMBER(MATCH(C231,'Stress Test Inputs'!$M$18:$M$30,0)))</f>
        <v>0</v>
      </c>
      <c r="B231" s="116">
        <f>IF($A231, (_xlfn.XLOOKUP(C231,'Stress Test Inputs'!$M$17:$M$29,'Stress Test Inputs'!$N$17:$N$29)+'Stress Test Financial Analysis'!$D$5),$B230)</f>
        <v>0.06</v>
      </c>
      <c r="C231" s="114">
        <f t="shared" si="17"/>
        <v>229</v>
      </c>
      <c r="D231" s="112">
        <f t="shared" si="19"/>
        <v>0</v>
      </c>
      <c r="E231" s="112">
        <f>IF(OR(D231&lt;=0,C231&gt;'Stress Test Inputs'!$B$23*12),0,IF(AND(C231='Stress Test Inputs'!$B$23*12,'Stress Test Inputs'!$E$23&gt;'Stress Test Inputs'!$B$23),D231+D231*B231/12,IF('Stress Test Inputs'!$C$23="FRM",-PMT($B$3/12,'Stress Test Inputs'!$E$23*12,$D$3),IF($A231,-PMT(B231/12,('Stress Test Inputs'!$E$23*12)-C231+1,D231),E230))))</f>
        <v>0</v>
      </c>
      <c r="F231" s="112">
        <f t="shared" si="16"/>
        <v>0</v>
      </c>
      <c r="G231" s="112">
        <f>IF(C231&gt;'Stress Test Inputs'!$B$23*12,0,D231*B231/12)</f>
        <v>0</v>
      </c>
      <c r="H231" s="112">
        <f t="shared" si="15"/>
        <v>0</v>
      </c>
      <c r="I231" s="112">
        <f t="shared" si="18"/>
        <v>0</v>
      </c>
      <c r="J231" s="111"/>
    </row>
    <row r="232" spans="1:10" x14ac:dyDescent="0.25">
      <c r="A232" s="107" t="b">
        <f>IF(('Stress Test Inputs'!$C$23)="FRM", FALSE, ISNUMBER(MATCH(C232,'Stress Test Inputs'!$M$18:$M$30,0)))</f>
        <v>0</v>
      </c>
      <c r="B232" s="116">
        <f>IF($A232, (_xlfn.XLOOKUP(C232,'Stress Test Inputs'!$M$17:$M$29,'Stress Test Inputs'!$N$17:$N$29)+'Stress Test Financial Analysis'!$D$5),$B231)</f>
        <v>0.06</v>
      </c>
      <c r="C232" s="114">
        <f t="shared" si="17"/>
        <v>230</v>
      </c>
      <c r="D232" s="112">
        <f t="shared" si="19"/>
        <v>0</v>
      </c>
      <c r="E232" s="112">
        <f>IF(OR(D232&lt;=0,C232&gt;'Stress Test Inputs'!$B$23*12),0,IF(AND(C232='Stress Test Inputs'!$B$23*12,'Stress Test Inputs'!$E$23&gt;'Stress Test Inputs'!$B$23),D232+D232*B232/12,IF('Stress Test Inputs'!$C$23="FRM",-PMT($B$3/12,'Stress Test Inputs'!$E$23*12,$D$3),IF($A232,-PMT(B232/12,('Stress Test Inputs'!$E$23*12)-C232+1,D232),E231))))</f>
        <v>0</v>
      </c>
      <c r="F232" s="112">
        <f t="shared" si="16"/>
        <v>0</v>
      </c>
      <c r="G232" s="112">
        <f>IF(C232&gt;'Stress Test Inputs'!$B$23*12,0,D232*B232/12)</f>
        <v>0</v>
      </c>
      <c r="H232" s="112">
        <f t="shared" si="15"/>
        <v>0</v>
      </c>
      <c r="I232" s="112">
        <f t="shared" si="18"/>
        <v>0</v>
      </c>
      <c r="J232" s="111"/>
    </row>
    <row r="233" spans="1:10" x14ac:dyDescent="0.25">
      <c r="A233" s="107" t="b">
        <f>IF(('Stress Test Inputs'!$C$23)="FRM", FALSE, ISNUMBER(MATCH(C233,'Stress Test Inputs'!$M$18:$M$30,0)))</f>
        <v>0</v>
      </c>
      <c r="B233" s="116">
        <f>IF($A233, (_xlfn.XLOOKUP(C233,'Stress Test Inputs'!$M$17:$M$29,'Stress Test Inputs'!$N$17:$N$29)+'Stress Test Financial Analysis'!$D$5),$B232)</f>
        <v>0.06</v>
      </c>
      <c r="C233" s="114">
        <f t="shared" si="17"/>
        <v>231</v>
      </c>
      <c r="D233" s="112">
        <f t="shared" si="19"/>
        <v>0</v>
      </c>
      <c r="E233" s="112">
        <f>IF(OR(D233&lt;=0,C233&gt;'Stress Test Inputs'!$B$23*12),0,IF(AND(C233='Stress Test Inputs'!$B$23*12,'Stress Test Inputs'!$E$23&gt;'Stress Test Inputs'!$B$23),D233+D233*B233/12,IF('Stress Test Inputs'!$C$23="FRM",-PMT($B$3/12,'Stress Test Inputs'!$E$23*12,$D$3),IF($A233,-PMT(B233/12,('Stress Test Inputs'!$E$23*12)-C233+1,D233),E232))))</f>
        <v>0</v>
      </c>
      <c r="F233" s="112">
        <f t="shared" si="16"/>
        <v>0</v>
      </c>
      <c r="G233" s="112">
        <f>IF(C233&gt;'Stress Test Inputs'!$B$23*12,0,D233*B233/12)</f>
        <v>0</v>
      </c>
      <c r="H233" s="112">
        <f t="shared" si="15"/>
        <v>0</v>
      </c>
      <c r="I233" s="112">
        <f t="shared" si="18"/>
        <v>0</v>
      </c>
      <c r="J233" s="111"/>
    </row>
    <row r="234" spans="1:10" x14ac:dyDescent="0.25">
      <c r="A234" s="107" t="b">
        <f>IF(('Stress Test Inputs'!$C$23)="FRM", FALSE, ISNUMBER(MATCH(C234,'Stress Test Inputs'!$M$18:$M$30,0)))</f>
        <v>0</v>
      </c>
      <c r="B234" s="116">
        <f>IF($A234, (_xlfn.XLOOKUP(C234,'Stress Test Inputs'!$M$17:$M$29,'Stress Test Inputs'!$N$17:$N$29)+'Stress Test Financial Analysis'!$D$5),$B233)</f>
        <v>0.06</v>
      </c>
      <c r="C234" s="114">
        <f t="shared" si="17"/>
        <v>232</v>
      </c>
      <c r="D234" s="112">
        <f t="shared" si="19"/>
        <v>0</v>
      </c>
      <c r="E234" s="112">
        <f>IF(OR(D234&lt;=0,C234&gt;'Stress Test Inputs'!$B$23*12),0,IF(AND(C234='Stress Test Inputs'!$B$23*12,'Stress Test Inputs'!$E$23&gt;'Stress Test Inputs'!$B$23),D234+D234*B234/12,IF('Stress Test Inputs'!$C$23="FRM",-PMT($B$3/12,'Stress Test Inputs'!$E$23*12,$D$3),IF($A234,-PMT(B234/12,('Stress Test Inputs'!$E$23*12)-C234+1,D234),E233))))</f>
        <v>0</v>
      </c>
      <c r="F234" s="112">
        <f t="shared" si="16"/>
        <v>0</v>
      </c>
      <c r="G234" s="112">
        <f>IF(C234&gt;'Stress Test Inputs'!$B$23*12,0,D234*B234/12)</f>
        <v>0</v>
      </c>
      <c r="H234" s="112">
        <f t="shared" si="15"/>
        <v>0</v>
      </c>
      <c r="I234" s="112">
        <f t="shared" si="18"/>
        <v>0</v>
      </c>
      <c r="J234" s="111"/>
    </row>
    <row r="235" spans="1:10" x14ac:dyDescent="0.25">
      <c r="A235" s="107" t="b">
        <f>IF(('Stress Test Inputs'!$C$23)="FRM", FALSE, ISNUMBER(MATCH(C235,'Stress Test Inputs'!$M$18:$M$30,0)))</f>
        <v>0</v>
      </c>
      <c r="B235" s="116">
        <f>IF($A235, (_xlfn.XLOOKUP(C235,'Stress Test Inputs'!$M$17:$M$29,'Stress Test Inputs'!$N$17:$N$29)+'Stress Test Financial Analysis'!$D$5),$B234)</f>
        <v>0.06</v>
      </c>
      <c r="C235" s="114">
        <f t="shared" si="17"/>
        <v>233</v>
      </c>
      <c r="D235" s="112">
        <f t="shared" si="19"/>
        <v>0</v>
      </c>
      <c r="E235" s="112">
        <f>IF(OR(D235&lt;=0,C235&gt;'Stress Test Inputs'!$B$23*12),0,IF(AND(C235='Stress Test Inputs'!$B$23*12,'Stress Test Inputs'!$E$23&gt;'Stress Test Inputs'!$B$23),D235+D235*B235/12,IF('Stress Test Inputs'!$C$23="FRM",-PMT($B$3/12,'Stress Test Inputs'!$E$23*12,$D$3),IF($A235,-PMT(B235/12,('Stress Test Inputs'!$E$23*12)-C235+1,D235),E234))))</f>
        <v>0</v>
      </c>
      <c r="F235" s="112">
        <f t="shared" si="16"/>
        <v>0</v>
      </c>
      <c r="G235" s="112">
        <f>IF(C235&gt;'Stress Test Inputs'!$B$23*12,0,D235*B235/12)</f>
        <v>0</v>
      </c>
      <c r="H235" s="112">
        <f t="shared" si="15"/>
        <v>0</v>
      </c>
      <c r="I235" s="112">
        <f t="shared" si="18"/>
        <v>0</v>
      </c>
      <c r="J235" s="111"/>
    </row>
    <row r="236" spans="1:10" x14ac:dyDescent="0.25">
      <c r="A236" s="107" t="b">
        <f>IF(('Stress Test Inputs'!$C$23)="FRM", FALSE, ISNUMBER(MATCH(C236,'Stress Test Inputs'!$M$18:$M$30,0)))</f>
        <v>0</v>
      </c>
      <c r="B236" s="116">
        <f>IF($A236, (_xlfn.XLOOKUP(C236,'Stress Test Inputs'!$M$17:$M$29,'Stress Test Inputs'!$N$17:$N$29)+'Stress Test Financial Analysis'!$D$5),$B235)</f>
        <v>0.06</v>
      </c>
      <c r="C236" s="114">
        <f t="shared" si="17"/>
        <v>234</v>
      </c>
      <c r="D236" s="112">
        <f t="shared" si="19"/>
        <v>0</v>
      </c>
      <c r="E236" s="112">
        <f>IF(OR(D236&lt;=0,C236&gt;'Stress Test Inputs'!$B$23*12),0,IF(AND(C236='Stress Test Inputs'!$B$23*12,'Stress Test Inputs'!$E$23&gt;'Stress Test Inputs'!$B$23),D236+D236*B236/12,IF('Stress Test Inputs'!$C$23="FRM",-PMT($B$3/12,'Stress Test Inputs'!$E$23*12,$D$3),IF($A236,-PMT(B236/12,('Stress Test Inputs'!$E$23*12)-C236+1,D236),E235))))</f>
        <v>0</v>
      </c>
      <c r="F236" s="112">
        <f t="shared" si="16"/>
        <v>0</v>
      </c>
      <c r="G236" s="112">
        <f>IF(C236&gt;'Stress Test Inputs'!$B$23*12,0,D236*B236/12)</f>
        <v>0</v>
      </c>
      <c r="H236" s="112">
        <f t="shared" si="15"/>
        <v>0</v>
      </c>
      <c r="I236" s="112">
        <f t="shared" si="18"/>
        <v>0</v>
      </c>
      <c r="J236" s="111"/>
    </row>
    <row r="237" spans="1:10" x14ac:dyDescent="0.25">
      <c r="A237" s="107" t="b">
        <f>IF(('Stress Test Inputs'!$C$23)="FRM", FALSE, ISNUMBER(MATCH(C237,'Stress Test Inputs'!$M$18:$M$30,0)))</f>
        <v>0</v>
      </c>
      <c r="B237" s="116">
        <f>IF($A237, (_xlfn.XLOOKUP(C237,'Stress Test Inputs'!$M$17:$M$29,'Stress Test Inputs'!$N$17:$N$29)+'Stress Test Financial Analysis'!$D$5),$B236)</f>
        <v>0.06</v>
      </c>
      <c r="C237" s="114">
        <f t="shared" si="17"/>
        <v>235</v>
      </c>
      <c r="D237" s="112">
        <f t="shared" si="19"/>
        <v>0</v>
      </c>
      <c r="E237" s="112">
        <f>IF(OR(D237&lt;=0,C237&gt;'Stress Test Inputs'!$B$23*12),0,IF(AND(C237='Stress Test Inputs'!$B$23*12,'Stress Test Inputs'!$E$23&gt;'Stress Test Inputs'!$B$23),D237+D237*B237/12,IF('Stress Test Inputs'!$C$23="FRM",-PMT($B$3/12,'Stress Test Inputs'!$E$23*12,$D$3),IF($A237,-PMT(B237/12,('Stress Test Inputs'!$E$23*12)-C237+1,D237),E236))))</f>
        <v>0</v>
      </c>
      <c r="F237" s="112">
        <f t="shared" si="16"/>
        <v>0</v>
      </c>
      <c r="G237" s="112">
        <f>IF(C237&gt;'Stress Test Inputs'!$B$23*12,0,D237*B237/12)</f>
        <v>0</v>
      </c>
      <c r="H237" s="112">
        <f t="shared" si="15"/>
        <v>0</v>
      </c>
      <c r="I237" s="112">
        <f t="shared" si="18"/>
        <v>0</v>
      </c>
      <c r="J237" s="111"/>
    </row>
    <row r="238" spans="1:10" x14ac:dyDescent="0.25">
      <c r="A238" s="107" t="b">
        <f>IF(('Stress Test Inputs'!$C$23)="FRM", FALSE, ISNUMBER(MATCH(C238,'Stress Test Inputs'!$M$18:$M$30,0)))</f>
        <v>0</v>
      </c>
      <c r="B238" s="116">
        <f>IF($A238, (_xlfn.XLOOKUP(C238,'Stress Test Inputs'!$M$17:$M$29,'Stress Test Inputs'!$N$17:$N$29)+'Stress Test Financial Analysis'!$D$5),$B237)</f>
        <v>0.06</v>
      </c>
      <c r="C238" s="114">
        <f t="shared" si="17"/>
        <v>236</v>
      </c>
      <c r="D238" s="112">
        <f t="shared" si="19"/>
        <v>0</v>
      </c>
      <c r="E238" s="112">
        <f>IF(OR(D238&lt;=0,C238&gt;'Stress Test Inputs'!$B$23*12),0,IF(AND(C238='Stress Test Inputs'!$B$23*12,'Stress Test Inputs'!$E$23&gt;'Stress Test Inputs'!$B$23),D238+D238*B238/12,IF('Stress Test Inputs'!$C$23="FRM",-PMT($B$3/12,'Stress Test Inputs'!$E$23*12,$D$3),IF($A238,-PMT(B238/12,('Stress Test Inputs'!$E$23*12)-C238+1,D238),E237))))</f>
        <v>0</v>
      </c>
      <c r="F238" s="112">
        <f t="shared" si="16"/>
        <v>0</v>
      </c>
      <c r="G238" s="112">
        <f>IF(C238&gt;'Stress Test Inputs'!$B$23*12,0,D238*B238/12)</f>
        <v>0</v>
      </c>
      <c r="H238" s="112">
        <f t="shared" si="15"/>
        <v>0</v>
      </c>
      <c r="I238" s="112">
        <f t="shared" si="18"/>
        <v>0</v>
      </c>
      <c r="J238" s="111"/>
    </row>
    <row r="239" spans="1:10" x14ac:dyDescent="0.25">
      <c r="A239" s="107" t="b">
        <f>IF(('Stress Test Inputs'!$C$23)="FRM", FALSE, ISNUMBER(MATCH(C239,'Stress Test Inputs'!$M$18:$M$30,0)))</f>
        <v>0</v>
      </c>
      <c r="B239" s="116">
        <f>IF($A239, (_xlfn.XLOOKUP(C239,'Stress Test Inputs'!$M$17:$M$29,'Stress Test Inputs'!$N$17:$N$29)+'Stress Test Financial Analysis'!$D$5),$B238)</f>
        <v>0.06</v>
      </c>
      <c r="C239" s="114">
        <f t="shared" si="17"/>
        <v>237</v>
      </c>
      <c r="D239" s="112">
        <f t="shared" si="19"/>
        <v>0</v>
      </c>
      <c r="E239" s="112">
        <f>IF(OR(D239&lt;=0,C239&gt;'Stress Test Inputs'!$B$23*12),0,IF(AND(C239='Stress Test Inputs'!$B$23*12,'Stress Test Inputs'!$E$23&gt;'Stress Test Inputs'!$B$23),D239+D239*B239/12,IF('Stress Test Inputs'!$C$23="FRM",-PMT($B$3/12,'Stress Test Inputs'!$E$23*12,$D$3),IF($A239,-PMT(B239/12,('Stress Test Inputs'!$E$23*12)-C239+1,D239),E238))))</f>
        <v>0</v>
      </c>
      <c r="F239" s="112">
        <f t="shared" si="16"/>
        <v>0</v>
      </c>
      <c r="G239" s="112">
        <f>IF(C239&gt;'Stress Test Inputs'!$B$23*12,0,D239*B239/12)</f>
        <v>0</v>
      </c>
      <c r="H239" s="112">
        <f t="shared" si="15"/>
        <v>0</v>
      </c>
      <c r="I239" s="112">
        <f t="shared" si="18"/>
        <v>0</v>
      </c>
      <c r="J239" s="111"/>
    </row>
    <row r="240" spans="1:10" x14ac:dyDescent="0.25">
      <c r="A240" s="107" t="b">
        <f>IF(('Stress Test Inputs'!$C$23)="FRM", FALSE, ISNUMBER(MATCH(C240,'Stress Test Inputs'!$M$18:$M$30,0)))</f>
        <v>0</v>
      </c>
      <c r="B240" s="116">
        <f>IF($A240, (_xlfn.XLOOKUP(C240,'Stress Test Inputs'!$M$17:$M$29,'Stress Test Inputs'!$N$17:$N$29)+'Stress Test Financial Analysis'!$D$5),$B239)</f>
        <v>0.06</v>
      </c>
      <c r="C240" s="114">
        <f t="shared" si="17"/>
        <v>238</v>
      </c>
      <c r="D240" s="112">
        <f t="shared" si="19"/>
        <v>0</v>
      </c>
      <c r="E240" s="112">
        <f>IF(OR(D240&lt;=0,C240&gt;'Stress Test Inputs'!$B$23*12),0,IF(AND(C240='Stress Test Inputs'!$B$23*12,'Stress Test Inputs'!$E$23&gt;'Stress Test Inputs'!$B$23),D240+D240*B240/12,IF('Stress Test Inputs'!$C$23="FRM",-PMT($B$3/12,'Stress Test Inputs'!$E$23*12,$D$3),IF($A240,-PMT(B240/12,('Stress Test Inputs'!$E$23*12)-C240+1,D240),E239))))</f>
        <v>0</v>
      </c>
      <c r="F240" s="112">
        <f t="shared" si="16"/>
        <v>0</v>
      </c>
      <c r="G240" s="112">
        <f>IF(C240&gt;'Stress Test Inputs'!$B$23*12,0,D240*B240/12)</f>
        <v>0</v>
      </c>
      <c r="H240" s="112">
        <f t="shared" si="15"/>
        <v>0</v>
      </c>
      <c r="I240" s="112">
        <f t="shared" si="18"/>
        <v>0</v>
      </c>
      <c r="J240" s="111"/>
    </row>
    <row r="241" spans="1:10" x14ac:dyDescent="0.25">
      <c r="A241" s="107" t="b">
        <f>IF(('Stress Test Inputs'!$C$23)="FRM", FALSE, ISNUMBER(MATCH(C241,'Stress Test Inputs'!$M$18:$M$30,0)))</f>
        <v>0</v>
      </c>
      <c r="B241" s="116">
        <f>IF($A241, (_xlfn.XLOOKUP(C241,'Stress Test Inputs'!$M$17:$M$29,'Stress Test Inputs'!$N$17:$N$29)+'Stress Test Financial Analysis'!$D$5),$B240)</f>
        <v>0.06</v>
      </c>
      <c r="C241" s="114">
        <f t="shared" si="17"/>
        <v>239</v>
      </c>
      <c r="D241" s="112">
        <f t="shared" si="19"/>
        <v>0</v>
      </c>
      <c r="E241" s="112">
        <f>IF(OR(D241&lt;=0,C241&gt;'Stress Test Inputs'!$B$23*12),0,IF(AND(C241='Stress Test Inputs'!$B$23*12,'Stress Test Inputs'!$E$23&gt;'Stress Test Inputs'!$B$23),D241+D241*B241/12,IF('Stress Test Inputs'!$C$23="FRM",-PMT($B$3/12,'Stress Test Inputs'!$E$23*12,$D$3),IF($A241,-PMT(B241/12,('Stress Test Inputs'!$E$23*12)-C241+1,D241),E240))))</f>
        <v>0</v>
      </c>
      <c r="F241" s="112">
        <f t="shared" si="16"/>
        <v>0</v>
      </c>
      <c r="G241" s="112">
        <f>IF(C241&gt;'Stress Test Inputs'!$B$23*12,0,D241*B241/12)</f>
        <v>0</v>
      </c>
      <c r="H241" s="112">
        <f t="shared" si="15"/>
        <v>0</v>
      </c>
      <c r="I241" s="112">
        <f t="shared" si="18"/>
        <v>0</v>
      </c>
      <c r="J241" s="111"/>
    </row>
    <row r="242" spans="1:10" x14ac:dyDescent="0.25">
      <c r="A242" s="107" t="b">
        <f>IF(('Stress Test Inputs'!$C$23)="FRM", FALSE, ISNUMBER(MATCH(C242,'Stress Test Inputs'!$M$18:$M$30,0)))</f>
        <v>0</v>
      </c>
      <c r="B242" s="116">
        <f>IF($A242, (_xlfn.XLOOKUP(C242,'Stress Test Inputs'!$M$17:$M$29,'Stress Test Inputs'!$N$17:$N$29)+'Stress Test Financial Analysis'!$D$5),$B241)</f>
        <v>0.06</v>
      </c>
      <c r="C242" s="114">
        <f t="shared" si="17"/>
        <v>240</v>
      </c>
      <c r="D242" s="112">
        <f t="shared" si="19"/>
        <v>0</v>
      </c>
      <c r="E242" s="112">
        <f>IF(OR(D242&lt;=0,C242&gt;'Stress Test Inputs'!$B$23*12),0,IF(AND(C242='Stress Test Inputs'!$B$23*12,'Stress Test Inputs'!$E$23&gt;'Stress Test Inputs'!$B$23),D242+D242*B242/12,IF('Stress Test Inputs'!$C$23="FRM",-PMT($B$3/12,'Stress Test Inputs'!$E$23*12,$D$3),IF($A242,-PMT(B242/12,('Stress Test Inputs'!$E$23*12)-C242+1,D242),E241))))</f>
        <v>0</v>
      </c>
      <c r="F242" s="112">
        <f t="shared" si="16"/>
        <v>0</v>
      </c>
      <c r="G242" s="112">
        <f>IF(C242&gt;'Stress Test Inputs'!$B$23*12,0,D242*B242/12)</f>
        <v>0</v>
      </c>
      <c r="H242" s="112">
        <f t="shared" si="15"/>
        <v>0</v>
      </c>
      <c r="I242" s="112">
        <f t="shared" si="18"/>
        <v>0</v>
      </c>
      <c r="J242" s="111"/>
    </row>
    <row r="243" spans="1:10" x14ac:dyDescent="0.25">
      <c r="A243" s="107" t="b">
        <f>IF(('Stress Test Inputs'!$C$23)="FRM", FALSE, ISNUMBER(MATCH(C243,'Stress Test Inputs'!$M$18:$M$30,0)))</f>
        <v>0</v>
      </c>
      <c r="B243" s="116">
        <f>IF($A243, (_xlfn.XLOOKUP(C243,'Stress Test Inputs'!$M$17:$M$29,'Stress Test Inputs'!$N$17:$N$29)+'Stress Test Financial Analysis'!$D$5),$B242)</f>
        <v>0.06</v>
      </c>
      <c r="C243" s="114">
        <f t="shared" si="17"/>
        <v>241</v>
      </c>
      <c r="D243" s="112">
        <f t="shared" si="19"/>
        <v>0</v>
      </c>
      <c r="E243" s="112">
        <f>IF(OR(D243&lt;=0,C243&gt;'Stress Test Inputs'!$B$23*12),0,IF(AND(C243='Stress Test Inputs'!$B$23*12,'Stress Test Inputs'!$E$23&gt;'Stress Test Inputs'!$B$23),D243+D243*B243/12,IF('Stress Test Inputs'!$C$23="FRM",-PMT($B$3/12,'Stress Test Inputs'!$E$23*12,$D$3),IF($A243,-PMT(B243/12,('Stress Test Inputs'!$E$23*12)-C243+1,D243),E242))))</f>
        <v>0</v>
      </c>
      <c r="F243" s="112">
        <f t="shared" si="16"/>
        <v>0</v>
      </c>
      <c r="G243" s="112">
        <f>IF(C243&gt;'Stress Test Inputs'!$B$23*12,0,D243*B243/12)</f>
        <v>0</v>
      </c>
      <c r="H243" s="112">
        <f t="shared" si="15"/>
        <v>0</v>
      </c>
      <c r="I243" s="112">
        <f t="shared" si="18"/>
        <v>0</v>
      </c>
      <c r="J243" s="111"/>
    </row>
    <row r="244" spans="1:10" x14ac:dyDescent="0.25">
      <c r="A244" s="107" t="b">
        <f>IF(('Stress Test Inputs'!$C$23)="FRM", FALSE, ISNUMBER(MATCH(C244,'Stress Test Inputs'!$M$18:$M$30,0)))</f>
        <v>0</v>
      </c>
      <c r="B244" s="116">
        <f>IF($A244, (_xlfn.XLOOKUP(C244,'Stress Test Inputs'!$M$17:$M$29,'Stress Test Inputs'!$N$17:$N$29)+'Stress Test Financial Analysis'!$D$5),$B243)</f>
        <v>0.06</v>
      </c>
      <c r="C244" s="114">
        <f t="shared" si="17"/>
        <v>242</v>
      </c>
      <c r="D244" s="112">
        <f t="shared" si="19"/>
        <v>0</v>
      </c>
      <c r="E244" s="112">
        <f>IF(OR(D244&lt;=0,C244&gt;'Stress Test Inputs'!$B$23*12),0,IF(AND(C244='Stress Test Inputs'!$B$23*12,'Stress Test Inputs'!$E$23&gt;'Stress Test Inputs'!$B$23),D244+D244*B244/12,IF('Stress Test Inputs'!$C$23="FRM",-PMT($B$3/12,'Stress Test Inputs'!$E$23*12,$D$3),IF($A244,-PMT(B244/12,('Stress Test Inputs'!$E$23*12)-C244+1,D244),E243))))</f>
        <v>0</v>
      </c>
      <c r="F244" s="112">
        <f t="shared" si="16"/>
        <v>0</v>
      </c>
      <c r="G244" s="112">
        <f>IF(C244&gt;'Stress Test Inputs'!$B$23*12,0,D244*B244/12)</f>
        <v>0</v>
      </c>
      <c r="H244" s="112">
        <f t="shared" si="15"/>
        <v>0</v>
      </c>
      <c r="I244" s="112">
        <f t="shared" si="18"/>
        <v>0</v>
      </c>
      <c r="J244" s="111"/>
    </row>
    <row r="245" spans="1:10" x14ac:dyDescent="0.25">
      <c r="A245" s="107" t="b">
        <f>IF(('Stress Test Inputs'!$C$23)="FRM", FALSE, ISNUMBER(MATCH(C245,'Stress Test Inputs'!$M$18:$M$30,0)))</f>
        <v>0</v>
      </c>
      <c r="B245" s="116">
        <f>IF($A245, (_xlfn.XLOOKUP(C245,'Stress Test Inputs'!$M$17:$M$29,'Stress Test Inputs'!$N$17:$N$29)+'Stress Test Financial Analysis'!$D$5),$B244)</f>
        <v>0.06</v>
      </c>
      <c r="C245" s="114">
        <f t="shared" si="17"/>
        <v>243</v>
      </c>
      <c r="D245" s="112">
        <f t="shared" si="19"/>
        <v>0</v>
      </c>
      <c r="E245" s="112">
        <f>IF(OR(D245&lt;=0,C245&gt;'Stress Test Inputs'!$B$23*12),0,IF(AND(C245='Stress Test Inputs'!$B$23*12,'Stress Test Inputs'!$E$23&gt;'Stress Test Inputs'!$B$23),D245+D245*B245/12,IF('Stress Test Inputs'!$C$23="FRM",-PMT($B$3/12,'Stress Test Inputs'!$E$23*12,$D$3),IF($A245,-PMT(B245/12,('Stress Test Inputs'!$E$23*12)-C245+1,D245),E244))))</f>
        <v>0</v>
      </c>
      <c r="F245" s="112">
        <f t="shared" si="16"/>
        <v>0</v>
      </c>
      <c r="G245" s="112">
        <f>IF(C245&gt;'Stress Test Inputs'!$B$23*12,0,D245*B245/12)</f>
        <v>0</v>
      </c>
      <c r="H245" s="112">
        <f t="shared" si="15"/>
        <v>0</v>
      </c>
      <c r="I245" s="112">
        <f t="shared" si="18"/>
        <v>0</v>
      </c>
      <c r="J245" s="111"/>
    </row>
    <row r="246" spans="1:10" x14ac:dyDescent="0.25">
      <c r="A246" s="107" t="b">
        <f>IF(('Stress Test Inputs'!$C$23)="FRM", FALSE, ISNUMBER(MATCH(C246,'Stress Test Inputs'!$M$18:$M$30,0)))</f>
        <v>0</v>
      </c>
      <c r="B246" s="116">
        <f>IF($A246, (_xlfn.XLOOKUP(C246,'Stress Test Inputs'!$M$17:$M$29,'Stress Test Inputs'!$N$17:$N$29)+'Stress Test Financial Analysis'!$D$5),$B245)</f>
        <v>0.06</v>
      </c>
      <c r="C246" s="114">
        <f t="shared" si="17"/>
        <v>244</v>
      </c>
      <c r="D246" s="112">
        <f t="shared" si="19"/>
        <v>0</v>
      </c>
      <c r="E246" s="112">
        <f>IF(OR(D246&lt;=0,C246&gt;'Stress Test Inputs'!$B$23*12),0,IF(AND(C246='Stress Test Inputs'!$B$23*12,'Stress Test Inputs'!$E$23&gt;'Stress Test Inputs'!$B$23),D246+D246*B246/12,IF('Stress Test Inputs'!$C$23="FRM",-PMT($B$3/12,'Stress Test Inputs'!$E$23*12,$D$3),IF($A246,-PMT(B246/12,('Stress Test Inputs'!$E$23*12)-C246+1,D246),E245))))</f>
        <v>0</v>
      </c>
      <c r="F246" s="112">
        <f t="shared" si="16"/>
        <v>0</v>
      </c>
      <c r="G246" s="112">
        <f>IF(C246&gt;'Stress Test Inputs'!$B$23*12,0,D246*B246/12)</f>
        <v>0</v>
      </c>
      <c r="H246" s="112">
        <f t="shared" si="15"/>
        <v>0</v>
      </c>
      <c r="I246" s="112">
        <f t="shared" si="18"/>
        <v>0</v>
      </c>
      <c r="J246" s="111"/>
    </row>
    <row r="247" spans="1:10" x14ac:dyDescent="0.25">
      <c r="A247" s="107" t="b">
        <f>IF(('Stress Test Inputs'!$C$23)="FRM", FALSE, ISNUMBER(MATCH(C247,'Stress Test Inputs'!$M$18:$M$30,0)))</f>
        <v>0</v>
      </c>
      <c r="B247" s="116">
        <f>IF($A247, (_xlfn.XLOOKUP(C247,'Stress Test Inputs'!$M$17:$M$29,'Stress Test Inputs'!$N$17:$N$29)+'Stress Test Financial Analysis'!$D$5),$B246)</f>
        <v>0.06</v>
      </c>
      <c r="C247" s="114">
        <f t="shared" si="17"/>
        <v>245</v>
      </c>
      <c r="D247" s="112">
        <f t="shared" si="19"/>
        <v>0</v>
      </c>
      <c r="E247" s="112">
        <f>IF(OR(D247&lt;=0,C247&gt;'Stress Test Inputs'!$B$23*12),0,IF(AND(C247='Stress Test Inputs'!$B$23*12,'Stress Test Inputs'!$E$23&gt;'Stress Test Inputs'!$B$23),D247+D247*B247/12,IF('Stress Test Inputs'!$C$23="FRM",-PMT($B$3/12,'Stress Test Inputs'!$E$23*12,$D$3),IF($A247,-PMT(B247/12,('Stress Test Inputs'!$E$23*12)-C247+1,D247),E246))))</f>
        <v>0</v>
      </c>
      <c r="F247" s="112">
        <f t="shared" si="16"/>
        <v>0</v>
      </c>
      <c r="G247" s="112">
        <f>IF(C247&gt;'Stress Test Inputs'!$B$23*12,0,D247*B247/12)</f>
        <v>0</v>
      </c>
      <c r="H247" s="112">
        <f t="shared" si="15"/>
        <v>0</v>
      </c>
      <c r="I247" s="112">
        <f t="shared" si="18"/>
        <v>0</v>
      </c>
      <c r="J247" s="111"/>
    </row>
    <row r="248" spans="1:10" x14ac:dyDescent="0.25">
      <c r="A248" s="107" t="b">
        <f>IF(('Stress Test Inputs'!$C$23)="FRM", FALSE, ISNUMBER(MATCH(C248,'Stress Test Inputs'!$M$18:$M$30,0)))</f>
        <v>0</v>
      </c>
      <c r="B248" s="116">
        <f>IF($A248, (_xlfn.XLOOKUP(C248,'Stress Test Inputs'!$M$17:$M$29,'Stress Test Inputs'!$N$17:$N$29)+'Stress Test Financial Analysis'!$D$5),$B247)</f>
        <v>0.06</v>
      </c>
      <c r="C248" s="114">
        <f t="shared" si="17"/>
        <v>246</v>
      </c>
      <c r="D248" s="112">
        <f t="shared" si="19"/>
        <v>0</v>
      </c>
      <c r="E248" s="112">
        <f>IF(OR(D248&lt;=0,C248&gt;'Stress Test Inputs'!$B$23*12),0,IF(AND(C248='Stress Test Inputs'!$B$23*12,'Stress Test Inputs'!$E$23&gt;'Stress Test Inputs'!$B$23),D248+D248*B248/12,IF('Stress Test Inputs'!$C$23="FRM",-PMT($B$3/12,'Stress Test Inputs'!$E$23*12,$D$3),IF($A248,-PMT(B248/12,('Stress Test Inputs'!$E$23*12)-C248+1,D248),E247))))</f>
        <v>0</v>
      </c>
      <c r="F248" s="112">
        <f t="shared" si="16"/>
        <v>0</v>
      </c>
      <c r="G248" s="112">
        <f>IF(C248&gt;'Stress Test Inputs'!$B$23*12,0,D248*B248/12)</f>
        <v>0</v>
      </c>
      <c r="H248" s="112">
        <f t="shared" si="15"/>
        <v>0</v>
      </c>
      <c r="I248" s="112">
        <f t="shared" si="18"/>
        <v>0</v>
      </c>
      <c r="J248" s="111"/>
    </row>
    <row r="249" spans="1:10" x14ac:dyDescent="0.25">
      <c r="A249" s="107" t="b">
        <f>IF(('Stress Test Inputs'!$C$23)="FRM", FALSE, ISNUMBER(MATCH(C249,'Stress Test Inputs'!$M$18:$M$30,0)))</f>
        <v>0</v>
      </c>
      <c r="B249" s="116">
        <f>IF($A249, (_xlfn.XLOOKUP(C249,'Stress Test Inputs'!$M$17:$M$29,'Stress Test Inputs'!$N$17:$N$29)+'Stress Test Financial Analysis'!$D$5),$B248)</f>
        <v>0.06</v>
      </c>
      <c r="C249" s="114">
        <f t="shared" si="17"/>
        <v>247</v>
      </c>
      <c r="D249" s="112">
        <f t="shared" si="19"/>
        <v>0</v>
      </c>
      <c r="E249" s="112">
        <f>IF(OR(D249&lt;=0,C249&gt;'Stress Test Inputs'!$B$23*12),0,IF(AND(C249='Stress Test Inputs'!$B$23*12,'Stress Test Inputs'!$E$23&gt;'Stress Test Inputs'!$B$23),D249+D249*B249/12,IF('Stress Test Inputs'!$C$23="FRM",-PMT($B$3/12,'Stress Test Inputs'!$E$23*12,$D$3),IF($A249,-PMT(B249/12,('Stress Test Inputs'!$E$23*12)-C249+1,D249),E248))))</f>
        <v>0</v>
      </c>
      <c r="F249" s="112">
        <f t="shared" si="16"/>
        <v>0</v>
      </c>
      <c r="G249" s="112">
        <f>IF(C249&gt;'Stress Test Inputs'!$B$23*12,0,D249*B249/12)</f>
        <v>0</v>
      </c>
      <c r="H249" s="112">
        <f t="shared" si="15"/>
        <v>0</v>
      </c>
      <c r="I249" s="112">
        <f t="shared" si="18"/>
        <v>0</v>
      </c>
      <c r="J249" s="111"/>
    </row>
    <row r="250" spans="1:10" x14ac:dyDescent="0.25">
      <c r="A250" s="107" t="b">
        <f>IF(('Stress Test Inputs'!$C$23)="FRM", FALSE, ISNUMBER(MATCH(C250,'Stress Test Inputs'!$M$18:$M$30,0)))</f>
        <v>0</v>
      </c>
      <c r="B250" s="116">
        <f>IF($A250, (_xlfn.XLOOKUP(C250,'Stress Test Inputs'!$M$17:$M$29,'Stress Test Inputs'!$N$17:$N$29)+'Stress Test Financial Analysis'!$D$5),$B249)</f>
        <v>0.06</v>
      </c>
      <c r="C250" s="114">
        <f t="shared" si="17"/>
        <v>248</v>
      </c>
      <c r="D250" s="112">
        <f t="shared" si="19"/>
        <v>0</v>
      </c>
      <c r="E250" s="112">
        <f>IF(OR(D250&lt;=0,C250&gt;'Stress Test Inputs'!$B$23*12),0,IF(AND(C250='Stress Test Inputs'!$B$23*12,'Stress Test Inputs'!$E$23&gt;'Stress Test Inputs'!$B$23),D250+D250*B250/12,IF('Stress Test Inputs'!$C$23="FRM",-PMT($B$3/12,'Stress Test Inputs'!$E$23*12,$D$3),IF($A250,-PMT(B250/12,('Stress Test Inputs'!$E$23*12)-C250+1,D250),E249))))</f>
        <v>0</v>
      </c>
      <c r="F250" s="112">
        <f t="shared" si="16"/>
        <v>0</v>
      </c>
      <c r="G250" s="112">
        <f>IF(C250&gt;'Stress Test Inputs'!$B$23*12,0,D250*B250/12)</f>
        <v>0</v>
      </c>
      <c r="H250" s="112">
        <f t="shared" si="15"/>
        <v>0</v>
      </c>
      <c r="I250" s="112">
        <f t="shared" si="18"/>
        <v>0</v>
      </c>
      <c r="J250" s="111"/>
    </row>
    <row r="251" spans="1:10" x14ac:dyDescent="0.25">
      <c r="A251" s="107" t="b">
        <f>IF(('Stress Test Inputs'!$C$23)="FRM", FALSE, ISNUMBER(MATCH(C251,'Stress Test Inputs'!$M$18:$M$30,0)))</f>
        <v>0</v>
      </c>
      <c r="B251" s="116">
        <f>IF($A251, (_xlfn.XLOOKUP(C251,'Stress Test Inputs'!$M$17:$M$29,'Stress Test Inputs'!$N$17:$N$29)+'Stress Test Financial Analysis'!$D$5),$B250)</f>
        <v>0.06</v>
      </c>
      <c r="C251" s="114">
        <f t="shared" si="17"/>
        <v>249</v>
      </c>
      <c r="D251" s="112">
        <f t="shared" si="19"/>
        <v>0</v>
      </c>
      <c r="E251" s="112">
        <f>IF(OR(D251&lt;=0,C251&gt;'Stress Test Inputs'!$B$23*12),0,IF(AND(C251='Stress Test Inputs'!$B$23*12,'Stress Test Inputs'!$E$23&gt;'Stress Test Inputs'!$B$23),D251+D251*B251/12,IF('Stress Test Inputs'!$C$23="FRM",-PMT($B$3/12,'Stress Test Inputs'!$E$23*12,$D$3),IF($A251,-PMT(B251/12,('Stress Test Inputs'!$E$23*12)-C251+1,D251),E250))))</f>
        <v>0</v>
      </c>
      <c r="F251" s="112">
        <f t="shared" si="16"/>
        <v>0</v>
      </c>
      <c r="G251" s="112">
        <f>IF(C251&gt;'Stress Test Inputs'!$B$23*12,0,D251*B251/12)</f>
        <v>0</v>
      </c>
      <c r="H251" s="112">
        <f t="shared" si="15"/>
        <v>0</v>
      </c>
      <c r="I251" s="112">
        <f t="shared" si="18"/>
        <v>0</v>
      </c>
      <c r="J251" s="111"/>
    </row>
    <row r="252" spans="1:10" x14ac:dyDescent="0.25">
      <c r="A252" s="107" t="b">
        <f>IF(('Stress Test Inputs'!$C$23)="FRM", FALSE, ISNUMBER(MATCH(C252,'Stress Test Inputs'!$M$18:$M$30,0)))</f>
        <v>0</v>
      </c>
      <c r="B252" s="116">
        <f>IF($A252, (_xlfn.XLOOKUP(C252,'Stress Test Inputs'!$M$17:$M$29,'Stress Test Inputs'!$N$17:$N$29)+'Stress Test Financial Analysis'!$D$5),$B251)</f>
        <v>0.06</v>
      </c>
      <c r="C252" s="114">
        <f t="shared" si="17"/>
        <v>250</v>
      </c>
      <c r="D252" s="112">
        <f t="shared" si="19"/>
        <v>0</v>
      </c>
      <c r="E252" s="112">
        <f>IF(OR(D252&lt;=0,C252&gt;'Stress Test Inputs'!$B$23*12),0,IF(AND(C252='Stress Test Inputs'!$B$23*12,'Stress Test Inputs'!$E$23&gt;'Stress Test Inputs'!$B$23),D252+D252*B252/12,IF('Stress Test Inputs'!$C$23="FRM",-PMT($B$3/12,'Stress Test Inputs'!$E$23*12,$D$3),IF($A252,-PMT(B252/12,('Stress Test Inputs'!$E$23*12)-C252+1,D252),E251))))</f>
        <v>0</v>
      </c>
      <c r="F252" s="112">
        <f t="shared" si="16"/>
        <v>0</v>
      </c>
      <c r="G252" s="112">
        <f>IF(C252&gt;'Stress Test Inputs'!$B$23*12,0,D252*B252/12)</f>
        <v>0</v>
      </c>
      <c r="H252" s="112">
        <f t="shared" si="15"/>
        <v>0</v>
      </c>
      <c r="I252" s="112">
        <f t="shared" si="18"/>
        <v>0</v>
      </c>
      <c r="J252" s="111"/>
    </row>
    <row r="253" spans="1:10" x14ac:dyDescent="0.25">
      <c r="A253" s="107" t="b">
        <f>IF(('Stress Test Inputs'!$C$23)="FRM", FALSE, ISNUMBER(MATCH(C253,'Stress Test Inputs'!$M$18:$M$30,0)))</f>
        <v>0</v>
      </c>
      <c r="B253" s="116">
        <f>IF($A253, (_xlfn.XLOOKUP(C253,'Stress Test Inputs'!$M$17:$M$29,'Stress Test Inputs'!$N$17:$N$29)+'Stress Test Financial Analysis'!$D$5),$B252)</f>
        <v>0.06</v>
      </c>
      <c r="C253" s="114">
        <f t="shared" si="17"/>
        <v>251</v>
      </c>
      <c r="D253" s="112">
        <f t="shared" si="19"/>
        <v>0</v>
      </c>
      <c r="E253" s="112">
        <f>IF(OR(D253&lt;=0,C253&gt;'Stress Test Inputs'!$B$23*12),0,IF(AND(C253='Stress Test Inputs'!$B$23*12,'Stress Test Inputs'!$E$23&gt;'Stress Test Inputs'!$B$23),D253+D253*B253/12,IF('Stress Test Inputs'!$C$23="FRM",-PMT($B$3/12,'Stress Test Inputs'!$E$23*12,$D$3),IF($A253,-PMT(B253/12,('Stress Test Inputs'!$E$23*12)-C253+1,D253),E252))))</f>
        <v>0</v>
      </c>
      <c r="F253" s="112">
        <f t="shared" si="16"/>
        <v>0</v>
      </c>
      <c r="G253" s="112">
        <f>IF(C253&gt;'Stress Test Inputs'!$B$23*12,0,D253*B253/12)</f>
        <v>0</v>
      </c>
      <c r="H253" s="112">
        <f t="shared" si="15"/>
        <v>0</v>
      </c>
      <c r="I253" s="112">
        <f t="shared" si="18"/>
        <v>0</v>
      </c>
      <c r="J253" s="111"/>
    </row>
    <row r="254" spans="1:10" x14ac:dyDescent="0.25">
      <c r="A254" s="107" t="b">
        <f>IF(('Stress Test Inputs'!$C$23)="FRM", FALSE, ISNUMBER(MATCH(C254,'Stress Test Inputs'!$M$18:$M$30,0)))</f>
        <v>0</v>
      </c>
      <c r="B254" s="116">
        <f>IF($A254, (_xlfn.XLOOKUP(C254,'Stress Test Inputs'!$M$17:$M$29,'Stress Test Inputs'!$N$17:$N$29)+'Stress Test Financial Analysis'!$D$5),$B253)</f>
        <v>0.06</v>
      </c>
      <c r="C254" s="114">
        <f t="shared" si="17"/>
        <v>252</v>
      </c>
      <c r="D254" s="112">
        <f t="shared" si="19"/>
        <v>0</v>
      </c>
      <c r="E254" s="112">
        <f>IF(OR(D254&lt;=0,C254&gt;'Stress Test Inputs'!$B$23*12),0,IF(AND(C254='Stress Test Inputs'!$B$23*12,'Stress Test Inputs'!$E$23&gt;'Stress Test Inputs'!$B$23),D254+D254*B254/12,IF('Stress Test Inputs'!$C$23="FRM",-PMT($B$3/12,'Stress Test Inputs'!$E$23*12,$D$3),IF($A254,-PMT(B254/12,('Stress Test Inputs'!$E$23*12)-C254+1,D254),E253))))</f>
        <v>0</v>
      </c>
      <c r="F254" s="112">
        <f t="shared" si="16"/>
        <v>0</v>
      </c>
      <c r="G254" s="112">
        <f>IF(C254&gt;'Stress Test Inputs'!$B$23*12,0,D254*B254/12)</f>
        <v>0</v>
      </c>
      <c r="H254" s="112">
        <f t="shared" si="15"/>
        <v>0</v>
      </c>
      <c r="I254" s="112">
        <f t="shared" si="18"/>
        <v>0</v>
      </c>
      <c r="J254" s="111"/>
    </row>
    <row r="255" spans="1:10" x14ac:dyDescent="0.25">
      <c r="A255" s="107" t="b">
        <f>IF(('Stress Test Inputs'!$C$23)="FRM", FALSE, ISNUMBER(MATCH(C255,'Stress Test Inputs'!$M$18:$M$30,0)))</f>
        <v>0</v>
      </c>
      <c r="B255" s="116">
        <f>IF($A255, (_xlfn.XLOOKUP(C255,'Stress Test Inputs'!$M$17:$M$29,'Stress Test Inputs'!$N$17:$N$29)+'Stress Test Financial Analysis'!$D$5),$B254)</f>
        <v>0.06</v>
      </c>
      <c r="C255" s="114">
        <f t="shared" si="17"/>
        <v>253</v>
      </c>
      <c r="D255" s="112">
        <f t="shared" si="19"/>
        <v>0</v>
      </c>
      <c r="E255" s="112">
        <f>IF(OR(D255&lt;=0,C255&gt;'Stress Test Inputs'!$B$23*12),0,IF(AND(C255='Stress Test Inputs'!$B$23*12,'Stress Test Inputs'!$E$23&gt;'Stress Test Inputs'!$B$23),D255+D255*B255/12,IF('Stress Test Inputs'!$C$23="FRM",-PMT($B$3/12,'Stress Test Inputs'!$E$23*12,$D$3),IF($A255,-PMT(B255/12,('Stress Test Inputs'!$E$23*12)-C255+1,D255),E254))))</f>
        <v>0</v>
      </c>
      <c r="F255" s="112">
        <f t="shared" si="16"/>
        <v>0</v>
      </c>
      <c r="G255" s="112">
        <f>IF(C255&gt;'Stress Test Inputs'!$B$23*12,0,D255*B255/12)</f>
        <v>0</v>
      </c>
      <c r="H255" s="112">
        <f t="shared" si="15"/>
        <v>0</v>
      </c>
      <c r="I255" s="112">
        <f t="shared" si="18"/>
        <v>0</v>
      </c>
      <c r="J255" s="111"/>
    </row>
    <row r="256" spans="1:10" x14ac:dyDescent="0.25">
      <c r="A256" s="107" t="b">
        <f>IF(('Stress Test Inputs'!$C$23)="FRM", FALSE, ISNUMBER(MATCH(C256,'Stress Test Inputs'!$M$18:$M$30,0)))</f>
        <v>0</v>
      </c>
      <c r="B256" s="116">
        <f>IF($A256, (_xlfn.XLOOKUP(C256,'Stress Test Inputs'!$M$17:$M$29,'Stress Test Inputs'!$N$17:$N$29)+'Stress Test Financial Analysis'!$D$5),$B255)</f>
        <v>0.06</v>
      </c>
      <c r="C256" s="114">
        <f t="shared" si="17"/>
        <v>254</v>
      </c>
      <c r="D256" s="112">
        <f t="shared" si="19"/>
        <v>0</v>
      </c>
      <c r="E256" s="112">
        <f>IF(OR(D256&lt;=0,C256&gt;'Stress Test Inputs'!$B$23*12),0,IF(AND(C256='Stress Test Inputs'!$B$23*12,'Stress Test Inputs'!$E$23&gt;'Stress Test Inputs'!$B$23),D256+D256*B256/12,IF('Stress Test Inputs'!$C$23="FRM",-PMT($B$3/12,'Stress Test Inputs'!$E$23*12,$D$3),IF($A256,-PMT(B256/12,('Stress Test Inputs'!$E$23*12)-C256+1,D256),E255))))</f>
        <v>0</v>
      </c>
      <c r="F256" s="112">
        <f t="shared" si="16"/>
        <v>0</v>
      </c>
      <c r="G256" s="112">
        <f>IF(C256&gt;'Stress Test Inputs'!$B$23*12,0,D256*B256/12)</f>
        <v>0</v>
      </c>
      <c r="H256" s="112">
        <f t="shared" si="15"/>
        <v>0</v>
      </c>
      <c r="I256" s="112">
        <f t="shared" si="18"/>
        <v>0</v>
      </c>
      <c r="J256" s="111"/>
    </row>
    <row r="257" spans="1:10" x14ac:dyDescent="0.25">
      <c r="A257" s="107" t="b">
        <f>IF(('Stress Test Inputs'!$C$23)="FRM", FALSE, ISNUMBER(MATCH(C257,'Stress Test Inputs'!$M$18:$M$30,0)))</f>
        <v>0</v>
      </c>
      <c r="B257" s="116">
        <f>IF($A257, (_xlfn.XLOOKUP(C257,'Stress Test Inputs'!$M$17:$M$29,'Stress Test Inputs'!$N$17:$N$29)+'Stress Test Financial Analysis'!$D$5),$B256)</f>
        <v>0.06</v>
      </c>
      <c r="C257" s="114">
        <f t="shared" si="17"/>
        <v>255</v>
      </c>
      <c r="D257" s="112">
        <f t="shared" si="19"/>
        <v>0</v>
      </c>
      <c r="E257" s="112">
        <f>IF(OR(D257&lt;=0,C257&gt;'Stress Test Inputs'!$B$23*12),0,IF(AND(C257='Stress Test Inputs'!$B$23*12,'Stress Test Inputs'!$E$23&gt;'Stress Test Inputs'!$B$23),D257+D257*B257/12,IF('Stress Test Inputs'!$C$23="FRM",-PMT($B$3/12,'Stress Test Inputs'!$E$23*12,$D$3),IF($A257,-PMT(B257/12,('Stress Test Inputs'!$E$23*12)-C257+1,D257),E256))))</f>
        <v>0</v>
      </c>
      <c r="F257" s="112">
        <f t="shared" si="16"/>
        <v>0</v>
      </c>
      <c r="G257" s="112">
        <f>IF(C257&gt;'Stress Test Inputs'!$B$23*12,0,D257*B257/12)</f>
        <v>0</v>
      </c>
      <c r="H257" s="112">
        <f t="shared" si="15"/>
        <v>0</v>
      </c>
      <c r="I257" s="112">
        <f t="shared" si="18"/>
        <v>0</v>
      </c>
      <c r="J257" s="111"/>
    </row>
    <row r="258" spans="1:10" x14ac:dyDescent="0.25">
      <c r="A258" s="107" t="b">
        <f>IF(('Stress Test Inputs'!$C$23)="FRM", FALSE, ISNUMBER(MATCH(C258,'Stress Test Inputs'!$M$18:$M$30,0)))</f>
        <v>0</v>
      </c>
      <c r="B258" s="116">
        <f>IF($A258, (_xlfn.XLOOKUP(C258,'Stress Test Inputs'!$M$17:$M$29,'Stress Test Inputs'!$N$17:$N$29)+'Stress Test Financial Analysis'!$D$5),$B257)</f>
        <v>0.06</v>
      </c>
      <c r="C258" s="114">
        <f t="shared" si="17"/>
        <v>256</v>
      </c>
      <c r="D258" s="112">
        <f t="shared" si="19"/>
        <v>0</v>
      </c>
      <c r="E258" s="112">
        <f>IF(OR(D258&lt;=0,C258&gt;'Stress Test Inputs'!$B$23*12),0,IF(AND(C258='Stress Test Inputs'!$B$23*12,'Stress Test Inputs'!$E$23&gt;'Stress Test Inputs'!$B$23),D258+D258*B258/12,IF('Stress Test Inputs'!$C$23="FRM",-PMT($B$3/12,'Stress Test Inputs'!$E$23*12,$D$3),IF($A258,-PMT(B258/12,('Stress Test Inputs'!$E$23*12)-C258+1,D258),E257))))</f>
        <v>0</v>
      </c>
      <c r="F258" s="112">
        <f t="shared" si="16"/>
        <v>0</v>
      </c>
      <c r="G258" s="112">
        <f>IF(C258&gt;'Stress Test Inputs'!$B$23*12,0,D258*B258/12)</f>
        <v>0</v>
      </c>
      <c r="H258" s="112">
        <f t="shared" si="15"/>
        <v>0</v>
      </c>
      <c r="I258" s="112">
        <f t="shared" si="18"/>
        <v>0</v>
      </c>
      <c r="J258" s="111"/>
    </row>
    <row r="259" spans="1:10" x14ac:dyDescent="0.25">
      <c r="A259" s="107" t="b">
        <f>IF(('Stress Test Inputs'!$C$23)="FRM", FALSE, ISNUMBER(MATCH(C259,'Stress Test Inputs'!$M$18:$M$30,0)))</f>
        <v>0</v>
      </c>
      <c r="B259" s="116">
        <f>IF($A259, (_xlfn.XLOOKUP(C259,'Stress Test Inputs'!$M$17:$M$29,'Stress Test Inputs'!$N$17:$N$29)+'Stress Test Financial Analysis'!$D$5),$B258)</f>
        <v>0.06</v>
      </c>
      <c r="C259" s="114">
        <f t="shared" si="17"/>
        <v>257</v>
      </c>
      <c r="D259" s="112">
        <f t="shared" si="19"/>
        <v>0</v>
      </c>
      <c r="E259" s="112">
        <f>IF(OR(D259&lt;=0,C259&gt;'Stress Test Inputs'!$B$23*12),0,IF(AND(C259='Stress Test Inputs'!$B$23*12,'Stress Test Inputs'!$E$23&gt;'Stress Test Inputs'!$B$23),D259+D259*B259/12,IF('Stress Test Inputs'!$C$23="FRM",-PMT($B$3/12,'Stress Test Inputs'!$E$23*12,$D$3),IF($A259,-PMT(B259/12,('Stress Test Inputs'!$E$23*12)-C259+1,D259),E258))))</f>
        <v>0</v>
      </c>
      <c r="F259" s="112">
        <f t="shared" si="16"/>
        <v>0</v>
      </c>
      <c r="G259" s="112">
        <f>IF(C259&gt;'Stress Test Inputs'!$B$23*12,0,D259*B259/12)</f>
        <v>0</v>
      </c>
      <c r="H259" s="112">
        <f t="shared" ref="H259:H322" si="20">MIN(E259-G259,D259)</f>
        <v>0</v>
      </c>
      <c r="I259" s="112">
        <f t="shared" si="18"/>
        <v>0</v>
      </c>
      <c r="J259" s="111"/>
    </row>
    <row r="260" spans="1:10" x14ac:dyDescent="0.25">
      <c r="A260" s="107" t="b">
        <f>IF(('Stress Test Inputs'!$C$23)="FRM", FALSE, ISNUMBER(MATCH(C260,'Stress Test Inputs'!$M$18:$M$30,0)))</f>
        <v>0</v>
      </c>
      <c r="B260" s="116">
        <f>IF($A260, (_xlfn.XLOOKUP(C260,'Stress Test Inputs'!$M$17:$M$29,'Stress Test Inputs'!$N$17:$N$29)+'Stress Test Financial Analysis'!$D$5),$B259)</f>
        <v>0.06</v>
      </c>
      <c r="C260" s="114">
        <f t="shared" si="17"/>
        <v>258</v>
      </c>
      <c r="D260" s="112">
        <f t="shared" si="19"/>
        <v>0</v>
      </c>
      <c r="E260" s="112">
        <f>IF(OR(D260&lt;=0,C260&gt;'Stress Test Inputs'!$B$23*12),0,IF(AND(C260='Stress Test Inputs'!$B$23*12,'Stress Test Inputs'!$E$23&gt;'Stress Test Inputs'!$B$23),D260+D260*B260/12,IF('Stress Test Inputs'!$C$23="FRM",-PMT($B$3/12,'Stress Test Inputs'!$E$23*12,$D$3),IF($A260,-PMT(B260/12,('Stress Test Inputs'!$E$23*12)-C260+1,D260),E259))))</f>
        <v>0</v>
      </c>
      <c r="F260" s="112">
        <f t="shared" ref="F260:F323" si="21">IF(D260-E260&lt;0,0,D260-E260)</f>
        <v>0</v>
      </c>
      <c r="G260" s="112">
        <f>IF(C260&gt;'Stress Test Inputs'!$B$23*12,0,D260*B260/12)</f>
        <v>0</v>
      </c>
      <c r="H260" s="112">
        <f t="shared" si="20"/>
        <v>0</v>
      </c>
      <c r="I260" s="112">
        <f t="shared" si="18"/>
        <v>0</v>
      </c>
      <c r="J260" s="111"/>
    </row>
    <row r="261" spans="1:10" x14ac:dyDescent="0.25">
      <c r="A261" s="107" t="b">
        <f>IF(('Stress Test Inputs'!$C$23)="FRM", FALSE, ISNUMBER(MATCH(C261,'Stress Test Inputs'!$M$18:$M$30,0)))</f>
        <v>0</v>
      </c>
      <c r="B261" s="116">
        <f>IF($A261, (_xlfn.XLOOKUP(C261,'Stress Test Inputs'!$M$17:$M$29,'Stress Test Inputs'!$N$17:$N$29)+'Stress Test Financial Analysis'!$D$5),$B260)</f>
        <v>0.06</v>
      </c>
      <c r="C261" s="114">
        <f t="shared" ref="C261:C324" si="22">C260+1</f>
        <v>259</v>
      </c>
      <c r="D261" s="112">
        <f t="shared" si="19"/>
        <v>0</v>
      </c>
      <c r="E261" s="112">
        <f>IF(OR(D261&lt;=0,C261&gt;'Stress Test Inputs'!$B$23*12),0,IF(AND(C261='Stress Test Inputs'!$B$23*12,'Stress Test Inputs'!$E$23&gt;'Stress Test Inputs'!$B$23),D261+D261*B261/12,IF('Stress Test Inputs'!$C$23="FRM",-PMT($B$3/12,'Stress Test Inputs'!$E$23*12,$D$3),IF($A261,-PMT(B261/12,('Stress Test Inputs'!$E$23*12)-C261+1,D261),E260))))</f>
        <v>0</v>
      </c>
      <c r="F261" s="112">
        <f t="shared" si="21"/>
        <v>0</v>
      </c>
      <c r="G261" s="112">
        <f>IF(C261&gt;'Stress Test Inputs'!$B$23*12,0,D261*B261/12)</f>
        <v>0</v>
      </c>
      <c r="H261" s="112">
        <f t="shared" si="20"/>
        <v>0</v>
      </c>
      <c r="I261" s="112">
        <f t="shared" ref="I261:I324" si="23">IF(ROUND(D261-H261,2)=0,0,D261-H261)</f>
        <v>0</v>
      </c>
      <c r="J261" s="111"/>
    </row>
    <row r="262" spans="1:10" x14ac:dyDescent="0.25">
      <c r="A262" s="107" t="b">
        <f>IF(('Stress Test Inputs'!$C$23)="FRM", FALSE, ISNUMBER(MATCH(C262,'Stress Test Inputs'!$M$18:$M$30,0)))</f>
        <v>0</v>
      </c>
      <c r="B262" s="116">
        <f>IF($A262, (_xlfn.XLOOKUP(C262,'Stress Test Inputs'!$M$17:$M$29,'Stress Test Inputs'!$N$17:$N$29)+'Stress Test Financial Analysis'!$D$5),$B261)</f>
        <v>0.06</v>
      </c>
      <c r="C262" s="114">
        <f t="shared" si="22"/>
        <v>260</v>
      </c>
      <c r="D262" s="112">
        <f t="shared" si="19"/>
        <v>0</v>
      </c>
      <c r="E262" s="112">
        <f>IF(OR(D262&lt;=0,C262&gt;'Stress Test Inputs'!$B$23*12),0,IF(AND(C262='Stress Test Inputs'!$B$23*12,'Stress Test Inputs'!$E$23&gt;'Stress Test Inputs'!$B$23),D262+D262*B262/12,IF('Stress Test Inputs'!$C$23="FRM",-PMT($B$3/12,'Stress Test Inputs'!$E$23*12,$D$3),IF($A262,-PMT(B262/12,('Stress Test Inputs'!$E$23*12)-C262+1,D262),E261))))</f>
        <v>0</v>
      </c>
      <c r="F262" s="112">
        <f t="shared" si="21"/>
        <v>0</v>
      </c>
      <c r="G262" s="112">
        <f>IF(C262&gt;'Stress Test Inputs'!$B$23*12,0,D262*B262/12)</f>
        <v>0</v>
      </c>
      <c r="H262" s="112">
        <f t="shared" si="20"/>
        <v>0</v>
      </c>
      <c r="I262" s="112">
        <f t="shared" si="23"/>
        <v>0</v>
      </c>
      <c r="J262" s="111"/>
    </row>
    <row r="263" spans="1:10" x14ac:dyDescent="0.25">
      <c r="A263" s="107" t="b">
        <f>IF(('Stress Test Inputs'!$C$23)="FRM", FALSE, ISNUMBER(MATCH(C263,'Stress Test Inputs'!$M$18:$M$30,0)))</f>
        <v>0</v>
      </c>
      <c r="B263" s="116">
        <f>IF($A263, (_xlfn.XLOOKUP(C263,'Stress Test Inputs'!$M$17:$M$29,'Stress Test Inputs'!$N$17:$N$29)+'Stress Test Financial Analysis'!$D$5),$B262)</f>
        <v>0.06</v>
      </c>
      <c r="C263" s="114">
        <f t="shared" si="22"/>
        <v>261</v>
      </c>
      <c r="D263" s="112">
        <f t="shared" ref="D263:D326" si="24">IF(I262&gt;0,I262-J262,0)</f>
        <v>0</v>
      </c>
      <c r="E263" s="112">
        <f>IF(OR(D263&lt;=0,C263&gt;'Stress Test Inputs'!$B$23*12),0,IF(AND(C263='Stress Test Inputs'!$B$23*12,'Stress Test Inputs'!$E$23&gt;'Stress Test Inputs'!$B$23),D263+D263*B263/12,IF('Stress Test Inputs'!$C$23="FRM",-PMT($B$3/12,'Stress Test Inputs'!$E$23*12,$D$3),IF($A263,-PMT(B263/12,('Stress Test Inputs'!$E$23*12)-C263+1,D263),E262))))</f>
        <v>0</v>
      </c>
      <c r="F263" s="112">
        <f t="shared" si="21"/>
        <v>0</v>
      </c>
      <c r="G263" s="112">
        <f>IF(C263&gt;'Stress Test Inputs'!$B$23*12,0,D263*B263/12)</f>
        <v>0</v>
      </c>
      <c r="H263" s="112">
        <f t="shared" si="20"/>
        <v>0</v>
      </c>
      <c r="I263" s="112">
        <f t="shared" si="23"/>
        <v>0</v>
      </c>
      <c r="J263" s="111"/>
    </row>
    <row r="264" spans="1:10" x14ac:dyDescent="0.25">
      <c r="A264" s="107" t="b">
        <f>IF(('Stress Test Inputs'!$C$23)="FRM", FALSE, ISNUMBER(MATCH(C264,'Stress Test Inputs'!$M$18:$M$30,0)))</f>
        <v>0</v>
      </c>
      <c r="B264" s="116">
        <f>IF($A264, (_xlfn.XLOOKUP(C264,'Stress Test Inputs'!$M$17:$M$29,'Stress Test Inputs'!$N$17:$N$29)+'Stress Test Financial Analysis'!$D$5),$B263)</f>
        <v>0.06</v>
      </c>
      <c r="C264" s="114">
        <f t="shared" si="22"/>
        <v>262</v>
      </c>
      <c r="D264" s="112">
        <f t="shared" si="24"/>
        <v>0</v>
      </c>
      <c r="E264" s="112">
        <f>IF(OR(D264&lt;=0,C264&gt;'Stress Test Inputs'!$B$23*12),0,IF(AND(C264='Stress Test Inputs'!$B$23*12,'Stress Test Inputs'!$E$23&gt;'Stress Test Inputs'!$B$23),D264+D264*B264/12,IF('Stress Test Inputs'!$C$23="FRM",-PMT($B$3/12,'Stress Test Inputs'!$E$23*12,$D$3),IF($A264,-PMT(B264/12,('Stress Test Inputs'!$E$23*12)-C264+1,D264),E263))))</f>
        <v>0</v>
      </c>
      <c r="F264" s="112">
        <f t="shared" si="21"/>
        <v>0</v>
      </c>
      <c r="G264" s="112">
        <f>IF(C264&gt;'Stress Test Inputs'!$B$23*12,0,D264*B264/12)</f>
        <v>0</v>
      </c>
      <c r="H264" s="112">
        <f t="shared" si="20"/>
        <v>0</v>
      </c>
      <c r="I264" s="112">
        <f t="shared" si="23"/>
        <v>0</v>
      </c>
      <c r="J264" s="111"/>
    </row>
    <row r="265" spans="1:10" x14ac:dyDescent="0.25">
      <c r="A265" s="107" t="b">
        <f>IF(('Stress Test Inputs'!$C$23)="FRM", FALSE, ISNUMBER(MATCH(C265,'Stress Test Inputs'!$M$18:$M$30,0)))</f>
        <v>0</v>
      </c>
      <c r="B265" s="116">
        <f>IF($A265, (_xlfn.XLOOKUP(C265,'Stress Test Inputs'!$M$17:$M$29,'Stress Test Inputs'!$N$17:$N$29)+'Stress Test Financial Analysis'!$D$5),$B264)</f>
        <v>0.06</v>
      </c>
      <c r="C265" s="114">
        <f t="shared" si="22"/>
        <v>263</v>
      </c>
      <c r="D265" s="112">
        <f t="shared" si="24"/>
        <v>0</v>
      </c>
      <c r="E265" s="112">
        <f>IF(OR(D265&lt;=0,C265&gt;'Stress Test Inputs'!$B$23*12),0,IF(AND(C265='Stress Test Inputs'!$B$23*12,'Stress Test Inputs'!$E$23&gt;'Stress Test Inputs'!$B$23),D265+D265*B265/12,IF('Stress Test Inputs'!$C$23="FRM",-PMT($B$3/12,'Stress Test Inputs'!$E$23*12,$D$3),IF($A265,-PMT(B265/12,('Stress Test Inputs'!$E$23*12)-C265+1,D265),E264))))</f>
        <v>0</v>
      </c>
      <c r="F265" s="112">
        <f t="shared" si="21"/>
        <v>0</v>
      </c>
      <c r="G265" s="112">
        <f>IF(C265&gt;'Stress Test Inputs'!$B$23*12,0,D265*B265/12)</f>
        <v>0</v>
      </c>
      <c r="H265" s="112">
        <f t="shared" si="20"/>
        <v>0</v>
      </c>
      <c r="I265" s="112">
        <f t="shared" si="23"/>
        <v>0</v>
      </c>
      <c r="J265" s="111"/>
    </row>
    <row r="266" spans="1:10" x14ac:dyDescent="0.25">
      <c r="A266" s="107" t="b">
        <f>IF(('Stress Test Inputs'!$C$23)="FRM", FALSE, ISNUMBER(MATCH(C266,'Stress Test Inputs'!$M$18:$M$30,0)))</f>
        <v>0</v>
      </c>
      <c r="B266" s="116">
        <f>IF($A266, (_xlfn.XLOOKUP(C266,'Stress Test Inputs'!$M$17:$M$29,'Stress Test Inputs'!$N$17:$N$29)+'Stress Test Financial Analysis'!$D$5),$B265)</f>
        <v>0.06</v>
      </c>
      <c r="C266" s="114">
        <f t="shared" si="22"/>
        <v>264</v>
      </c>
      <c r="D266" s="112">
        <f t="shared" si="24"/>
        <v>0</v>
      </c>
      <c r="E266" s="112">
        <f>IF(OR(D266&lt;=0,C266&gt;'Stress Test Inputs'!$B$23*12),0,IF(AND(C266='Stress Test Inputs'!$B$23*12,'Stress Test Inputs'!$E$23&gt;'Stress Test Inputs'!$B$23),D266+D266*B266/12,IF('Stress Test Inputs'!$C$23="FRM",-PMT($B$3/12,'Stress Test Inputs'!$E$23*12,$D$3),IF($A266,-PMT(B266/12,('Stress Test Inputs'!$E$23*12)-C266+1,D266),E265))))</f>
        <v>0</v>
      </c>
      <c r="F266" s="112">
        <f t="shared" si="21"/>
        <v>0</v>
      </c>
      <c r="G266" s="112">
        <f>IF(C266&gt;'Stress Test Inputs'!$B$23*12,0,D266*B266/12)</f>
        <v>0</v>
      </c>
      <c r="H266" s="112">
        <f t="shared" si="20"/>
        <v>0</v>
      </c>
      <c r="I266" s="112">
        <f t="shared" si="23"/>
        <v>0</v>
      </c>
      <c r="J266" s="111"/>
    </row>
    <row r="267" spans="1:10" x14ac:dyDescent="0.25">
      <c r="A267" s="107" t="b">
        <f>IF(('Stress Test Inputs'!$C$23)="FRM", FALSE, ISNUMBER(MATCH(C267,'Stress Test Inputs'!$M$18:$M$30,0)))</f>
        <v>0</v>
      </c>
      <c r="B267" s="116">
        <f>IF($A267, (_xlfn.XLOOKUP(C267,'Stress Test Inputs'!$M$17:$M$29,'Stress Test Inputs'!$N$17:$N$29)+'Stress Test Financial Analysis'!$D$5),$B266)</f>
        <v>0.06</v>
      </c>
      <c r="C267" s="114">
        <f t="shared" si="22"/>
        <v>265</v>
      </c>
      <c r="D267" s="112">
        <f t="shared" si="24"/>
        <v>0</v>
      </c>
      <c r="E267" s="112">
        <f>IF(OR(D267&lt;=0,C267&gt;'Stress Test Inputs'!$B$23*12),0,IF(AND(C267='Stress Test Inputs'!$B$23*12,'Stress Test Inputs'!$E$23&gt;'Stress Test Inputs'!$B$23),D267+D267*B267/12,IF('Stress Test Inputs'!$C$23="FRM",-PMT($B$3/12,'Stress Test Inputs'!$E$23*12,$D$3),IF($A267,-PMT(B267/12,('Stress Test Inputs'!$E$23*12)-C267+1,D267),E266))))</f>
        <v>0</v>
      </c>
      <c r="F267" s="112">
        <f t="shared" si="21"/>
        <v>0</v>
      </c>
      <c r="G267" s="112">
        <f>IF(C267&gt;'Stress Test Inputs'!$B$23*12,0,D267*B267/12)</f>
        <v>0</v>
      </c>
      <c r="H267" s="112">
        <f t="shared" si="20"/>
        <v>0</v>
      </c>
      <c r="I267" s="112">
        <f t="shared" si="23"/>
        <v>0</v>
      </c>
      <c r="J267" s="111"/>
    </row>
    <row r="268" spans="1:10" x14ac:dyDescent="0.25">
      <c r="A268" s="107" t="b">
        <f>IF(('Stress Test Inputs'!$C$23)="FRM", FALSE, ISNUMBER(MATCH(C268,'Stress Test Inputs'!$M$18:$M$30,0)))</f>
        <v>0</v>
      </c>
      <c r="B268" s="116">
        <f>IF($A268, (_xlfn.XLOOKUP(C268,'Stress Test Inputs'!$M$17:$M$29,'Stress Test Inputs'!$N$17:$N$29)+'Stress Test Financial Analysis'!$D$5),$B267)</f>
        <v>0.06</v>
      </c>
      <c r="C268" s="114">
        <f t="shared" si="22"/>
        <v>266</v>
      </c>
      <c r="D268" s="112">
        <f t="shared" si="24"/>
        <v>0</v>
      </c>
      <c r="E268" s="112">
        <f>IF(OR(D268&lt;=0,C268&gt;'Stress Test Inputs'!$B$23*12),0,IF(AND(C268='Stress Test Inputs'!$B$23*12,'Stress Test Inputs'!$E$23&gt;'Stress Test Inputs'!$B$23),D268+D268*B268/12,IF('Stress Test Inputs'!$C$23="FRM",-PMT($B$3/12,'Stress Test Inputs'!$E$23*12,$D$3),IF($A268,-PMT(B268/12,('Stress Test Inputs'!$E$23*12)-C268+1,D268),E267))))</f>
        <v>0</v>
      </c>
      <c r="F268" s="112">
        <f t="shared" si="21"/>
        <v>0</v>
      </c>
      <c r="G268" s="112">
        <f>IF(C268&gt;'Stress Test Inputs'!$B$23*12,0,D268*B268/12)</f>
        <v>0</v>
      </c>
      <c r="H268" s="112">
        <f t="shared" si="20"/>
        <v>0</v>
      </c>
      <c r="I268" s="112">
        <f t="shared" si="23"/>
        <v>0</v>
      </c>
      <c r="J268" s="111"/>
    </row>
    <row r="269" spans="1:10" x14ac:dyDescent="0.25">
      <c r="A269" s="107" t="b">
        <f>IF(('Stress Test Inputs'!$C$23)="FRM", FALSE, ISNUMBER(MATCH(C269,'Stress Test Inputs'!$M$18:$M$30,0)))</f>
        <v>0</v>
      </c>
      <c r="B269" s="116">
        <f>IF($A269, (_xlfn.XLOOKUP(C269,'Stress Test Inputs'!$M$17:$M$29,'Stress Test Inputs'!$N$17:$N$29)+'Stress Test Financial Analysis'!$D$5),$B268)</f>
        <v>0.06</v>
      </c>
      <c r="C269" s="114">
        <f t="shared" si="22"/>
        <v>267</v>
      </c>
      <c r="D269" s="112">
        <f t="shared" si="24"/>
        <v>0</v>
      </c>
      <c r="E269" s="112">
        <f>IF(OR(D269&lt;=0,C269&gt;'Stress Test Inputs'!$B$23*12),0,IF(AND(C269='Stress Test Inputs'!$B$23*12,'Stress Test Inputs'!$E$23&gt;'Stress Test Inputs'!$B$23),D269+D269*B269/12,IF('Stress Test Inputs'!$C$23="FRM",-PMT($B$3/12,'Stress Test Inputs'!$E$23*12,$D$3),IF($A269,-PMT(B269/12,('Stress Test Inputs'!$E$23*12)-C269+1,D269),E268))))</f>
        <v>0</v>
      </c>
      <c r="F269" s="112">
        <f t="shared" si="21"/>
        <v>0</v>
      </c>
      <c r="G269" s="112">
        <f>IF(C269&gt;'Stress Test Inputs'!$B$23*12,0,D269*B269/12)</f>
        <v>0</v>
      </c>
      <c r="H269" s="112">
        <f t="shared" si="20"/>
        <v>0</v>
      </c>
      <c r="I269" s="112">
        <f t="shared" si="23"/>
        <v>0</v>
      </c>
      <c r="J269" s="111"/>
    </row>
    <row r="270" spans="1:10" x14ac:dyDescent="0.25">
      <c r="A270" s="107" t="b">
        <f>IF(('Stress Test Inputs'!$C$23)="FRM", FALSE, ISNUMBER(MATCH(C270,'Stress Test Inputs'!$M$18:$M$30,0)))</f>
        <v>0</v>
      </c>
      <c r="B270" s="116">
        <f>IF($A270, (_xlfn.XLOOKUP(C270,'Stress Test Inputs'!$M$17:$M$29,'Stress Test Inputs'!$N$17:$N$29)+'Stress Test Financial Analysis'!$D$5),$B269)</f>
        <v>0.06</v>
      </c>
      <c r="C270" s="114">
        <f t="shared" si="22"/>
        <v>268</v>
      </c>
      <c r="D270" s="112">
        <f t="shared" si="24"/>
        <v>0</v>
      </c>
      <c r="E270" s="112">
        <f>IF(OR(D270&lt;=0,C270&gt;'Stress Test Inputs'!$B$23*12),0,IF(AND(C270='Stress Test Inputs'!$B$23*12,'Stress Test Inputs'!$E$23&gt;'Stress Test Inputs'!$B$23),D270+D270*B270/12,IF('Stress Test Inputs'!$C$23="FRM",-PMT($B$3/12,'Stress Test Inputs'!$E$23*12,$D$3),IF($A270,-PMT(B270/12,('Stress Test Inputs'!$E$23*12)-C270+1,D270),E269))))</f>
        <v>0</v>
      </c>
      <c r="F270" s="112">
        <f t="shared" si="21"/>
        <v>0</v>
      </c>
      <c r="G270" s="112">
        <f>IF(C270&gt;'Stress Test Inputs'!$B$23*12,0,D270*B270/12)</f>
        <v>0</v>
      </c>
      <c r="H270" s="112">
        <f t="shared" si="20"/>
        <v>0</v>
      </c>
      <c r="I270" s="112">
        <f t="shared" si="23"/>
        <v>0</v>
      </c>
      <c r="J270" s="111"/>
    </row>
    <row r="271" spans="1:10" x14ac:dyDescent="0.25">
      <c r="A271" s="107" t="b">
        <f>IF(('Stress Test Inputs'!$C$23)="FRM", FALSE, ISNUMBER(MATCH(C271,'Stress Test Inputs'!$M$18:$M$30,0)))</f>
        <v>0</v>
      </c>
      <c r="B271" s="116">
        <f>IF($A271, (_xlfn.XLOOKUP(C271,'Stress Test Inputs'!$M$17:$M$29,'Stress Test Inputs'!$N$17:$N$29)+'Stress Test Financial Analysis'!$D$5),$B270)</f>
        <v>0.06</v>
      </c>
      <c r="C271" s="114">
        <f t="shared" si="22"/>
        <v>269</v>
      </c>
      <c r="D271" s="112">
        <f t="shared" si="24"/>
        <v>0</v>
      </c>
      <c r="E271" s="112">
        <f>IF(OR(D271&lt;=0,C271&gt;'Stress Test Inputs'!$B$23*12),0,IF(AND(C271='Stress Test Inputs'!$B$23*12,'Stress Test Inputs'!$E$23&gt;'Stress Test Inputs'!$B$23),D271+D271*B271/12,IF('Stress Test Inputs'!$C$23="FRM",-PMT($B$3/12,'Stress Test Inputs'!$E$23*12,$D$3),IF($A271,-PMT(B271/12,('Stress Test Inputs'!$E$23*12)-C271+1,D271),E270))))</f>
        <v>0</v>
      </c>
      <c r="F271" s="112">
        <f t="shared" si="21"/>
        <v>0</v>
      </c>
      <c r="G271" s="112">
        <f>IF(C271&gt;'Stress Test Inputs'!$B$23*12,0,D271*B271/12)</f>
        <v>0</v>
      </c>
      <c r="H271" s="112">
        <f t="shared" si="20"/>
        <v>0</v>
      </c>
      <c r="I271" s="112">
        <f t="shared" si="23"/>
        <v>0</v>
      </c>
      <c r="J271" s="111"/>
    </row>
    <row r="272" spans="1:10" x14ac:dyDescent="0.25">
      <c r="A272" s="107" t="b">
        <f>IF(('Stress Test Inputs'!$C$23)="FRM", FALSE, ISNUMBER(MATCH(C272,'Stress Test Inputs'!$M$18:$M$30,0)))</f>
        <v>0</v>
      </c>
      <c r="B272" s="116">
        <f>IF($A272, (_xlfn.XLOOKUP(C272,'Stress Test Inputs'!$M$17:$M$29,'Stress Test Inputs'!$N$17:$N$29)+'Stress Test Financial Analysis'!$D$5),$B271)</f>
        <v>0.06</v>
      </c>
      <c r="C272" s="114">
        <f t="shared" si="22"/>
        <v>270</v>
      </c>
      <c r="D272" s="112">
        <f t="shared" si="24"/>
        <v>0</v>
      </c>
      <c r="E272" s="112">
        <f>IF(OR(D272&lt;=0,C272&gt;'Stress Test Inputs'!$B$23*12),0,IF(AND(C272='Stress Test Inputs'!$B$23*12,'Stress Test Inputs'!$E$23&gt;'Stress Test Inputs'!$B$23),D272+D272*B272/12,IF('Stress Test Inputs'!$C$23="FRM",-PMT($B$3/12,'Stress Test Inputs'!$E$23*12,$D$3),IF($A272,-PMT(B272/12,('Stress Test Inputs'!$E$23*12)-C272+1,D272),E271))))</f>
        <v>0</v>
      </c>
      <c r="F272" s="112">
        <f t="shared" si="21"/>
        <v>0</v>
      </c>
      <c r="G272" s="112">
        <f>IF(C272&gt;'Stress Test Inputs'!$B$23*12,0,D272*B272/12)</f>
        <v>0</v>
      </c>
      <c r="H272" s="112">
        <f t="shared" si="20"/>
        <v>0</v>
      </c>
      <c r="I272" s="112">
        <f t="shared" si="23"/>
        <v>0</v>
      </c>
      <c r="J272" s="111"/>
    </row>
    <row r="273" spans="1:10" x14ac:dyDescent="0.25">
      <c r="A273" s="107" t="b">
        <f>IF(('Stress Test Inputs'!$C$23)="FRM", FALSE, ISNUMBER(MATCH(C273,'Stress Test Inputs'!$M$18:$M$30,0)))</f>
        <v>0</v>
      </c>
      <c r="B273" s="116">
        <f>IF($A273, (_xlfn.XLOOKUP(C273,'Stress Test Inputs'!$M$17:$M$29,'Stress Test Inputs'!$N$17:$N$29)+'Stress Test Financial Analysis'!$D$5),$B272)</f>
        <v>0.06</v>
      </c>
      <c r="C273" s="114">
        <f t="shared" si="22"/>
        <v>271</v>
      </c>
      <c r="D273" s="112">
        <f t="shared" si="24"/>
        <v>0</v>
      </c>
      <c r="E273" s="112">
        <f>IF(OR(D273&lt;=0,C273&gt;'Stress Test Inputs'!$B$23*12),0,IF(AND(C273='Stress Test Inputs'!$B$23*12,'Stress Test Inputs'!$E$23&gt;'Stress Test Inputs'!$B$23),D273+D273*B273/12,IF('Stress Test Inputs'!$C$23="FRM",-PMT($B$3/12,'Stress Test Inputs'!$E$23*12,$D$3),IF($A273,-PMT(B273/12,('Stress Test Inputs'!$E$23*12)-C273+1,D273),E272))))</f>
        <v>0</v>
      </c>
      <c r="F273" s="112">
        <f t="shared" si="21"/>
        <v>0</v>
      </c>
      <c r="G273" s="112">
        <f>IF(C273&gt;'Stress Test Inputs'!$B$23*12,0,D273*B273/12)</f>
        <v>0</v>
      </c>
      <c r="H273" s="112">
        <f t="shared" si="20"/>
        <v>0</v>
      </c>
      <c r="I273" s="112">
        <f t="shared" si="23"/>
        <v>0</v>
      </c>
      <c r="J273" s="111"/>
    </row>
    <row r="274" spans="1:10" x14ac:dyDescent="0.25">
      <c r="A274" s="107" t="b">
        <f>IF(('Stress Test Inputs'!$C$23)="FRM", FALSE, ISNUMBER(MATCH(C274,'Stress Test Inputs'!$M$18:$M$30,0)))</f>
        <v>0</v>
      </c>
      <c r="B274" s="116">
        <f>IF($A274, (_xlfn.XLOOKUP(C274,'Stress Test Inputs'!$M$17:$M$29,'Stress Test Inputs'!$N$17:$N$29)+'Stress Test Financial Analysis'!$D$5),$B273)</f>
        <v>0.06</v>
      </c>
      <c r="C274" s="114">
        <f t="shared" si="22"/>
        <v>272</v>
      </c>
      <c r="D274" s="112">
        <f t="shared" si="24"/>
        <v>0</v>
      </c>
      <c r="E274" s="112">
        <f>IF(OR(D274&lt;=0,C274&gt;'Stress Test Inputs'!$B$23*12),0,IF(AND(C274='Stress Test Inputs'!$B$23*12,'Stress Test Inputs'!$E$23&gt;'Stress Test Inputs'!$B$23),D274+D274*B274/12,IF('Stress Test Inputs'!$C$23="FRM",-PMT($B$3/12,'Stress Test Inputs'!$E$23*12,$D$3),IF($A274,-PMT(B274/12,('Stress Test Inputs'!$E$23*12)-C274+1,D274),E273))))</f>
        <v>0</v>
      </c>
      <c r="F274" s="112">
        <f t="shared" si="21"/>
        <v>0</v>
      </c>
      <c r="G274" s="112">
        <f>IF(C274&gt;'Stress Test Inputs'!$B$23*12,0,D274*B274/12)</f>
        <v>0</v>
      </c>
      <c r="H274" s="112">
        <f t="shared" si="20"/>
        <v>0</v>
      </c>
      <c r="I274" s="112">
        <f t="shared" si="23"/>
        <v>0</v>
      </c>
      <c r="J274" s="111"/>
    </row>
    <row r="275" spans="1:10" x14ac:dyDescent="0.25">
      <c r="A275" s="107" t="b">
        <f>IF(('Stress Test Inputs'!$C$23)="FRM", FALSE, ISNUMBER(MATCH(C275,'Stress Test Inputs'!$M$18:$M$30,0)))</f>
        <v>0</v>
      </c>
      <c r="B275" s="116">
        <f>IF($A275, (_xlfn.XLOOKUP(C275,'Stress Test Inputs'!$M$17:$M$29,'Stress Test Inputs'!$N$17:$N$29)+'Stress Test Financial Analysis'!$D$5),$B274)</f>
        <v>0.06</v>
      </c>
      <c r="C275" s="114">
        <f t="shared" si="22"/>
        <v>273</v>
      </c>
      <c r="D275" s="112">
        <f t="shared" si="24"/>
        <v>0</v>
      </c>
      <c r="E275" s="112">
        <f>IF(OR(D275&lt;=0,C275&gt;'Stress Test Inputs'!$B$23*12),0,IF(AND(C275='Stress Test Inputs'!$B$23*12,'Stress Test Inputs'!$E$23&gt;'Stress Test Inputs'!$B$23),D275+D275*B275/12,IF('Stress Test Inputs'!$C$23="FRM",-PMT($B$3/12,'Stress Test Inputs'!$E$23*12,$D$3),IF($A275,-PMT(B275/12,('Stress Test Inputs'!$E$23*12)-C275+1,D275),E274))))</f>
        <v>0</v>
      </c>
      <c r="F275" s="112">
        <f t="shared" si="21"/>
        <v>0</v>
      </c>
      <c r="G275" s="112">
        <f>IF(C275&gt;'Stress Test Inputs'!$B$23*12,0,D275*B275/12)</f>
        <v>0</v>
      </c>
      <c r="H275" s="112">
        <f t="shared" si="20"/>
        <v>0</v>
      </c>
      <c r="I275" s="112">
        <f t="shared" si="23"/>
        <v>0</v>
      </c>
      <c r="J275" s="111"/>
    </row>
    <row r="276" spans="1:10" x14ac:dyDescent="0.25">
      <c r="A276" s="107" t="b">
        <f>IF(('Stress Test Inputs'!$C$23)="FRM", FALSE, ISNUMBER(MATCH(C276,'Stress Test Inputs'!$M$18:$M$30,0)))</f>
        <v>0</v>
      </c>
      <c r="B276" s="116">
        <f>IF($A276, (_xlfn.XLOOKUP(C276,'Stress Test Inputs'!$M$17:$M$29,'Stress Test Inputs'!$N$17:$N$29)+'Stress Test Financial Analysis'!$D$5),$B275)</f>
        <v>0.06</v>
      </c>
      <c r="C276" s="114">
        <f t="shared" si="22"/>
        <v>274</v>
      </c>
      <c r="D276" s="112">
        <f t="shared" si="24"/>
        <v>0</v>
      </c>
      <c r="E276" s="112">
        <f>IF(OR(D276&lt;=0,C276&gt;'Stress Test Inputs'!$B$23*12),0,IF(AND(C276='Stress Test Inputs'!$B$23*12,'Stress Test Inputs'!$E$23&gt;'Stress Test Inputs'!$B$23),D276+D276*B276/12,IF('Stress Test Inputs'!$C$23="FRM",-PMT($B$3/12,'Stress Test Inputs'!$E$23*12,$D$3),IF($A276,-PMT(B276/12,('Stress Test Inputs'!$E$23*12)-C276+1,D276),E275))))</f>
        <v>0</v>
      </c>
      <c r="F276" s="112">
        <f t="shared" si="21"/>
        <v>0</v>
      </c>
      <c r="G276" s="112">
        <f>IF(C276&gt;'Stress Test Inputs'!$B$23*12,0,D276*B276/12)</f>
        <v>0</v>
      </c>
      <c r="H276" s="112">
        <f t="shared" si="20"/>
        <v>0</v>
      </c>
      <c r="I276" s="112">
        <f t="shared" si="23"/>
        <v>0</v>
      </c>
      <c r="J276" s="111"/>
    </row>
    <row r="277" spans="1:10" x14ac:dyDescent="0.25">
      <c r="A277" s="107" t="b">
        <f>IF(('Stress Test Inputs'!$C$23)="FRM", FALSE, ISNUMBER(MATCH(C277,'Stress Test Inputs'!$M$18:$M$30,0)))</f>
        <v>0</v>
      </c>
      <c r="B277" s="116">
        <f>IF($A277, (_xlfn.XLOOKUP(C277,'Stress Test Inputs'!$M$17:$M$29,'Stress Test Inputs'!$N$17:$N$29)+'Stress Test Financial Analysis'!$D$5),$B276)</f>
        <v>0.06</v>
      </c>
      <c r="C277" s="114">
        <f t="shared" si="22"/>
        <v>275</v>
      </c>
      <c r="D277" s="112">
        <f t="shared" si="24"/>
        <v>0</v>
      </c>
      <c r="E277" s="112">
        <f>IF(OR(D277&lt;=0,C277&gt;'Stress Test Inputs'!$B$23*12),0,IF(AND(C277='Stress Test Inputs'!$B$23*12,'Stress Test Inputs'!$E$23&gt;'Stress Test Inputs'!$B$23),D277+D277*B277/12,IF('Stress Test Inputs'!$C$23="FRM",-PMT($B$3/12,'Stress Test Inputs'!$E$23*12,$D$3),IF($A277,-PMT(B277/12,('Stress Test Inputs'!$E$23*12)-C277+1,D277),E276))))</f>
        <v>0</v>
      </c>
      <c r="F277" s="112">
        <f t="shared" si="21"/>
        <v>0</v>
      </c>
      <c r="G277" s="112">
        <f>IF(C277&gt;'Stress Test Inputs'!$B$23*12,0,D277*B277/12)</f>
        <v>0</v>
      </c>
      <c r="H277" s="112">
        <f t="shared" si="20"/>
        <v>0</v>
      </c>
      <c r="I277" s="112">
        <f t="shared" si="23"/>
        <v>0</v>
      </c>
      <c r="J277" s="111"/>
    </row>
    <row r="278" spans="1:10" x14ac:dyDescent="0.25">
      <c r="A278" s="107" t="b">
        <f>IF(('Stress Test Inputs'!$C$23)="FRM", FALSE, ISNUMBER(MATCH(C278,'Stress Test Inputs'!$M$18:$M$30,0)))</f>
        <v>0</v>
      </c>
      <c r="B278" s="116">
        <f>IF($A278, (_xlfn.XLOOKUP(C278,'Stress Test Inputs'!$M$17:$M$29,'Stress Test Inputs'!$N$17:$N$29)+'Stress Test Financial Analysis'!$D$5),$B277)</f>
        <v>0.06</v>
      </c>
      <c r="C278" s="114">
        <f t="shared" si="22"/>
        <v>276</v>
      </c>
      <c r="D278" s="112">
        <f t="shared" si="24"/>
        <v>0</v>
      </c>
      <c r="E278" s="112">
        <f>IF(OR(D278&lt;=0,C278&gt;'Stress Test Inputs'!$B$23*12),0,IF(AND(C278='Stress Test Inputs'!$B$23*12,'Stress Test Inputs'!$E$23&gt;'Stress Test Inputs'!$B$23),D278+D278*B278/12,IF('Stress Test Inputs'!$C$23="FRM",-PMT($B$3/12,'Stress Test Inputs'!$E$23*12,$D$3),IF($A278,-PMT(B278/12,('Stress Test Inputs'!$E$23*12)-C278+1,D278),E277))))</f>
        <v>0</v>
      </c>
      <c r="F278" s="112">
        <f t="shared" si="21"/>
        <v>0</v>
      </c>
      <c r="G278" s="112">
        <f>IF(C278&gt;'Stress Test Inputs'!$B$23*12,0,D278*B278/12)</f>
        <v>0</v>
      </c>
      <c r="H278" s="112">
        <f t="shared" si="20"/>
        <v>0</v>
      </c>
      <c r="I278" s="112">
        <f t="shared" si="23"/>
        <v>0</v>
      </c>
      <c r="J278" s="111"/>
    </row>
    <row r="279" spans="1:10" x14ac:dyDescent="0.25">
      <c r="A279" s="107" t="b">
        <f>IF(('Stress Test Inputs'!$C$23)="FRM", FALSE, ISNUMBER(MATCH(C279,'Stress Test Inputs'!$M$18:$M$30,0)))</f>
        <v>0</v>
      </c>
      <c r="B279" s="116">
        <f>IF($A279, (_xlfn.XLOOKUP(C279,'Stress Test Inputs'!$M$17:$M$29,'Stress Test Inputs'!$N$17:$N$29)+'Stress Test Financial Analysis'!$D$5),$B278)</f>
        <v>0.06</v>
      </c>
      <c r="C279" s="114">
        <f t="shared" si="22"/>
        <v>277</v>
      </c>
      <c r="D279" s="112">
        <f t="shared" si="24"/>
        <v>0</v>
      </c>
      <c r="E279" s="112">
        <f>IF(OR(D279&lt;=0,C279&gt;'Stress Test Inputs'!$B$23*12),0,IF(AND(C279='Stress Test Inputs'!$B$23*12,'Stress Test Inputs'!$E$23&gt;'Stress Test Inputs'!$B$23),D279+D279*B279/12,IF('Stress Test Inputs'!$C$23="FRM",-PMT($B$3/12,'Stress Test Inputs'!$E$23*12,$D$3),IF($A279,-PMT(B279/12,('Stress Test Inputs'!$E$23*12)-C279+1,D279),E278))))</f>
        <v>0</v>
      </c>
      <c r="F279" s="112">
        <f t="shared" si="21"/>
        <v>0</v>
      </c>
      <c r="G279" s="112">
        <f>IF(C279&gt;'Stress Test Inputs'!$B$23*12,0,D279*B279/12)</f>
        <v>0</v>
      </c>
      <c r="H279" s="112">
        <f t="shared" si="20"/>
        <v>0</v>
      </c>
      <c r="I279" s="112">
        <f t="shared" si="23"/>
        <v>0</v>
      </c>
      <c r="J279" s="111"/>
    </row>
    <row r="280" spans="1:10" x14ac:dyDescent="0.25">
      <c r="A280" s="107" t="b">
        <f>IF(('Stress Test Inputs'!$C$23)="FRM", FALSE, ISNUMBER(MATCH(C280,'Stress Test Inputs'!$M$18:$M$30,0)))</f>
        <v>0</v>
      </c>
      <c r="B280" s="116">
        <f>IF($A280, (_xlfn.XLOOKUP(C280,'Stress Test Inputs'!$M$17:$M$29,'Stress Test Inputs'!$N$17:$N$29)+'Stress Test Financial Analysis'!$D$5),$B279)</f>
        <v>0.06</v>
      </c>
      <c r="C280" s="114">
        <f t="shared" si="22"/>
        <v>278</v>
      </c>
      <c r="D280" s="112">
        <f t="shared" si="24"/>
        <v>0</v>
      </c>
      <c r="E280" s="112">
        <f>IF(OR(D280&lt;=0,C280&gt;'Stress Test Inputs'!$B$23*12),0,IF(AND(C280='Stress Test Inputs'!$B$23*12,'Stress Test Inputs'!$E$23&gt;'Stress Test Inputs'!$B$23),D280+D280*B280/12,IF('Stress Test Inputs'!$C$23="FRM",-PMT($B$3/12,'Stress Test Inputs'!$E$23*12,$D$3),IF($A280,-PMT(B280/12,('Stress Test Inputs'!$E$23*12)-C280+1,D280),E279))))</f>
        <v>0</v>
      </c>
      <c r="F280" s="112">
        <f t="shared" si="21"/>
        <v>0</v>
      </c>
      <c r="G280" s="112">
        <f>IF(C280&gt;'Stress Test Inputs'!$B$23*12,0,D280*B280/12)</f>
        <v>0</v>
      </c>
      <c r="H280" s="112">
        <f t="shared" si="20"/>
        <v>0</v>
      </c>
      <c r="I280" s="112">
        <f t="shared" si="23"/>
        <v>0</v>
      </c>
      <c r="J280" s="111"/>
    </row>
    <row r="281" spans="1:10" x14ac:dyDescent="0.25">
      <c r="A281" s="107" t="b">
        <f>IF(('Stress Test Inputs'!$C$23)="FRM", FALSE, ISNUMBER(MATCH(C281,'Stress Test Inputs'!$M$18:$M$30,0)))</f>
        <v>0</v>
      </c>
      <c r="B281" s="116">
        <f>IF($A281, (_xlfn.XLOOKUP(C281,'Stress Test Inputs'!$M$17:$M$29,'Stress Test Inputs'!$N$17:$N$29)+'Stress Test Financial Analysis'!$D$5),$B280)</f>
        <v>0.06</v>
      </c>
      <c r="C281" s="114">
        <f t="shared" si="22"/>
        <v>279</v>
      </c>
      <c r="D281" s="112">
        <f t="shared" si="24"/>
        <v>0</v>
      </c>
      <c r="E281" s="112">
        <f>IF(OR(D281&lt;=0,C281&gt;'Stress Test Inputs'!$B$23*12),0,IF(AND(C281='Stress Test Inputs'!$B$23*12,'Stress Test Inputs'!$E$23&gt;'Stress Test Inputs'!$B$23),D281+D281*B281/12,IF('Stress Test Inputs'!$C$23="FRM",-PMT($B$3/12,'Stress Test Inputs'!$E$23*12,$D$3),IF($A281,-PMT(B281/12,('Stress Test Inputs'!$E$23*12)-C281+1,D281),E280))))</f>
        <v>0</v>
      </c>
      <c r="F281" s="112">
        <f t="shared" si="21"/>
        <v>0</v>
      </c>
      <c r="G281" s="112">
        <f>IF(C281&gt;'Stress Test Inputs'!$B$23*12,0,D281*B281/12)</f>
        <v>0</v>
      </c>
      <c r="H281" s="112">
        <f t="shared" si="20"/>
        <v>0</v>
      </c>
      <c r="I281" s="112">
        <f t="shared" si="23"/>
        <v>0</v>
      </c>
      <c r="J281" s="111"/>
    </row>
    <row r="282" spans="1:10" x14ac:dyDescent="0.25">
      <c r="A282" s="107" t="b">
        <f>IF(('Stress Test Inputs'!$C$23)="FRM", FALSE, ISNUMBER(MATCH(C282,'Stress Test Inputs'!$M$18:$M$30,0)))</f>
        <v>0</v>
      </c>
      <c r="B282" s="116">
        <f>IF($A282, (_xlfn.XLOOKUP(C282,'Stress Test Inputs'!$M$17:$M$29,'Stress Test Inputs'!$N$17:$N$29)+'Stress Test Financial Analysis'!$D$5),$B281)</f>
        <v>0.06</v>
      </c>
      <c r="C282" s="114">
        <f t="shared" si="22"/>
        <v>280</v>
      </c>
      <c r="D282" s="112">
        <f t="shared" si="24"/>
        <v>0</v>
      </c>
      <c r="E282" s="112">
        <f>IF(OR(D282&lt;=0,C282&gt;'Stress Test Inputs'!$B$23*12),0,IF(AND(C282='Stress Test Inputs'!$B$23*12,'Stress Test Inputs'!$E$23&gt;'Stress Test Inputs'!$B$23),D282+D282*B282/12,IF('Stress Test Inputs'!$C$23="FRM",-PMT($B$3/12,'Stress Test Inputs'!$E$23*12,$D$3),IF($A282,-PMT(B282/12,('Stress Test Inputs'!$E$23*12)-C282+1,D282),E281))))</f>
        <v>0</v>
      </c>
      <c r="F282" s="112">
        <f t="shared" si="21"/>
        <v>0</v>
      </c>
      <c r="G282" s="112">
        <f>IF(C282&gt;'Stress Test Inputs'!$B$23*12,0,D282*B282/12)</f>
        <v>0</v>
      </c>
      <c r="H282" s="112">
        <f t="shared" si="20"/>
        <v>0</v>
      </c>
      <c r="I282" s="112">
        <f t="shared" si="23"/>
        <v>0</v>
      </c>
      <c r="J282" s="111"/>
    </row>
    <row r="283" spans="1:10" x14ac:dyDescent="0.25">
      <c r="A283" s="107" t="b">
        <f>IF(('Stress Test Inputs'!$C$23)="FRM", FALSE, ISNUMBER(MATCH(C283,'Stress Test Inputs'!$M$18:$M$30,0)))</f>
        <v>0</v>
      </c>
      <c r="B283" s="116">
        <f>IF($A283, (_xlfn.XLOOKUP(C283,'Stress Test Inputs'!$M$17:$M$29,'Stress Test Inputs'!$N$17:$N$29)+'Stress Test Financial Analysis'!$D$5),$B282)</f>
        <v>0.06</v>
      </c>
      <c r="C283" s="114">
        <f t="shared" si="22"/>
        <v>281</v>
      </c>
      <c r="D283" s="112">
        <f t="shared" si="24"/>
        <v>0</v>
      </c>
      <c r="E283" s="112">
        <f>IF(OR(D283&lt;=0,C283&gt;'Stress Test Inputs'!$B$23*12),0,IF(AND(C283='Stress Test Inputs'!$B$23*12,'Stress Test Inputs'!$E$23&gt;'Stress Test Inputs'!$B$23),D283+D283*B283/12,IF('Stress Test Inputs'!$C$23="FRM",-PMT($B$3/12,'Stress Test Inputs'!$E$23*12,$D$3),IF($A283,-PMT(B283/12,('Stress Test Inputs'!$E$23*12)-C283+1,D283),E282))))</f>
        <v>0</v>
      </c>
      <c r="F283" s="112">
        <f t="shared" si="21"/>
        <v>0</v>
      </c>
      <c r="G283" s="112">
        <f>IF(C283&gt;'Stress Test Inputs'!$B$23*12,0,D283*B283/12)</f>
        <v>0</v>
      </c>
      <c r="H283" s="112">
        <f t="shared" si="20"/>
        <v>0</v>
      </c>
      <c r="I283" s="112">
        <f t="shared" si="23"/>
        <v>0</v>
      </c>
      <c r="J283" s="111"/>
    </row>
    <row r="284" spans="1:10" x14ac:dyDescent="0.25">
      <c r="A284" s="107" t="b">
        <f>IF(('Stress Test Inputs'!$C$23)="FRM", FALSE, ISNUMBER(MATCH(C284,'Stress Test Inputs'!$M$18:$M$30,0)))</f>
        <v>0</v>
      </c>
      <c r="B284" s="116">
        <f>IF($A284, (_xlfn.XLOOKUP(C284,'Stress Test Inputs'!$M$17:$M$29,'Stress Test Inputs'!$N$17:$N$29)+'Stress Test Financial Analysis'!$D$5),$B283)</f>
        <v>0.06</v>
      </c>
      <c r="C284" s="114">
        <f t="shared" si="22"/>
        <v>282</v>
      </c>
      <c r="D284" s="112">
        <f t="shared" si="24"/>
        <v>0</v>
      </c>
      <c r="E284" s="112">
        <f>IF(OR(D284&lt;=0,C284&gt;'Stress Test Inputs'!$B$23*12),0,IF(AND(C284='Stress Test Inputs'!$B$23*12,'Stress Test Inputs'!$E$23&gt;'Stress Test Inputs'!$B$23),D284+D284*B284/12,IF('Stress Test Inputs'!$C$23="FRM",-PMT($B$3/12,'Stress Test Inputs'!$E$23*12,$D$3),IF($A284,-PMT(B284/12,('Stress Test Inputs'!$E$23*12)-C284+1,D284),E283))))</f>
        <v>0</v>
      </c>
      <c r="F284" s="112">
        <f t="shared" si="21"/>
        <v>0</v>
      </c>
      <c r="G284" s="112">
        <f>IF(C284&gt;'Stress Test Inputs'!$B$23*12,0,D284*B284/12)</f>
        <v>0</v>
      </c>
      <c r="H284" s="112">
        <f t="shared" si="20"/>
        <v>0</v>
      </c>
      <c r="I284" s="112">
        <f t="shared" si="23"/>
        <v>0</v>
      </c>
      <c r="J284" s="111"/>
    </row>
    <row r="285" spans="1:10" x14ac:dyDescent="0.25">
      <c r="A285" s="107" t="b">
        <f>IF(('Stress Test Inputs'!$C$23)="FRM", FALSE, ISNUMBER(MATCH(C285,'Stress Test Inputs'!$M$18:$M$30,0)))</f>
        <v>0</v>
      </c>
      <c r="B285" s="116">
        <f>IF($A285, (_xlfn.XLOOKUP(C285,'Stress Test Inputs'!$M$17:$M$29,'Stress Test Inputs'!$N$17:$N$29)+'Stress Test Financial Analysis'!$D$5),$B284)</f>
        <v>0.06</v>
      </c>
      <c r="C285" s="114">
        <f t="shared" si="22"/>
        <v>283</v>
      </c>
      <c r="D285" s="112">
        <f t="shared" si="24"/>
        <v>0</v>
      </c>
      <c r="E285" s="112">
        <f>IF(OR(D285&lt;=0,C285&gt;'Stress Test Inputs'!$B$23*12),0,IF(AND(C285='Stress Test Inputs'!$B$23*12,'Stress Test Inputs'!$E$23&gt;'Stress Test Inputs'!$B$23),D285+D285*B285/12,IF('Stress Test Inputs'!$C$23="FRM",-PMT($B$3/12,'Stress Test Inputs'!$E$23*12,$D$3),IF($A285,-PMT(B285/12,('Stress Test Inputs'!$E$23*12)-C285+1,D285),E284))))</f>
        <v>0</v>
      </c>
      <c r="F285" s="112">
        <f t="shared" si="21"/>
        <v>0</v>
      </c>
      <c r="G285" s="112">
        <f>IF(C285&gt;'Stress Test Inputs'!$B$23*12,0,D285*B285/12)</f>
        <v>0</v>
      </c>
      <c r="H285" s="112">
        <f t="shared" si="20"/>
        <v>0</v>
      </c>
      <c r="I285" s="112">
        <f t="shared" si="23"/>
        <v>0</v>
      </c>
      <c r="J285" s="111"/>
    </row>
    <row r="286" spans="1:10" x14ac:dyDescent="0.25">
      <c r="A286" s="107" t="b">
        <f>IF(('Stress Test Inputs'!$C$23)="FRM", FALSE, ISNUMBER(MATCH(C286,'Stress Test Inputs'!$M$18:$M$30,0)))</f>
        <v>0</v>
      </c>
      <c r="B286" s="116">
        <f>IF($A286, (_xlfn.XLOOKUP(C286,'Stress Test Inputs'!$M$17:$M$29,'Stress Test Inputs'!$N$17:$N$29)+'Stress Test Financial Analysis'!$D$5),$B285)</f>
        <v>0.06</v>
      </c>
      <c r="C286" s="114">
        <f t="shared" si="22"/>
        <v>284</v>
      </c>
      <c r="D286" s="112">
        <f t="shared" si="24"/>
        <v>0</v>
      </c>
      <c r="E286" s="112">
        <f>IF(OR(D286&lt;=0,C286&gt;'Stress Test Inputs'!$B$23*12),0,IF(AND(C286='Stress Test Inputs'!$B$23*12,'Stress Test Inputs'!$E$23&gt;'Stress Test Inputs'!$B$23),D286+D286*B286/12,IF('Stress Test Inputs'!$C$23="FRM",-PMT($B$3/12,'Stress Test Inputs'!$E$23*12,$D$3),IF($A286,-PMT(B286/12,('Stress Test Inputs'!$E$23*12)-C286+1,D286),E285))))</f>
        <v>0</v>
      </c>
      <c r="F286" s="112">
        <f t="shared" si="21"/>
        <v>0</v>
      </c>
      <c r="G286" s="112">
        <f>IF(C286&gt;'Stress Test Inputs'!$B$23*12,0,D286*B286/12)</f>
        <v>0</v>
      </c>
      <c r="H286" s="112">
        <f t="shared" si="20"/>
        <v>0</v>
      </c>
      <c r="I286" s="112">
        <f t="shared" si="23"/>
        <v>0</v>
      </c>
      <c r="J286" s="111"/>
    </row>
    <row r="287" spans="1:10" x14ac:dyDescent="0.25">
      <c r="A287" s="107" t="b">
        <f>IF(('Stress Test Inputs'!$C$23)="FRM", FALSE, ISNUMBER(MATCH(C287,'Stress Test Inputs'!$M$18:$M$30,0)))</f>
        <v>0</v>
      </c>
      <c r="B287" s="116">
        <f>IF($A287, (_xlfn.XLOOKUP(C287,'Stress Test Inputs'!$M$17:$M$29,'Stress Test Inputs'!$N$17:$N$29)+'Stress Test Financial Analysis'!$D$5),$B286)</f>
        <v>0.06</v>
      </c>
      <c r="C287" s="114">
        <f t="shared" si="22"/>
        <v>285</v>
      </c>
      <c r="D287" s="112">
        <f t="shared" si="24"/>
        <v>0</v>
      </c>
      <c r="E287" s="112">
        <f>IF(OR(D287&lt;=0,C287&gt;'Stress Test Inputs'!$B$23*12),0,IF(AND(C287='Stress Test Inputs'!$B$23*12,'Stress Test Inputs'!$E$23&gt;'Stress Test Inputs'!$B$23),D287+D287*B287/12,IF('Stress Test Inputs'!$C$23="FRM",-PMT($B$3/12,'Stress Test Inputs'!$E$23*12,$D$3),IF($A287,-PMT(B287/12,('Stress Test Inputs'!$E$23*12)-C287+1,D287),E286))))</f>
        <v>0</v>
      </c>
      <c r="F287" s="112">
        <f t="shared" si="21"/>
        <v>0</v>
      </c>
      <c r="G287" s="112">
        <f>IF(C287&gt;'Stress Test Inputs'!$B$23*12,0,D287*B287/12)</f>
        <v>0</v>
      </c>
      <c r="H287" s="112">
        <f t="shared" si="20"/>
        <v>0</v>
      </c>
      <c r="I287" s="112">
        <f t="shared" si="23"/>
        <v>0</v>
      </c>
      <c r="J287" s="111"/>
    </row>
    <row r="288" spans="1:10" x14ac:dyDescent="0.25">
      <c r="A288" s="107" t="b">
        <f>IF(('Stress Test Inputs'!$C$23)="FRM", FALSE, ISNUMBER(MATCH(C288,'Stress Test Inputs'!$M$18:$M$30,0)))</f>
        <v>0</v>
      </c>
      <c r="B288" s="116">
        <f>IF($A288, (_xlfn.XLOOKUP(C288,'Stress Test Inputs'!$M$17:$M$29,'Stress Test Inputs'!$N$17:$N$29)+'Stress Test Financial Analysis'!$D$5),$B287)</f>
        <v>0.06</v>
      </c>
      <c r="C288" s="114">
        <f t="shared" si="22"/>
        <v>286</v>
      </c>
      <c r="D288" s="112">
        <f t="shared" si="24"/>
        <v>0</v>
      </c>
      <c r="E288" s="112">
        <f>IF(OR(D288&lt;=0,C288&gt;'Stress Test Inputs'!$B$23*12),0,IF(AND(C288='Stress Test Inputs'!$B$23*12,'Stress Test Inputs'!$E$23&gt;'Stress Test Inputs'!$B$23),D288+D288*B288/12,IF('Stress Test Inputs'!$C$23="FRM",-PMT($B$3/12,'Stress Test Inputs'!$E$23*12,$D$3),IF($A288,-PMT(B288/12,('Stress Test Inputs'!$E$23*12)-C288+1,D288),E287))))</f>
        <v>0</v>
      </c>
      <c r="F288" s="112">
        <f t="shared" si="21"/>
        <v>0</v>
      </c>
      <c r="G288" s="112">
        <f>IF(C288&gt;'Stress Test Inputs'!$B$23*12,0,D288*B288/12)</f>
        <v>0</v>
      </c>
      <c r="H288" s="112">
        <f t="shared" si="20"/>
        <v>0</v>
      </c>
      <c r="I288" s="112">
        <f t="shared" si="23"/>
        <v>0</v>
      </c>
      <c r="J288" s="111"/>
    </row>
    <row r="289" spans="1:10" x14ac:dyDescent="0.25">
      <c r="A289" s="107" t="b">
        <f>IF(('Stress Test Inputs'!$C$23)="FRM", FALSE, ISNUMBER(MATCH(C289,'Stress Test Inputs'!$M$18:$M$30,0)))</f>
        <v>0</v>
      </c>
      <c r="B289" s="116">
        <f>IF($A289, (_xlfn.XLOOKUP(C289,'Stress Test Inputs'!$M$17:$M$29,'Stress Test Inputs'!$N$17:$N$29)+'Stress Test Financial Analysis'!$D$5),$B288)</f>
        <v>0.06</v>
      </c>
      <c r="C289" s="114">
        <f t="shared" si="22"/>
        <v>287</v>
      </c>
      <c r="D289" s="112">
        <f t="shared" si="24"/>
        <v>0</v>
      </c>
      <c r="E289" s="112">
        <f>IF(OR(D289&lt;=0,C289&gt;'Stress Test Inputs'!$B$23*12),0,IF(AND(C289='Stress Test Inputs'!$B$23*12,'Stress Test Inputs'!$E$23&gt;'Stress Test Inputs'!$B$23),D289+D289*B289/12,IF('Stress Test Inputs'!$C$23="FRM",-PMT($B$3/12,'Stress Test Inputs'!$E$23*12,$D$3),IF($A289,-PMT(B289/12,('Stress Test Inputs'!$E$23*12)-C289+1,D289),E288))))</f>
        <v>0</v>
      </c>
      <c r="F289" s="112">
        <f t="shared" si="21"/>
        <v>0</v>
      </c>
      <c r="G289" s="112">
        <f>IF(C289&gt;'Stress Test Inputs'!$B$23*12,0,D289*B289/12)</f>
        <v>0</v>
      </c>
      <c r="H289" s="112">
        <f t="shared" si="20"/>
        <v>0</v>
      </c>
      <c r="I289" s="112">
        <f t="shared" si="23"/>
        <v>0</v>
      </c>
      <c r="J289" s="111"/>
    </row>
    <row r="290" spans="1:10" x14ac:dyDescent="0.25">
      <c r="A290" s="107" t="b">
        <f>IF(('Stress Test Inputs'!$C$23)="FRM", FALSE, ISNUMBER(MATCH(C290,'Stress Test Inputs'!$M$18:$M$30,0)))</f>
        <v>0</v>
      </c>
      <c r="B290" s="116">
        <f>IF($A290, (_xlfn.XLOOKUP(C290,'Stress Test Inputs'!$M$17:$M$29,'Stress Test Inputs'!$N$17:$N$29)+'Stress Test Financial Analysis'!$D$5),$B289)</f>
        <v>0.06</v>
      </c>
      <c r="C290" s="114">
        <f t="shared" si="22"/>
        <v>288</v>
      </c>
      <c r="D290" s="112">
        <f t="shared" si="24"/>
        <v>0</v>
      </c>
      <c r="E290" s="112">
        <f>IF(OR(D290&lt;=0,C290&gt;'Stress Test Inputs'!$B$23*12),0,IF(AND(C290='Stress Test Inputs'!$B$23*12,'Stress Test Inputs'!$E$23&gt;'Stress Test Inputs'!$B$23),D290+D290*B290/12,IF('Stress Test Inputs'!$C$23="FRM",-PMT($B$3/12,'Stress Test Inputs'!$E$23*12,$D$3),IF($A290,-PMT(B290/12,('Stress Test Inputs'!$E$23*12)-C290+1,D290),E289))))</f>
        <v>0</v>
      </c>
      <c r="F290" s="112">
        <f t="shared" si="21"/>
        <v>0</v>
      </c>
      <c r="G290" s="112">
        <f>IF(C290&gt;'Stress Test Inputs'!$B$23*12,0,D290*B290/12)</f>
        <v>0</v>
      </c>
      <c r="H290" s="112">
        <f t="shared" si="20"/>
        <v>0</v>
      </c>
      <c r="I290" s="112">
        <f t="shared" si="23"/>
        <v>0</v>
      </c>
      <c r="J290" s="111"/>
    </row>
    <row r="291" spans="1:10" x14ac:dyDescent="0.25">
      <c r="A291" s="107" t="b">
        <f>IF(('Stress Test Inputs'!$C$23)="FRM", FALSE, ISNUMBER(MATCH(C291,'Stress Test Inputs'!$M$18:$M$30,0)))</f>
        <v>0</v>
      </c>
      <c r="B291" s="116">
        <f>IF($A291, (_xlfn.XLOOKUP(C291,'Stress Test Inputs'!$M$17:$M$29,'Stress Test Inputs'!$N$17:$N$29)+'Stress Test Financial Analysis'!$D$5),$B290)</f>
        <v>0.06</v>
      </c>
      <c r="C291" s="114">
        <f t="shared" si="22"/>
        <v>289</v>
      </c>
      <c r="D291" s="112">
        <f t="shared" si="24"/>
        <v>0</v>
      </c>
      <c r="E291" s="112">
        <f>IF(OR(D291&lt;=0,C291&gt;'Stress Test Inputs'!$B$23*12),0,IF(AND(C291='Stress Test Inputs'!$B$23*12,'Stress Test Inputs'!$E$23&gt;'Stress Test Inputs'!$B$23),D291+D291*B291/12,IF('Stress Test Inputs'!$C$23="FRM",-PMT($B$3/12,'Stress Test Inputs'!$E$23*12,$D$3),IF($A291,-PMT(B291/12,('Stress Test Inputs'!$E$23*12)-C291+1,D291),E290))))</f>
        <v>0</v>
      </c>
      <c r="F291" s="112">
        <f t="shared" si="21"/>
        <v>0</v>
      </c>
      <c r="G291" s="112">
        <f>IF(C291&gt;'Stress Test Inputs'!$B$23*12,0,D291*B291/12)</f>
        <v>0</v>
      </c>
      <c r="H291" s="112">
        <f t="shared" si="20"/>
        <v>0</v>
      </c>
      <c r="I291" s="112">
        <f t="shared" si="23"/>
        <v>0</v>
      </c>
      <c r="J291" s="111"/>
    </row>
    <row r="292" spans="1:10" x14ac:dyDescent="0.25">
      <c r="A292" s="107" t="b">
        <f>IF(('Stress Test Inputs'!$C$23)="FRM", FALSE, ISNUMBER(MATCH(C292,'Stress Test Inputs'!$M$18:$M$30,0)))</f>
        <v>0</v>
      </c>
      <c r="B292" s="116">
        <f>IF($A292, (_xlfn.XLOOKUP(C292,'Stress Test Inputs'!$M$17:$M$29,'Stress Test Inputs'!$N$17:$N$29)+'Stress Test Financial Analysis'!$D$5),$B291)</f>
        <v>0.06</v>
      </c>
      <c r="C292" s="114">
        <f t="shared" si="22"/>
        <v>290</v>
      </c>
      <c r="D292" s="112">
        <f t="shared" si="24"/>
        <v>0</v>
      </c>
      <c r="E292" s="112">
        <f>IF(OR(D292&lt;=0,C292&gt;'Stress Test Inputs'!$B$23*12),0,IF(AND(C292='Stress Test Inputs'!$B$23*12,'Stress Test Inputs'!$E$23&gt;'Stress Test Inputs'!$B$23),D292+D292*B292/12,IF('Stress Test Inputs'!$C$23="FRM",-PMT($B$3/12,'Stress Test Inputs'!$E$23*12,$D$3),IF($A292,-PMT(B292/12,('Stress Test Inputs'!$E$23*12)-C292+1,D292),E291))))</f>
        <v>0</v>
      </c>
      <c r="F292" s="112">
        <f t="shared" si="21"/>
        <v>0</v>
      </c>
      <c r="G292" s="112">
        <f>IF(C292&gt;'Stress Test Inputs'!$B$23*12,0,D292*B292/12)</f>
        <v>0</v>
      </c>
      <c r="H292" s="112">
        <f t="shared" si="20"/>
        <v>0</v>
      </c>
      <c r="I292" s="112">
        <f t="shared" si="23"/>
        <v>0</v>
      </c>
      <c r="J292" s="111"/>
    </row>
    <row r="293" spans="1:10" x14ac:dyDescent="0.25">
      <c r="A293" s="107" t="b">
        <f>IF(('Stress Test Inputs'!$C$23)="FRM", FALSE, ISNUMBER(MATCH(C293,'Stress Test Inputs'!$M$18:$M$30,0)))</f>
        <v>0</v>
      </c>
      <c r="B293" s="116">
        <f>IF($A293, (_xlfn.XLOOKUP(C293,'Stress Test Inputs'!$M$17:$M$29,'Stress Test Inputs'!$N$17:$N$29)+'Stress Test Financial Analysis'!$D$5),$B292)</f>
        <v>0.06</v>
      </c>
      <c r="C293" s="114">
        <f t="shared" si="22"/>
        <v>291</v>
      </c>
      <c r="D293" s="112">
        <f t="shared" si="24"/>
        <v>0</v>
      </c>
      <c r="E293" s="112">
        <f>IF(OR(D293&lt;=0,C293&gt;'Stress Test Inputs'!$B$23*12),0,IF(AND(C293='Stress Test Inputs'!$B$23*12,'Stress Test Inputs'!$E$23&gt;'Stress Test Inputs'!$B$23),D293+D293*B293/12,IF('Stress Test Inputs'!$C$23="FRM",-PMT($B$3/12,'Stress Test Inputs'!$E$23*12,$D$3),IF($A293,-PMT(B293/12,('Stress Test Inputs'!$E$23*12)-C293+1,D293),E292))))</f>
        <v>0</v>
      </c>
      <c r="F293" s="112">
        <f t="shared" si="21"/>
        <v>0</v>
      </c>
      <c r="G293" s="112">
        <f>IF(C293&gt;'Stress Test Inputs'!$B$23*12,0,D293*B293/12)</f>
        <v>0</v>
      </c>
      <c r="H293" s="112">
        <f t="shared" si="20"/>
        <v>0</v>
      </c>
      <c r="I293" s="112">
        <f t="shared" si="23"/>
        <v>0</v>
      </c>
      <c r="J293" s="111"/>
    </row>
    <row r="294" spans="1:10" x14ac:dyDescent="0.25">
      <c r="A294" s="107" t="b">
        <f>IF(('Stress Test Inputs'!$C$23)="FRM", FALSE, ISNUMBER(MATCH(C294,'Stress Test Inputs'!$M$18:$M$30,0)))</f>
        <v>0</v>
      </c>
      <c r="B294" s="116">
        <f>IF($A294, (_xlfn.XLOOKUP(C294,'Stress Test Inputs'!$M$17:$M$29,'Stress Test Inputs'!$N$17:$N$29)+'Stress Test Financial Analysis'!$D$5),$B293)</f>
        <v>0.06</v>
      </c>
      <c r="C294" s="114">
        <f t="shared" si="22"/>
        <v>292</v>
      </c>
      <c r="D294" s="112">
        <f t="shared" si="24"/>
        <v>0</v>
      </c>
      <c r="E294" s="112">
        <f>IF(OR(D294&lt;=0,C294&gt;'Stress Test Inputs'!$B$23*12),0,IF(AND(C294='Stress Test Inputs'!$B$23*12,'Stress Test Inputs'!$E$23&gt;'Stress Test Inputs'!$B$23),D294+D294*B294/12,IF('Stress Test Inputs'!$C$23="FRM",-PMT($B$3/12,'Stress Test Inputs'!$E$23*12,$D$3),IF($A294,-PMT(B294/12,('Stress Test Inputs'!$E$23*12)-C294+1,D294),E293))))</f>
        <v>0</v>
      </c>
      <c r="F294" s="112">
        <f t="shared" si="21"/>
        <v>0</v>
      </c>
      <c r="G294" s="112">
        <f>IF(C294&gt;'Stress Test Inputs'!$B$23*12,0,D294*B294/12)</f>
        <v>0</v>
      </c>
      <c r="H294" s="112">
        <f t="shared" si="20"/>
        <v>0</v>
      </c>
      <c r="I294" s="112">
        <f t="shared" si="23"/>
        <v>0</v>
      </c>
      <c r="J294" s="111"/>
    </row>
    <row r="295" spans="1:10" x14ac:dyDescent="0.25">
      <c r="A295" s="107" t="b">
        <f>IF(('Stress Test Inputs'!$C$23)="FRM", FALSE, ISNUMBER(MATCH(C295,'Stress Test Inputs'!$M$18:$M$30,0)))</f>
        <v>0</v>
      </c>
      <c r="B295" s="116">
        <f>IF($A295, (_xlfn.XLOOKUP(C295,'Stress Test Inputs'!$M$17:$M$29,'Stress Test Inputs'!$N$17:$N$29)+'Stress Test Financial Analysis'!$D$5),$B294)</f>
        <v>0.06</v>
      </c>
      <c r="C295" s="114">
        <f t="shared" si="22"/>
        <v>293</v>
      </c>
      <c r="D295" s="112">
        <f t="shared" si="24"/>
        <v>0</v>
      </c>
      <c r="E295" s="112">
        <f>IF(OR(D295&lt;=0,C295&gt;'Stress Test Inputs'!$B$23*12),0,IF(AND(C295='Stress Test Inputs'!$B$23*12,'Stress Test Inputs'!$E$23&gt;'Stress Test Inputs'!$B$23),D295+D295*B295/12,IF('Stress Test Inputs'!$C$23="FRM",-PMT($B$3/12,'Stress Test Inputs'!$E$23*12,$D$3),IF($A295,-PMT(B295/12,('Stress Test Inputs'!$E$23*12)-C295+1,D295),E294))))</f>
        <v>0</v>
      </c>
      <c r="F295" s="112">
        <f t="shared" si="21"/>
        <v>0</v>
      </c>
      <c r="G295" s="112">
        <f>IF(C295&gt;'Stress Test Inputs'!$B$23*12,0,D295*B295/12)</f>
        <v>0</v>
      </c>
      <c r="H295" s="112">
        <f t="shared" si="20"/>
        <v>0</v>
      </c>
      <c r="I295" s="112">
        <f t="shared" si="23"/>
        <v>0</v>
      </c>
      <c r="J295" s="111"/>
    </row>
    <row r="296" spans="1:10" x14ac:dyDescent="0.25">
      <c r="A296" s="107" t="b">
        <f>IF(('Stress Test Inputs'!$C$23)="FRM", FALSE, ISNUMBER(MATCH(C296,'Stress Test Inputs'!$M$18:$M$30,0)))</f>
        <v>0</v>
      </c>
      <c r="B296" s="116">
        <f>IF($A296, (_xlfn.XLOOKUP(C296,'Stress Test Inputs'!$M$17:$M$29,'Stress Test Inputs'!$N$17:$N$29)+'Stress Test Financial Analysis'!$D$5),$B295)</f>
        <v>0.06</v>
      </c>
      <c r="C296" s="114">
        <f t="shared" si="22"/>
        <v>294</v>
      </c>
      <c r="D296" s="112">
        <f t="shared" si="24"/>
        <v>0</v>
      </c>
      <c r="E296" s="112">
        <f>IF(OR(D296&lt;=0,C296&gt;'Stress Test Inputs'!$B$23*12),0,IF(AND(C296='Stress Test Inputs'!$B$23*12,'Stress Test Inputs'!$E$23&gt;'Stress Test Inputs'!$B$23),D296+D296*B296/12,IF('Stress Test Inputs'!$C$23="FRM",-PMT($B$3/12,'Stress Test Inputs'!$E$23*12,$D$3),IF($A296,-PMT(B296/12,('Stress Test Inputs'!$E$23*12)-C296+1,D296),E295))))</f>
        <v>0</v>
      </c>
      <c r="F296" s="112">
        <f t="shared" si="21"/>
        <v>0</v>
      </c>
      <c r="G296" s="112">
        <f>IF(C296&gt;'Stress Test Inputs'!$B$23*12,0,D296*B296/12)</f>
        <v>0</v>
      </c>
      <c r="H296" s="112">
        <f t="shared" si="20"/>
        <v>0</v>
      </c>
      <c r="I296" s="112">
        <f t="shared" si="23"/>
        <v>0</v>
      </c>
      <c r="J296" s="111"/>
    </row>
    <row r="297" spans="1:10" x14ac:dyDescent="0.25">
      <c r="A297" s="107" t="b">
        <f>IF(('Stress Test Inputs'!$C$23)="FRM", FALSE, ISNUMBER(MATCH(C297,'Stress Test Inputs'!$M$18:$M$30,0)))</f>
        <v>0</v>
      </c>
      <c r="B297" s="116">
        <f>IF($A297, (_xlfn.XLOOKUP(C297,'Stress Test Inputs'!$M$17:$M$29,'Stress Test Inputs'!$N$17:$N$29)+'Stress Test Financial Analysis'!$D$5),$B296)</f>
        <v>0.06</v>
      </c>
      <c r="C297" s="114">
        <f t="shared" si="22"/>
        <v>295</v>
      </c>
      <c r="D297" s="112">
        <f t="shared" si="24"/>
        <v>0</v>
      </c>
      <c r="E297" s="112">
        <f>IF(OR(D297&lt;=0,C297&gt;'Stress Test Inputs'!$B$23*12),0,IF(AND(C297='Stress Test Inputs'!$B$23*12,'Stress Test Inputs'!$E$23&gt;'Stress Test Inputs'!$B$23),D297+D297*B297/12,IF('Stress Test Inputs'!$C$23="FRM",-PMT($B$3/12,'Stress Test Inputs'!$E$23*12,$D$3),IF($A297,-PMT(B297/12,('Stress Test Inputs'!$E$23*12)-C297+1,D297),E296))))</f>
        <v>0</v>
      </c>
      <c r="F297" s="112">
        <f t="shared" si="21"/>
        <v>0</v>
      </c>
      <c r="G297" s="112">
        <f>IF(C297&gt;'Stress Test Inputs'!$B$23*12,0,D297*B297/12)</f>
        <v>0</v>
      </c>
      <c r="H297" s="112">
        <f t="shared" si="20"/>
        <v>0</v>
      </c>
      <c r="I297" s="112">
        <f t="shared" si="23"/>
        <v>0</v>
      </c>
      <c r="J297" s="111"/>
    </row>
    <row r="298" spans="1:10" x14ac:dyDescent="0.25">
      <c r="A298" s="107" t="b">
        <f>IF(('Stress Test Inputs'!$C$23)="FRM", FALSE, ISNUMBER(MATCH(C298,'Stress Test Inputs'!$M$18:$M$30,0)))</f>
        <v>0</v>
      </c>
      <c r="B298" s="116">
        <f>IF($A298, (_xlfn.XLOOKUP(C298,'Stress Test Inputs'!$M$17:$M$29,'Stress Test Inputs'!$N$17:$N$29)+'Stress Test Financial Analysis'!$D$5),$B297)</f>
        <v>0.06</v>
      </c>
      <c r="C298" s="114">
        <f t="shared" si="22"/>
        <v>296</v>
      </c>
      <c r="D298" s="112">
        <f t="shared" si="24"/>
        <v>0</v>
      </c>
      <c r="E298" s="112">
        <f>IF(OR(D298&lt;=0,C298&gt;'Stress Test Inputs'!$B$23*12),0,IF(AND(C298='Stress Test Inputs'!$B$23*12,'Stress Test Inputs'!$E$23&gt;'Stress Test Inputs'!$B$23),D298+D298*B298/12,IF('Stress Test Inputs'!$C$23="FRM",-PMT($B$3/12,'Stress Test Inputs'!$E$23*12,$D$3),IF($A298,-PMT(B298/12,('Stress Test Inputs'!$E$23*12)-C298+1,D298),E297))))</f>
        <v>0</v>
      </c>
      <c r="F298" s="112">
        <f t="shared" si="21"/>
        <v>0</v>
      </c>
      <c r="G298" s="112">
        <f>IF(C298&gt;'Stress Test Inputs'!$B$23*12,0,D298*B298/12)</f>
        <v>0</v>
      </c>
      <c r="H298" s="112">
        <f t="shared" si="20"/>
        <v>0</v>
      </c>
      <c r="I298" s="112">
        <f t="shared" si="23"/>
        <v>0</v>
      </c>
      <c r="J298" s="111"/>
    </row>
    <row r="299" spans="1:10" x14ac:dyDescent="0.25">
      <c r="A299" s="107" t="b">
        <f>IF(('Stress Test Inputs'!$C$23)="FRM", FALSE, ISNUMBER(MATCH(C299,'Stress Test Inputs'!$M$18:$M$30,0)))</f>
        <v>0</v>
      </c>
      <c r="B299" s="116">
        <f>IF($A299, (_xlfn.XLOOKUP(C299,'Stress Test Inputs'!$M$17:$M$29,'Stress Test Inputs'!$N$17:$N$29)+'Stress Test Financial Analysis'!$D$5),$B298)</f>
        <v>0.06</v>
      </c>
      <c r="C299" s="114">
        <f t="shared" si="22"/>
        <v>297</v>
      </c>
      <c r="D299" s="112">
        <f t="shared" si="24"/>
        <v>0</v>
      </c>
      <c r="E299" s="112">
        <f>IF(OR(D299&lt;=0,C299&gt;'Stress Test Inputs'!$B$23*12),0,IF(AND(C299='Stress Test Inputs'!$B$23*12,'Stress Test Inputs'!$E$23&gt;'Stress Test Inputs'!$B$23),D299+D299*B299/12,IF('Stress Test Inputs'!$C$23="FRM",-PMT($B$3/12,'Stress Test Inputs'!$E$23*12,$D$3),IF($A299,-PMT(B299/12,('Stress Test Inputs'!$E$23*12)-C299+1,D299),E298))))</f>
        <v>0</v>
      </c>
      <c r="F299" s="112">
        <f t="shared" si="21"/>
        <v>0</v>
      </c>
      <c r="G299" s="112">
        <f>IF(C299&gt;'Stress Test Inputs'!$B$23*12,0,D299*B299/12)</f>
        <v>0</v>
      </c>
      <c r="H299" s="112">
        <f t="shared" si="20"/>
        <v>0</v>
      </c>
      <c r="I299" s="112">
        <f t="shared" si="23"/>
        <v>0</v>
      </c>
      <c r="J299" s="111"/>
    </row>
    <row r="300" spans="1:10" x14ac:dyDescent="0.25">
      <c r="A300" s="107" t="b">
        <f>IF(('Stress Test Inputs'!$C$23)="FRM", FALSE, ISNUMBER(MATCH(C300,'Stress Test Inputs'!$M$18:$M$30,0)))</f>
        <v>0</v>
      </c>
      <c r="B300" s="116">
        <f>IF($A300, (_xlfn.XLOOKUP(C300,'Stress Test Inputs'!$M$17:$M$29,'Stress Test Inputs'!$N$17:$N$29)+'Stress Test Financial Analysis'!$D$5),$B299)</f>
        <v>0.06</v>
      </c>
      <c r="C300" s="114">
        <f t="shared" si="22"/>
        <v>298</v>
      </c>
      <c r="D300" s="112">
        <f t="shared" si="24"/>
        <v>0</v>
      </c>
      <c r="E300" s="112">
        <f>IF(OR(D300&lt;=0,C300&gt;'Stress Test Inputs'!$B$23*12),0,IF(AND(C300='Stress Test Inputs'!$B$23*12,'Stress Test Inputs'!$E$23&gt;'Stress Test Inputs'!$B$23),D300+D300*B300/12,IF('Stress Test Inputs'!$C$23="FRM",-PMT($B$3/12,'Stress Test Inputs'!$E$23*12,$D$3),IF($A300,-PMT(B300/12,('Stress Test Inputs'!$E$23*12)-C300+1,D300),E299))))</f>
        <v>0</v>
      </c>
      <c r="F300" s="112">
        <f t="shared" si="21"/>
        <v>0</v>
      </c>
      <c r="G300" s="112">
        <f>IF(C300&gt;'Stress Test Inputs'!$B$23*12,0,D300*B300/12)</f>
        <v>0</v>
      </c>
      <c r="H300" s="112">
        <f t="shared" si="20"/>
        <v>0</v>
      </c>
      <c r="I300" s="112">
        <f t="shared" si="23"/>
        <v>0</v>
      </c>
      <c r="J300" s="111"/>
    </row>
    <row r="301" spans="1:10" x14ac:dyDescent="0.25">
      <c r="A301" s="107" t="b">
        <f>IF(('Stress Test Inputs'!$C$23)="FRM", FALSE, ISNUMBER(MATCH(C301,'Stress Test Inputs'!$M$18:$M$30,0)))</f>
        <v>0</v>
      </c>
      <c r="B301" s="116">
        <f>IF($A301, (_xlfn.XLOOKUP(C301,'Stress Test Inputs'!$M$17:$M$29,'Stress Test Inputs'!$N$17:$N$29)+'Stress Test Financial Analysis'!$D$5),$B300)</f>
        <v>0.06</v>
      </c>
      <c r="C301" s="114">
        <f t="shared" si="22"/>
        <v>299</v>
      </c>
      <c r="D301" s="112">
        <f t="shared" si="24"/>
        <v>0</v>
      </c>
      <c r="E301" s="112">
        <f>IF(OR(D301&lt;=0,C301&gt;'Stress Test Inputs'!$B$23*12),0,IF(AND(C301='Stress Test Inputs'!$B$23*12,'Stress Test Inputs'!$E$23&gt;'Stress Test Inputs'!$B$23),D301+D301*B301/12,IF('Stress Test Inputs'!$C$23="FRM",-PMT($B$3/12,'Stress Test Inputs'!$E$23*12,$D$3),IF($A301,-PMT(B301/12,('Stress Test Inputs'!$E$23*12)-C301+1,D301),E300))))</f>
        <v>0</v>
      </c>
      <c r="F301" s="112">
        <f t="shared" si="21"/>
        <v>0</v>
      </c>
      <c r="G301" s="112">
        <f>IF(C301&gt;'Stress Test Inputs'!$B$23*12,0,D301*B301/12)</f>
        <v>0</v>
      </c>
      <c r="H301" s="112">
        <f t="shared" si="20"/>
        <v>0</v>
      </c>
      <c r="I301" s="112">
        <f t="shared" si="23"/>
        <v>0</v>
      </c>
      <c r="J301" s="111"/>
    </row>
    <row r="302" spans="1:10" x14ac:dyDescent="0.25">
      <c r="A302" s="107" t="b">
        <f>IF(('Stress Test Inputs'!$C$23)="FRM", FALSE, ISNUMBER(MATCH(C302,'Stress Test Inputs'!$M$18:$M$30,0)))</f>
        <v>0</v>
      </c>
      <c r="B302" s="116">
        <f>IF($A302, (_xlfn.XLOOKUP(C302,'Stress Test Inputs'!$M$17:$M$29,'Stress Test Inputs'!$N$17:$N$29)+'Stress Test Financial Analysis'!$D$5),$B301)</f>
        <v>0.06</v>
      </c>
      <c r="C302" s="114">
        <f t="shared" si="22"/>
        <v>300</v>
      </c>
      <c r="D302" s="112">
        <f t="shared" si="24"/>
        <v>0</v>
      </c>
      <c r="E302" s="112">
        <f>IF(OR(D302&lt;=0,C302&gt;'Stress Test Inputs'!$B$23*12),0,IF(AND(C302='Stress Test Inputs'!$B$23*12,'Stress Test Inputs'!$E$23&gt;'Stress Test Inputs'!$B$23),D302+D302*B302/12,IF('Stress Test Inputs'!$C$23="FRM",-PMT($B$3/12,'Stress Test Inputs'!$E$23*12,$D$3),IF($A302,-PMT(B302/12,('Stress Test Inputs'!$E$23*12)-C302+1,D302),E301))))</f>
        <v>0</v>
      </c>
      <c r="F302" s="112">
        <f t="shared" si="21"/>
        <v>0</v>
      </c>
      <c r="G302" s="112">
        <f>IF(C302&gt;'Stress Test Inputs'!$B$23*12,0,D302*B302/12)</f>
        <v>0</v>
      </c>
      <c r="H302" s="112">
        <f t="shared" si="20"/>
        <v>0</v>
      </c>
      <c r="I302" s="112">
        <f t="shared" si="23"/>
        <v>0</v>
      </c>
      <c r="J302" s="111"/>
    </row>
    <row r="303" spans="1:10" x14ac:dyDescent="0.25">
      <c r="A303" s="107" t="b">
        <f>IF(('Stress Test Inputs'!$C$23)="FRM", FALSE, ISNUMBER(MATCH(C303,'Stress Test Inputs'!$M$18:$M$30,0)))</f>
        <v>0</v>
      </c>
      <c r="B303" s="116">
        <f>IF($A303, (_xlfn.XLOOKUP(C303,'Stress Test Inputs'!$M$17:$M$29,'Stress Test Inputs'!$N$17:$N$29)+'Stress Test Financial Analysis'!$D$5),$B302)</f>
        <v>0.06</v>
      </c>
      <c r="C303" s="114">
        <f t="shared" si="22"/>
        <v>301</v>
      </c>
      <c r="D303" s="112">
        <f t="shared" si="24"/>
        <v>0</v>
      </c>
      <c r="E303" s="112">
        <f>IF(OR(D303&lt;=0,C303&gt;'Stress Test Inputs'!$B$23*12),0,IF(AND(C303='Stress Test Inputs'!$B$23*12,'Stress Test Inputs'!$E$23&gt;'Stress Test Inputs'!$B$23),D303+D303*B303/12,IF('Stress Test Inputs'!$C$23="FRM",-PMT($B$3/12,'Stress Test Inputs'!$E$23*12,$D$3),IF($A303,-PMT(B303/12,('Stress Test Inputs'!$E$23*12)-C303+1,D303),E302))))</f>
        <v>0</v>
      </c>
      <c r="F303" s="112">
        <f t="shared" si="21"/>
        <v>0</v>
      </c>
      <c r="G303" s="112">
        <f>IF(C303&gt;'Stress Test Inputs'!$B$23*12,0,D303*B303/12)</f>
        <v>0</v>
      </c>
      <c r="H303" s="112">
        <f t="shared" si="20"/>
        <v>0</v>
      </c>
      <c r="I303" s="112">
        <f t="shared" si="23"/>
        <v>0</v>
      </c>
      <c r="J303" s="111"/>
    </row>
    <row r="304" spans="1:10" x14ac:dyDescent="0.25">
      <c r="A304" s="107" t="b">
        <f>IF(('Stress Test Inputs'!$C$23)="FRM", FALSE, ISNUMBER(MATCH(C304,'Stress Test Inputs'!$M$18:$M$30,0)))</f>
        <v>0</v>
      </c>
      <c r="B304" s="116">
        <f>IF($A304, (_xlfn.XLOOKUP(C304,'Stress Test Inputs'!$M$17:$M$29,'Stress Test Inputs'!$N$17:$N$29)+'Stress Test Financial Analysis'!$D$5),$B303)</f>
        <v>0.06</v>
      </c>
      <c r="C304" s="114">
        <f t="shared" si="22"/>
        <v>302</v>
      </c>
      <c r="D304" s="112">
        <f t="shared" si="24"/>
        <v>0</v>
      </c>
      <c r="E304" s="112">
        <f>IF(OR(D304&lt;=0,C304&gt;'Stress Test Inputs'!$B$23*12),0,IF(AND(C304='Stress Test Inputs'!$B$23*12,'Stress Test Inputs'!$E$23&gt;'Stress Test Inputs'!$B$23),D304+D304*B304/12,IF('Stress Test Inputs'!$C$23="FRM",-PMT($B$3/12,'Stress Test Inputs'!$E$23*12,$D$3),IF($A304,-PMT(B304/12,('Stress Test Inputs'!$E$23*12)-C304+1,D304),E303))))</f>
        <v>0</v>
      </c>
      <c r="F304" s="112">
        <f t="shared" si="21"/>
        <v>0</v>
      </c>
      <c r="G304" s="112">
        <f>IF(C304&gt;'Stress Test Inputs'!$B$23*12,0,D304*B304/12)</f>
        <v>0</v>
      </c>
      <c r="H304" s="112">
        <f t="shared" si="20"/>
        <v>0</v>
      </c>
      <c r="I304" s="112">
        <f t="shared" si="23"/>
        <v>0</v>
      </c>
      <c r="J304" s="111"/>
    </row>
    <row r="305" spans="1:10" x14ac:dyDescent="0.25">
      <c r="A305" s="107" t="b">
        <f>IF(('Stress Test Inputs'!$C$23)="FRM", FALSE, ISNUMBER(MATCH(C305,'Stress Test Inputs'!$M$18:$M$30,0)))</f>
        <v>0</v>
      </c>
      <c r="B305" s="116">
        <f>IF($A305, (_xlfn.XLOOKUP(C305,'Stress Test Inputs'!$M$17:$M$29,'Stress Test Inputs'!$N$17:$N$29)+'Stress Test Financial Analysis'!$D$5),$B304)</f>
        <v>0.06</v>
      </c>
      <c r="C305" s="114">
        <f t="shared" si="22"/>
        <v>303</v>
      </c>
      <c r="D305" s="112">
        <f t="shared" si="24"/>
        <v>0</v>
      </c>
      <c r="E305" s="112">
        <f>IF(OR(D305&lt;=0,C305&gt;'Stress Test Inputs'!$B$23*12),0,IF(AND(C305='Stress Test Inputs'!$B$23*12,'Stress Test Inputs'!$E$23&gt;'Stress Test Inputs'!$B$23),D305+D305*B305/12,IF('Stress Test Inputs'!$C$23="FRM",-PMT($B$3/12,'Stress Test Inputs'!$E$23*12,$D$3),IF($A305,-PMT(B305/12,('Stress Test Inputs'!$E$23*12)-C305+1,D305),E304))))</f>
        <v>0</v>
      </c>
      <c r="F305" s="112">
        <f t="shared" si="21"/>
        <v>0</v>
      </c>
      <c r="G305" s="112">
        <f>IF(C305&gt;'Stress Test Inputs'!$B$23*12,0,D305*B305/12)</f>
        <v>0</v>
      </c>
      <c r="H305" s="112">
        <f t="shared" si="20"/>
        <v>0</v>
      </c>
      <c r="I305" s="112">
        <f t="shared" si="23"/>
        <v>0</v>
      </c>
      <c r="J305" s="111"/>
    </row>
    <row r="306" spans="1:10" x14ac:dyDescent="0.25">
      <c r="A306" s="107" t="b">
        <f>IF(('Stress Test Inputs'!$C$23)="FRM", FALSE, ISNUMBER(MATCH(C306,'Stress Test Inputs'!$M$18:$M$30,0)))</f>
        <v>0</v>
      </c>
      <c r="B306" s="116">
        <f>IF($A306, (_xlfn.XLOOKUP(C306,'Stress Test Inputs'!$M$17:$M$29,'Stress Test Inputs'!$N$17:$N$29)+'Stress Test Financial Analysis'!$D$5),$B305)</f>
        <v>0.06</v>
      </c>
      <c r="C306" s="114">
        <f t="shared" si="22"/>
        <v>304</v>
      </c>
      <c r="D306" s="112">
        <f t="shared" si="24"/>
        <v>0</v>
      </c>
      <c r="E306" s="112">
        <f>IF(OR(D306&lt;=0,C306&gt;'Stress Test Inputs'!$B$23*12),0,IF(AND(C306='Stress Test Inputs'!$B$23*12,'Stress Test Inputs'!$E$23&gt;'Stress Test Inputs'!$B$23),D306+D306*B306/12,IF('Stress Test Inputs'!$C$23="FRM",-PMT($B$3/12,'Stress Test Inputs'!$E$23*12,$D$3),IF($A306,-PMT(B306/12,('Stress Test Inputs'!$E$23*12)-C306+1,D306),E305))))</f>
        <v>0</v>
      </c>
      <c r="F306" s="112">
        <f t="shared" si="21"/>
        <v>0</v>
      </c>
      <c r="G306" s="112">
        <f>IF(C306&gt;'Stress Test Inputs'!$B$23*12,0,D306*B306/12)</f>
        <v>0</v>
      </c>
      <c r="H306" s="112">
        <f t="shared" si="20"/>
        <v>0</v>
      </c>
      <c r="I306" s="112">
        <f t="shared" si="23"/>
        <v>0</v>
      </c>
      <c r="J306" s="111"/>
    </row>
    <row r="307" spans="1:10" x14ac:dyDescent="0.25">
      <c r="A307" s="107" t="b">
        <f>IF(('Stress Test Inputs'!$C$23)="FRM", FALSE, ISNUMBER(MATCH(C307,'Stress Test Inputs'!$M$18:$M$30,0)))</f>
        <v>0</v>
      </c>
      <c r="B307" s="116">
        <f>IF($A307, (_xlfn.XLOOKUP(C307,'Stress Test Inputs'!$M$17:$M$29,'Stress Test Inputs'!$N$17:$N$29)+'Stress Test Financial Analysis'!$D$5),$B306)</f>
        <v>0.06</v>
      </c>
      <c r="C307" s="114">
        <f t="shared" si="22"/>
        <v>305</v>
      </c>
      <c r="D307" s="112">
        <f t="shared" si="24"/>
        <v>0</v>
      </c>
      <c r="E307" s="112">
        <f>IF(OR(D307&lt;=0,C307&gt;'Stress Test Inputs'!$B$23*12),0,IF(AND(C307='Stress Test Inputs'!$B$23*12,'Stress Test Inputs'!$E$23&gt;'Stress Test Inputs'!$B$23),D307+D307*B307/12,IF('Stress Test Inputs'!$C$23="FRM",-PMT($B$3/12,'Stress Test Inputs'!$E$23*12,$D$3),IF($A307,-PMT(B307/12,('Stress Test Inputs'!$E$23*12)-C307+1,D307),E306))))</f>
        <v>0</v>
      </c>
      <c r="F307" s="112">
        <f t="shared" si="21"/>
        <v>0</v>
      </c>
      <c r="G307" s="112">
        <f>IF(C307&gt;'Stress Test Inputs'!$B$23*12,0,D307*B307/12)</f>
        <v>0</v>
      </c>
      <c r="H307" s="112">
        <f t="shared" si="20"/>
        <v>0</v>
      </c>
      <c r="I307" s="112">
        <f t="shared" si="23"/>
        <v>0</v>
      </c>
      <c r="J307" s="111"/>
    </row>
    <row r="308" spans="1:10" x14ac:dyDescent="0.25">
      <c r="A308" s="107" t="b">
        <f>IF(('Stress Test Inputs'!$C$23)="FRM", FALSE, ISNUMBER(MATCH(C308,'Stress Test Inputs'!$M$18:$M$30,0)))</f>
        <v>0</v>
      </c>
      <c r="B308" s="116">
        <f>IF($A308, (_xlfn.XLOOKUP(C308,'Stress Test Inputs'!$M$17:$M$29,'Stress Test Inputs'!$N$17:$N$29)+'Stress Test Financial Analysis'!$D$5),$B307)</f>
        <v>0.06</v>
      </c>
      <c r="C308" s="114">
        <f t="shared" si="22"/>
        <v>306</v>
      </c>
      <c r="D308" s="112">
        <f t="shared" si="24"/>
        <v>0</v>
      </c>
      <c r="E308" s="112">
        <f>IF(OR(D308&lt;=0,C308&gt;'Stress Test Inputs'!$B$23*12),0,IF(AND(C308='Stress Test Inputs'!$B$23*12,'Stress Test Inputs'!$E$23&gt;'Stress Test Inputs'!$B$23),D308+D308*B308/12,IF('Stress Test Inputs'!$C$23="FRM",-PMT($B$3/12,'Stress Test Inputs'!$E$23*12,$D$3),IF($A308,-PMT(B308/12,('Stress Test Inputs'!$E$23*12)-C308+1,D308),E307))))</f>
        <v>0</v>
      </c>
      <c r="F308" s="112">
        <f t="shared" si="21"/>
        <v>0</v>
      </c>
      <c r="G308" s="112">
        <f>IF(C308&gt;'Stress Test Inputs'!$B$23*12,0,D308*B308/12)</f>
        <v>0</v>
      </c>
      <c r="H308" s="112">
        <f t="shared" si="20"/>
        <v>0</v>
      </c>
      <c r="I308" s="112">
        <f t="shared" si="23"/>
        <v>0</v>
      </c>
      <c r="J308" s="111"/>
    </row>
    <row r="309" spans="1:10" x14ac:dyDescent="0.25">
      <c r="A309" s="107" t="b">
        <f>IF(('Stress Test Inputs'!$C$23)="FRM", FALSE, ISNUMBER(MATCH(C309,'Stress Test Inputs'!$M$18:$M$30,0)))</f>
        <v>0</v>
      </c>
      <c r="B309" s="116">
        <f>IF($A309, (_xlfn.XLOOKUP(C309,'Stress Test Inputs'!$M$17:$M$29,'Stress Test Inputs'!$N$17:$N$29)+'Stress Test Financial Analysis'!$D$5),$B308)</f>
        <v>0.06</v>
      </c>
      <c r="C309" s="114">
        <f t="shared" si="22"/>
        <v>307</v>
      </c>
      <c r="D309" s="112">
        <f t="shared" si="24"/>
        <v>0</v>
      </c>
      <c r="E309" s="112">
        <f>IF(OR(D309&lt;=0,C309&gt;'Stress Test Inputs'!$B$23*12),0,IF(AND(C309='Stress Test Inputs'!$B$23*12,'Stress Test Inputs'!$E$23&gt;'Stress Test Inputs'!$B$23),D309+D309*B309/12,IF('Stress Test Inputs'!$C$23="FRM",-PMT($B$3/12,'Stress Test Inputs'!$E$23*12,$D$3),IF($A309,-PMT(B309/12,('Stress Test Inputs'!$E$23*12)-C309+1,D309),E308))))</f>
        <v>0</v>
      </c>
      <c r="F309" s="112">
        <f t="shared" si="21"/>
        <v>0</v>
      </c>
      <c r="G309" s="112">
        <f>IF(C309&gt;'Stress Test Inputs'!$B$23*12,0,D309*B309/12)</f>
        <v>0</v>
      </c>
      <c r="H309" s="112">
        <f t="shared" si="20"/>
        <v>0</v>
      </c>
      <c r="I309" s="112">
        <f t="shared" si="23"/>
        <v>0</v>
      </c>
      <c r="J309" s="111"/>
    </row>
    <row r="310" spans="1:10" x14ac:dyDescent="0.25">
      <c r="A310" s="107" t="b">
        <f>IF(('Stress Test Inputs'!$C$23)="FRM", FALSE, ISNUMBER(MATCH(C310,'Stress Test Inputs'!$M$18:$M$30,0)))</f>
        <v>0</v>
      </c>
      <c r="B310" s="116">
        <f>IF($A310, (_xlfn.XLOOKUP(C310,'Stress Test Inputs'!$M$17:$M$29,'Stress Test Inputs'!$N$17:$N$29)+'Stress Test Financial Analysis'!$D$5),$B309)</f>
        <v>0.06</v>
      </c>
      <c r="C310" s="114">
        <f t="shared" si="22"/>
        <v>308</v>
      </c>
      <c r="D310" s="112">
        <f t="shared" si="24"/>
        <v>0</v>
      </c>
      <c r="E310" s="112">
        <f>IF(OR(D310&lt;=0,C310&gt;'Stress Test Inputs'!$B$23*12),0,IF(AND(C310='Stress Test Inputs'!$B$23*12,'Stress Test Inputs'!$E$23&gt;'Stress Test Inputs'!$B$23),D310+D310*B310/12,IF('Stress Test Inputs'!$C$23="FRM",-PMT($B$3/12,'Stress Test Inputs'!$E$23*12,$D$3),IF($A310,-PMT(B310/12,('Stress Test Inputs'!$E$23*12)-C310+1,D310),E309))))</f>
        <v>0</v>
      </c>
      <c r="F310" s="112">
        <f t="shared" si="21"/>
        <v>0</v>
      </c>
      <c r="G310" s="112">
        <f>IF(C310&gt;'Stress Test Inputs'!$B$23*12,0,D310*B310/12)</f>
        <v>0</v>
      </c>
      <c r="H310" s="112">
        <f t="shared" si="20"/>
        <v>0</v>
      </c>
      <c r="I310" s="112">
        <f t="shared" si="23"/>
        <v>0</v>
      </c>
      <c r="J310" s="111"/>
    </row>
    <row r="311" spans="1:10" x14ac:dyDescent="0.25">
      <c r="A311" s="107" t="b">
        <f>IF(('Stress Test Inputs'!$C$23)="FRM", FALSE, ISNUMBER(MATCH(C311,'Stress Test Inputs'!$M$18:$M$30,0)))</f>
        <v>0</v>
      </c>
      <c r="B311" s="116">
        <f>IF($A311, (_xlfn.XLOOKUP(C311,'Stress Test Inputs'!$M$17:$M$29,'Stress Test Inputs'!$N$17:$N$29)+'Stress Test Financial Analysis'!$D$5),$B310)</f>
        <v>0.06</v>
      </c>
      <c r="C311" s="114">
        <f t="shared" si="22"/>
        <v>309</v>
      </c>
      <c r="D311" s="112">
        <f t="shared" si="24"/>
        <v>0</v>
      </c>
      <c r="E311" s="112">
        <f>IF(OR(D311&lt;=0,C311&gt;'Stress Test Inputs'!$B$23*12),0,IF(AND(C311='Stress Test Inputs'!$B$23*12,'Stress Test Inputs'!$E$23&gt;'Stress Test Inputs'!$B$23),D311+D311*B311/12,IF('Stress Test Inputs'!$C$23="FRM",-PMT($B$3/12,'Stress Test Inputs'!$E$23*12,$D$3),IF($A311,-PMT(B311/12,('Stress Test Inputs'!$E$23*12)-C311+1,D311),E310))))</f>
        <v>0</v>
      </c>
      <c r="F311" s="112">
        <f t="shared" si="21"/>
        <v>0</v>
      </c>
      <c r="G311" s="112">
        <f>IF(C311&gt;'Stress Test Inputs'!$B$23*12,0,D311*B311/12)</f>
        <v>0</v>
      </c>
      <c r="H311" s="112">
        <f t="shared" si="20"/>
        <v>0</v>
      </c>
      <c r="I311" s="112">
        <f t="shared" si="23"/>
        <v>0</v>
      </c>
      <c r="J311" s="111"/>
    </row>
    <row r="312" spans="1:10" x14ac:dyDescent="0.25">
      <c r="A312" s="107" t="b">
        <f>IF(('Stress Test Inputs'!$C$23)="FRM", FALSE, ISNUMBER(MATCH(C312,'Stress Test Inputs'!$M$18:$M$30,0)))</f>
        <v>0</v>
      </c>
      <c r="B312" s="116">
        <f>IF($A312, (_xlfn.XLOOKUP(C312,'Stress Test Inputs'!$M$17:$M$29,'Stress Test Inputs'!$N$17:$N$29)+'Stress Test Financial Analysis'!$D$5),$B311)</f>
        <v>0.06</v>
      </c>
      <c r="C312" s="114">
        <f t="shared" si="22"/>
        <v>310</v>
      </c>
      <c r="D312" s="112">
        <f t="shared" si="24"/>
        <v>0</v>
      </c>
      <c r="E312" s="112">
        <f>IF(OR(D312&lt;=0,C312&gt;'Stress Test Inputs'!$B$23*12),0,IF(AND(C312='Stress Test Inputs'!$B$23*12,'Stress Test Inputs'!$E$23&gt;'Stress Test Inputs'!$B$23),D312+D312*B312/12,IF('Stress Test Inputs'!$C$23="FRM",-PMT($B$3/12,'Stress Test Inputs'!$E$23*12,$D$3),IF($A312,-PMT(B312/12,('Stress Test Inputs'!$E$23*12)-C312+1,D312),E311))))</f>
        <v>0</v>
      </c>
      <c r="F312" s="112">
        <f t="shared" si="21"/>
        <v>0</v>
      </c>
      <c r="G312" s="112">
        <f>IF(C312&gt;'Stress Test Inputs'!$B$23*12,0,D312*B312/12)</f>
        <v>0</v>
      </c>
      <c r="H312" s="112">
        <f t="shared" si="20"/>
        <v>0</v>
      </c>
      <c r="I312" s="112">
        <f t="shared" si="23"/>
        <v>0</v>
      </c>
      <c r="J312" s="111"/>
    </row>
    <row r="313" spans="1:10" x14ac:dyDescent="0.25">
      <c r="A313" s="107" t="b">
        <f>IF(('Stress Test Inputs'!$C$23)="FRM", FALSE, ISNUMBER(MATCH(C313,'Stress Test Inputs'!$M$18:$M$30,0)))</f>
        <v>0</v>
      </c>
      <c r="B313" s="116">
        <f>IF($A313, (_xlfn.XLOOKUP(C313,'Stress Test Inputs'!$M$17:$M$29,'Stress Test Inputs'!$N$17:$N$29)+'Stress Test Financial Analysis'!$D$5),$B312)</f>
        <v>0.06</v>
      </c>
      <c r="C313" s="114">
        <f t="shared" si="22"/>
        <v>311</v>
      </c>
      <c r="D313" s="112">
        <f t="shared" si="24"/>
        <v>0</v>
      </c>
      <c r="E313" s="112">
        <f>IF(OR(D313&lt;=0,C313&gt;'Stress Test Inputs'!$B$23*12),0,IF(AND(C313='Stress Test Inputs'!$B$23*12,'Stress Test Inputs'!$E$23&gt;'Stress Test Inputs'!$B$23),D313+D313*B313/12,IF('Stress Test Inputs'!$C$23="FRM",-PMT($B$3/12,'Stress Test Inputs'!$E$23*12,$D$3),IF($A313,-PMT(B313/12,('Stress Test Inputs'!$E$23*12)-C313+1,D313),E312))))</f>
        <v>0</v>
      </c>
      <c r="F313" s="112">
        <f t="shared" si="21"/>
        <v>0</v>
      </c>
      <c r="G313" s="112">
        <f>IF(C313&gt;'Stress Test Inputs'!$B$23*12,0,D313*B313/12)</f>
        <v>0</v>
      </c>
      <c r="H313" s="112">
        <f t="shared" si="20"/>
        <v>0</v>
      </c>
      <c r="I313" s="112">
        <f t="shared" si="23"/>
        <v>0</v>
      </c>
      <c r="J313" s="111"/>
    </row>
    <row r="314" spans="1:10" x14ac:dyDescent="0.25">
      <c r="A314" s="107" t="b">
        <f>IF(('Stress Test Inputs'!$C$23)="FRM", FALSE, ISNUMBER(MATCH(C314,'Stress Test Inputs'!$M$18:$M$30,0)))</f>
        <v>0</v>
      </c>
      <c r="B314" s="116">
        <f>IF($A314, (_xlfn.XLOOKUP(C314,'Stress Test Inputs'!$M$17:$M$29,'Stress Test Inputs'!$N$17:$N$29)+'Stress Test Financial Analysis'!$D$5),$B313)</f>
        <v>0.06</v>
      </c>
      <c r="C314" s="114">
        <f t="shared" si="22"/>
        <v>312</v>
      </c>
      <c r="D314" s="112">
        <f t="shared" si="24"/>
        <v>0</v>
      </c>
      <c r="E314" s="112">
        <f>IF(OR(D314&lt;=0,C314&gt;'Stress Test Inputs'!$B$23*12),0,IF(AND(C314='Stress Test Inputs'!$B$23*12,'Stress Test Inputs'!$E$23&gt;'Stress Test Inputs'!$B$23),D314+D314*B314/12,IF('Stress Test Inputs'!$C$23="FRM",-PMT($B$3/12,'Stress Test Inputs'!$E$23*12,$D$3),IF($A314,-PMT(B314/12,('Stress Test Inputs'!$E$23*12)-C314+1,D314),E313))))</f>
        <v>0</v>
      </c>
      <c r="F314" s="112">
        <f t="shared" si="21"/>
        <v>0</v>
      </c>
      <c r="G314" s="112">
        <f>IF(C314&gt;'Stress Test Inputs'!$B$23*12,0,D314*B314/12)</f>
        <v>0</v>
      </c>
      <c r="H314" s="112">
        <f t="shared" si="20"/>
        <v>0</v>
      </c>
      <c r="I314" s="112">
        <f t="shared" si="23"/>
        <v>0</v>
      </c>
      <c r="J314" s="111"/>
    </row>
    <row r="315" spans="1:10" x14ac:dyDescent="0.25">
      <c r="A315" s="107" t="b">
        <f>IF(('Stress Test Inputs'!$C$23)="FRM", FALSE, ISNUMBER(MATCH(C315,'Stress Test Inputs'!$M$18:$M$30,0)))</f>
        <v>0</v>
      </c>
      <c r="B315" s="116">
        <f>IF($A315, (_xlfn.XLOOKUP(C315,'Stress Test Inputs'!$M$17:$M$29,'Stress Test Inputs'!$N$17:$N$29)+'Stress Test Financial Analysis'!$D$5),$B314)</f>
        <v>0.06</v>
      </c>
      <c r="C315" s="114">
        <f t="shared" si="22"/>
        <v>313</v>
      </c>
      <c r="D315" s="112">
        <f t="shared" si="24"/>
        <v>0</v>
      </c>
      <c r="E315" s="112">
        <f>IF(OR(D315&lt;=0,C315&gt;'Stress Test Inputs'!$B$23*12),0,IF(AND(C315='Stress Test Inputs'!$B$23*12,'Stress Test Inputs'!$E$23&gt;'Stress Test Inputs'!$B$23),D315+D315*B315/12,IF('Stress Test Inputs'!$C$23="FRM",-PMT($B$3/12,'Stress Test Inputs'!$E$23*12,$D$3),IF($A315,-PMT(B315/12,('Stress Test Inputs'!$E$23*12)-C315+1,D315),E314))))</f>
        <v>0</v>
      </c>
      <c r="F315" s="112">
        <f t="shared" si="21"/>
        <v>0</v>
      </c>
      <c r="G315" s="112">
        <f>IF(C315&gt;'Stress Test Inputs'!$B$23*12,0,D315*B315/12)</f>
        <v>0</v>
      </c>
      <c r="H315" s="112">
        <f t="shared" si="20"/>
        <v>0</v>
      </c>
      <c r="I315" s="112">
        <f t="shared" si="23"/>
        <v>0</v>
      </c>
      <c r="J315" s="111"/>
    </row>
    <row r="316" spans="1:10" x14ac:dyDescent="0.25">
      <c r="A316" s="107" t="b">
        <f>IF(('Stress Test Inputs'!$C$23)="FRM", FALSE, ISNUMBER(MATCH(C316,'Stress Test Inputs'!$M$18:$M$30,0)))</f>
        <v>0</v>
      </c>
      <c r="B316" s="116">
        <f>IF($A316, (_xlfn.XLOOKUP(C316,'Stress Test Inputs'!$M$17:$M$29,'Stress Test Inputs'!$N$17:$N$29)+'Stress Test Financial Analysis'!$D$5),$B315)</f>
        <v>0.06</v>
      </c>
      <c r="C316" s="114">
        <f t="shared" si="22"/>
        <v>314</v>
      </c>
      <c r="D316" s="112">
        <f t="shared" si="24"/>
        <v>0</v>
      </c>
      <c r="E316" s="112">
        <f>IF(OR(D316&lt;=0,C316&gt;'Stress Test Inputs'!$B$23*12),0,IF(AND(C316='Stress Test Inputs'!$B$23*12,'Stress Test Inputs'!$E$23&gt;'Stress Test Inputs'!$B$23),D316+D316*B316/12,IF('Stress Test Inputs'!$C$23="FRM",-PMT($B$3/12,'Stress Test Inputs'!$E$23*12,$D$3),IF($A316,-PMT(B316/12,('Stress Test Inputs'!$E$23*12)-C316+1,D316),E315))))</f>
        <v>0</v>
      </c>
      <c r="F316" s="112">
        <f t="shared" si="21"/>
        <v>0</v>
      </c>
      <c r="G316" s="112">
        <f>IF(C316&gt;'Stress Test Inputs'!$B$23*12,0,D316*B316/12)</f>
        <v>0</v>
      </c>
      <c r="H316" s="112">
        <f t="shared" si="20"/>
        <v>0</v>
      </c>
      <c r="I316" s="112">
        <f t="shared" si="23"/>
        <v>0</v>
      </c>
      <c r="J316" s="111"/>
    </row>
    <row r="317" spans="1:10" x14ac:dyDescent="0.25">
      <c r="A317" s="107" t="b">
        <f>IF(('Stress Test Inputs'!$C$23)="FRM", FALSE, ISNUMBER(MATCH(C317,'Stress Test Inputs'!$M$18:$M$30,0)))</f>
        <v>0</v>
      </c>
      <c r="B317" s="116">
        <f>IF($A317, (_xlfn.XLOOKUP(C317,'Stress Test Inputs'!$M$17:$M$29,'Stress Test Inputs'!$N$17:$N$29)+'Stress Test Financial Analysis'!$D$5),$B316)</f>
        <v>0.06</v>
      </c>
      <c r="C317" s="114">
        <f t="shared" si="22"/>
        <v>315</v>
      </c>
      <c r="D317" s="112">
        <f t="shared" si="24"/>
        <v>0</v>
      </c>
      <c r="E317" s="112">
        <f>IF(OR(D317&lt;=0,C317&gt;'Stress Test Inputs'!$B$23*12),0,IF(AND(C317='Stress Test Inputs'!$B$23*12,'Stress Test Inputs'!$E$23&gt;'Stress Test Inputs'!$B$23),D317+D317*B317/12,IF('Stress Test Inputs'!$C$23="FRM",-PMT($B$3/12,'Stress Test Inputs'!$E$23*12,$D$3),IF($A317,-PMT(B317/12,('Stress Test Inputs'!$E$23*12)-C317+1,D317),E316))))</f>
        <v>0</v>
      </c>
      <c r="F317" s="112">
        <f t="shared" si="21"/>
        <v>0</v>
      </c>
      <c r="G317" s="112">
        <f>IF(C317&gt;'Stress Test Inputs'!$B$23*12,0,D317*B317/12)</f>
        <v>0</v>
      </c>
      <c r="H317" s="112">
        <f t="shared" si="20"/>
        <v>0</v>
      </c>
      <c r="I317" s="112">
        <f t="shared" si="23"/>
        <v>0</v>
      </c>
      <c r="J317" s="111"/>
    </row>
    <row r="318" spans="1:10" x14ac:dyDescent="0.25">
      <c r="A318" s="107" t="b">
        <f>IF(('Stress Test Inputs'!$C$23)="FRM", FALSE, ISNUMBER(MATCH(C318,'Stress Test Inputs'!$M$18:$M$30,0)))</f>
        <v>0</v>
      </c>
      <c r="B318" s="116">
        <f>IF($A318, (_xlfn.XLOOKUP(C318,'Stress Test Inputs'!$M$17:$M$29,'Stress Test Inputs'!$N$17:$N$29)+'Stress Test Financial Analysis'!$D$5),$B317)</f>
        <v>0.06</v>
      </c>
      <c r="C318" s="114">
        <f t="shared" si="22"/>
        <v>316</v>
      </c>
      <c r="D318" s="112">
        <f t="shared" si="24"/>
        <v>0</v>
      </c>
      <c r="E318" s="112">
        <f>IF(OR(D318&lt;=0,C318&gt;'Stress Test Inputs'!$B$23*12),0,IF(AND(C318='Stress Test Inputs'!$B$23*12,'Stress Test Inputs'!$E$23&gt;'Stress Test Inputs'!$B$23),D318+D318*B318/12,IF('Stress Test Inputs'!$C$23="FRM",-PMT($B$3/12,'Stress Test Inputs'!$E$23*12,$D$3),IF($A318,-PMT(B318/12,('Stress Test Inputs'!$E$23*12)-C318+1,D318),E317))))</f>
        <v>0</v>
      </c>
      <c r="F318" s="112">
        <f t="shared" si="21"/>
        <v>0</v>
      </c>
      <c r="G318" s="112">
        <f>IF(C318&gt;'Stress Test Inputs'!$B$23*12,0,D318*B318/12)</f>
        <v>0</v>
      </c>
      <c r="H318" s="112">
        <f t="shared" si="20"/>
        <v>0</v>
      </c>
      <c r="I318" s="112">
        <f t="shared" si="23"/>
        <v>0</v>
      </c>
      <c r="J318" s="111"/>
    </row>
    <row r="319" spans="1:10" x14ac:dyDescent="0.25">
      <c r="A319" s="107" t="b">
        <f>IF(('Stress Test Inputs'!$C$23)="FRM", FALSE, ISNUMBER(MATCH(C319,'Stress Test Inputs'!$M$18:$M$30,0)))</f>
        <v>0</v>
      </c>
      <c r="B319" s="116">
        <f>IF($A319, (_xlfn.XLOOKUP(C319,'Stress Test Inputs'!$M$17:$M$29,'Stress Test Inputs'!$N$17:$N$29)+'Stress Test Financial Analysis'!$D$5),$B318)</f>
        <v>0.06</v>
      </c>
      <c r="C319" s="114">
        <f t="shared" si="22"/>
        <v>317</v>
      </c>
      <c r="D319" s="112">
        <f t="shared" si="24"/>
        <v>0</v>
      </c>
      <c r="E319" s="112">
        <f>IF(OR(D319&lt;=0,C319&gt;'Stress Test Inputs'!$B$23*12),0,IF(AND(C319='Stress Test Inputs'!$B$23*12,'Stress Test Inputs'!$E$23&gt;'Stress Test Inputs'!$B$23),D319+D319*B319/12,IF('Stress Test Inputs'!$C$23="FRM",-PMT($B$3/12,'Stress Test Inputs'!$E$23*12,$D$3),IF($A319,-PMT(B319/12,('Stress Test Inputs'!$E$23*12)-C319+1,D319),E318))))</f>
        <v>0</v>
      </c>
      <c r="F319" s="112">
        <f t="shared" si="21"/>
        <v>0</v>
      </c>
      <c r="G319" s="112">
        <f>IF(C319&gt;'Stress Test Inputs'!$B$23*12,0,D319*B319/12)</f>
        <v>0</v>
      </c>
      <c r="H319" s="112">
        <f t="shared" si="20"/>
        <v>0</v>
      </c>
      <c r="I319" s="112">
        <f t="shared" si="23"/>
        <v>0</v>
      </c>
      <c r="J319" s="111"/>
    </row>
    <row r="320" spans="1:10" x14ac:dyDescent="0.25">
      <c r="A320" s="107" t="b">
        <f>IF(('Stress Test Inputs'!$C$23)="FRM", FALSE, ISNUMBER(MATCH(C320,'Stress Test Inputs'!$M$18:$M$30,0)))</f>
        <v>0</v>
      </c>
      <c r="B320" s="116">
        <f>IF($A320, (_xlfn.XLOOKUP(C320,'Stress Test Inputs'!$M$17:$M$29,'Stress Test Inputs'!$N$17:$N$29)+'Stress Test Financial Analysis'!$D$5),$B319)</f>
        <v>0.06</v>
      </c>
      <c r="C320" s="114">
        <f t="shared" si="22"/>
        <v>318</v>
      </c>
      <c r="D320" s="112">
        <f t="shared" si="24"/>
        <v>0</v>
      </c>
      <c r="E320" s="112">
        <f>IF(OR(D320&lt;=0,C320&gt;'Stress Test Inputs'!$B$23*12),0,IF(AND(C320='Stress Test Inputs'!$B$23*12,'Stress Test Inputs'!$E$23&gt;'Stress Test Inputs'!$B$23),D320+D320*B320/12,IF('Stress Test Inputs'!$C$23="FRM",-PMT($B$3/12,'Stress Test Inputs'!$E$23*12,$D$3),IF($A320,-PMT(B320/12,('Stress Test Inputs'!$E$23*12)-C320+1,D320),E319))))</f>
        <v>0</v>
      </c>
      <c r="F320" s="112">
        <f t="shared" si="21"/>
        <v>0</v>
      </c>
      <c r="G320" s="112">
        <f>IF(C320&gt;'Stress Test Inputs'!$B$23*12,0,D320*B320/12)</f>
        <v>0</v>
      </c>
      <c r="H320" s="112">
        <f t="shared" si="20"/>
        <v>0</v>
      </c>
      <c r="I320" s="112">
        <f t="shared" si="23"/>
        <v>0</v>
      </c>
      <c r="J320" s="111"/>
    </row>
    <row r="321" spans="1:10" x14ac:dyDescent="0.25">
      <c r="A321" s="107" t="b">
        <f>IF(('Stress Test Inputs'!$C$23)="FRM", FALSE, ISNUMBER(MATCH(C321,'Stress Test Inputs'!$M$18:$M$30,0)))</f>
        <v>0</v>
      </c>
      <c r="B321" s="116">
        <f>IF($A321, (_xlfn.XLOOKUP(C321,'Stress Test Inputs'!$M$17:$M$29,'Stress Test Inputs'!$N$17:$N$29)+'Stress Test Financial Analysis'!$D$5),$B320)</f>
        <v>0.06</v>
      </c>
      <c r="C321" s="114">
        <f t="shared" si="22"/>
        <v>319</v>
      </c>
      <c r="D321" s="112">
        <f t="shared" si="24"/>
        <v>0</v>
      </c>
      <c r="E321" s="112">
        <f>IF(OR(D321&lt;=0,C321&gt;'Stress Test Inputs'!$B$23*12),0,IF(AND(C321='Stress Test Inputs'!$B$23*12,'Stress Test Inputs'!$E$23&gt;'Stress Test Inputs'!$B$23),D321+D321*B321/12,IF('Stress Test Inputs'!$C$23="FRM",-PMT($B$3/12,'Stress Test Inputs'!$E$23*12,$D$3),IF($A321,-PMT(B321/12,('Stress Test Inputs'!$E$23*12)-C321+1,D321),E320))))</f>
        <v>0</v>
      </c>
      <c r="F321" s="112">
        <f t="shared" si="21"/>
        <v>0</v>
      </c>
      <c r="G321" s="112">
        <f>IF(C321&gt;'Stress Test Inputs'!$B$23*12,0,D321*B321/12)</f>
        <v>0</v>
      </c>
      <c r="H321" s="112">
        <f t="shared" si="20"/>
        <v>0</v>
      </c>
      <c r="I321" s="112">
        <f t="shared" si="23"/>
        <v>0</v>
      </c>
      <c r="J321" s="111"/>
    </row>
    <row r="322" spans="1:10" x14ac:dyDescent="0.25">
      <c r="A322" s="107" t="b">
        <f>IF(('Stress Test Inputs'!$C$23)="FRM", FALSE, ISNUMBER(MATCH(C322,'Stress Test Inputs'!$M$18:$M$30,0)))</f>
        <v>0</v>
      </c>
      <c r="B322" s="116">
        <f>IF($A322, (_xlfn.XLOOKUP(C322,'Stress Test Inputs'!$M$17:$M$29,'Stress Test Inputs'!$N$17:$N$29)+'Stress Test Financial Analysis'!$D$5),$B321)</f>
        <v>0.06</v>
      </c>
      <c r="C322" s="114">
        <f t="shared" si="22"/>
        <v>320</v>
      </c>
      <c r="D322" s="112">
        <f t="shared" si="24"/>
        <v>0</v>
      </c>
      <c r="E322" s="112">
        <f>IF(OR(D322&lt;=0,C322&gt;'Stress Test Inputs'!$B$23*12),0,IF(AND(C322='Stress Test Inputs'!$B$23*12,'Stress Test Inputs'!$E$23&gt;'Stress Test Inputs'!$B$23),D322+D322*B322/12,IF('Stress Test Inputs'!$C$23="FRM",-PMT($B$3/12,'Stress Test Inputs'!$E$23*12,$D$3),IF($A322,-PMT(B322/12,('Stress Test Inputs'!$E$23*12)-C322+1,D322),E321))))</f>
        <v>0</v>
      </c>
      <c r="F322" s="112">
        <f t="shared" si="21"/>
        <v>0</v>
      </c>
      <c r="G322" s="112">
        <f>IF(C322&gt;'Stress Test Inputs'!$B$23*12,0,D322*B322/12)</f>
        <v>0</v>
      </c>
      <c r="H322" s="112">
        <f t="shared" si="20"/>
        <v>0</v>
      </c>
      <c r="I322" s="112">
        <f t="shared" si="23"/>
        <v>0</v>
      </c>
      <c r="J322" s="111"/>
    </row>
    <row r="323" spans="1:10" x14ac:dyDescent="0.25">
      <c r="A323" s="107" t="b">
        <f>IF(('Stress Test Inputs'!$C$23)="FRM", FALSE, ISNUMBER(MATCH(C323,'Stress Test Inputs'!$M$18:$M$30,0)))</f>
        <v>0</v>
      </c>
      <c r="B323" s="116">
        <f>IF($A323, (_xlfn.XLOOKUP(C323,'Stress Test Inputs'!$M$17:$M$29,'Stress Test Inputs'!$N$17:$N$29)+'Stress Test Financial Analysis'!$D$5),$B322)</f>
        <v>0.06</v>
      </c>
      <c r="C323" s="114">
        <f t="shared" si="22"/>
        <v>321</v>
      </c>
      <c r="D323" s="112">
        <f t="shared" si="24"/>
        <v>0</v>
      </c>
      <c r="E323" s="112">
        <f>IF(OR(D323&lt;=0,C323&gt;'Stress Test Inputs'!$B$23*12),0,IF(AND(C323='Stress Test Inputs'!$B$23*12,'Stress Test Inputs'!$E$23&gt;'Stress Test Inputs'!$B$23),D323+D323*B323/12,IF('Stress Test Inputs'!$C$23="FRM",-PMT($B$3/12,'Stress Test Inputs'!$E$23*12,$D$3),IF($A323,-PMT(B323/12,('Stress Test Inputs'!$E$23*12)-C323+1,D323),E322))))</f>
        <v>0</v>
      </c>
      <c r="F323" s="112">
        <f t="shared" si="21"/>
        <v>0</v>
      </c>
      <c r="G323" s="112">
        <f>IF(C323&gt;'Stress Test Inputs'!$B$23*12,0,D323*B323/12)</f>
        <v>0</v>
      </c>
      <c r="H323" s="112">
        <f t="shared" ref="H323:H362" si="25">MIN(E323-G323,D323)</f>
        <v>0</v>
      </c>
      <c r="I323" s="112">
        <f t="shared" si="23"/>
        <v>0</v>
      </c>
      <c r="J323" s="111"/>
    </row>
    <row r="324" spans="1:10" x14ac:dyDescent="0.25">
      <c r="A324" s="107" t="b">
        <f>IF(('Stress Test Inputs'!$C$23)="FRM", FALSE, ISNUMBER(MATCH(C324,'Stress Test Inputs'!$M$18:$M$30,0)))</f>
        <v>0</v>
      </c>
      <c r="B324" s="116">
        <f>IF($A324, (_xlfn.XLOOKUP(C324,'Stress Test Inputs'!$M$17:$M$29,'Stress Test Inputs'!$N$17:$N$29)+'Stress Test Financial Analysis'!$D$5),$B323)</f>
        <v>0.06</v>
      </c>
      <c r="C324" s="114">
        <f t="shared" si="22"/>
        <v>322</v>
      </c>
      <c r="D324" s="112">
        <f t="shared" si="24"/>
        <v>0</v>
      </c>
      <c r="E324" s="112">
        <f>IF(OR(D324&lt;=0,C324&gt;'Stress Test Inputs'!$B$23*12),0,IF(AND(C324='Stress Test Inputs'!$B$23*12,'Stress Test Inputs'!$E$23&gt;'Stress Test Inputs'!$B$23),D324+D324*B324/12,IF('Stress Test Inputs'!$C$23="FRM",-PMT($B$3/12,'Stress Test Inputs'!$E$23*12,$D$3),IF($A324,-PMT(B324/12,('Stress Test Inputs'!$E$23*12)-C324+1,D324),E323))))</f>
        <v>0</v>
      </c>
      <c r="F324" s="112">
        <f t="shared" ref="F324:F362" si="26">IF(D324-E324&lt;0,0,D324-E324)</f>
        <v>0</v>
      </c>
      <c r="G324" s="112">
        <f>IF(C324&gt;'Stress Test Inputs'!$B$23*12,0,D324*B324/12)</f>
        <v>0</v>
      </c>
      <c r="H324" s="112">
        <f t="shared" si="25"/>
        <v>0</v>
      </c>
      <c r="I324" s="112">
        <f t="shared" si="23"/>
        <v>0</v>
      </c>
      <c r="J324" s="111"/>
    </row>
    <row r="325" spans="1:10" x14ac:dyDescent="0.25">
      <c r="A325" s="107" t="b">
        <f>IF(('Stress Test Inputs'!$C$23)="FRM", FALSE, ISNUMBER(MATCH(C325,'Stress Test Inputs'!$M$18:$M$30,0)))</f>
        <v>0</v>
      </c>
      <c r="B325" s="116">
        <f>IF($A325, (_xlfn.XLOOKUP(C325,'Stress Test Inputs'!$M$17:$M$29,'Stress Test Inputs'!$N$17:$N$29)+'Stress Test Financial Analysis'!$D$5),$B324)</f>
        <v>0.06</v>
      </c>
      <c r="C325" s="114">
        <f t="shared" ref="C325:C362" si="27">C324+1</f>
        <v>323</v>
      </c>
      <c r="D325" s="112">
        <f t="shared" si="24"/>
        <v>0</v>
      </c>
      <c r="E325" s="112">
        <f>IF(OR(D325&lt;=0,C325&gt;'Stress Test Inputs'!$B$23*12),0,IF(AND(C325='Stress Test Inputs'!$B$23*12,'Stress Test Inputs'!$E$23&gt;'Stress Test Inputs'!$B$23),D325+D325*B325/12,IF('Stress Test Inputs'!$C$23="FRM",-PMT($B$3/12,'Stress Test Inputs'!$E$23*12,$D$3),IF($A325,-PMT(B325/12,('Stress Test Inputs'!$E$23*12)-C325+1,D325),E324))))</f>
        <v>0</v>
      </c>
      <c r="F325" s="112">
        <f t="shared" si="26"/>
        <v>0</v>
      </c>
      <c r="G325" s="112">
        <f>IF(C325&gt;'Stress Test Inputs'!$B$23*12,0,D325*B325/12)</f>
        <v>0</v>
      </c>
      <c r="H325" s="112">
        <f t="shared" si="25"/>
        <v>0</v>
      </c>
      <c r="I325" s="112">
        <f t="shared" ref="I325:I362" si="28">IF(ROUND(D325-H325,2)=0,0,D325-H325)</f>
        <v>0</v>
      </c>
      <c r="J325" s="111"/>
    </row>
    <row r="326" spans="1:10" x14ac:dyDescent="0.25">
      <c r="A326" s="107" t="b">
        <f>IF(('Stress Test Inputs'!$C$23)="FRM", FALSE, ISNUMBER(MATCH(C326,'Stress Test Inputs'!$M$18:$M$30,0)))</f>
        <v>0</v>
      </c>
      <c r="B326" s="116">
        <f>IF($A326, (_xlfn.XLOOKUP(C326,'Stress Test Inputs'!$M$17:$M$29,'Stress Test Inputs'!$N$17:$N$29)+'Stress Test Financial Analysis'!$D$5),$B325)</f>
        <v>0.06</v>
      </c>
      <c r="C326" s="114">
        <f t="shared" si="27"/>
        <v>324</v>
      </c>
      <c r="D326" s="112">
        <f t="shared" si="24"/>
        <v>0</v>
      </c>
      <c r="E326" s="112">
        <f>IF(OR(D326&lt;=0,C326&gt;'Stress Test Inputs'!$B$23*12),0,IF(AND(C326='Stress Test Inputs'!$B$23*12,'Stress Test Inputs'!$E$23&gt;'Stress Test Inputs'!$B$23),D326+D326*B326/12,IF('Stress Test Inputs'!$C$23="FRM",-PMT($B$3/12,'Stress Test Inputs'!$E$23*12,$D$3),IF($A326,-PMT(B326/12,('Stress Test Inputs'!$E$23*12)-C326+1,D326),E325))))</f>
        <v>0</v>
      </c>
      <c r="F326" s="112">
        <f t="shared" si="26"/>
        <v>0</v>
      </c>
      <c r="G326" s="112">
        <f>IF(C326&gt;'Stress Test Inputs'!$B$23*12,0,D326*B326/12)</f>
        <v>0</v>
      </c>
      <c r="H326" s="112">
        <f t="shared" si="25"/>
        <v>0</v>
      </c>
      <c r="I326" s="112">
        <f t="shared" si="28"/>
        <v>0</v>
      </c>
      <c r="J326" s="111"/>
    </row>
    <row r="327" spans="1:10" x14ac:dyDescent="0.25">
      <c r="A327" s="107" t="b">
        <f>IF(('Stress Test Inputs'!$C$23)="FRM", FALSE, ISNUMBER(MATCH(C327,'Stress Test Inputs'!$M$18:$M$30,0)))</f>
        <v>0</v>
      </c>
      <c r="B327" s="116">
        <f>IF($A327, (_xlfn.XLOOKUP(C327,'Stress Test Inputs'!$M$17:$M$29,'Stress Test Inputs'!$N$17:$N$29)+'Stress Test Financial Analysis'!$D$5),$B326)</f>
        <v>0.06</v>
      </c>
      <c r="C327" s="114">
        <f t="shared" si="27"/>
        <v>325</v>
      </c>
      <c r="D327" s="112">
        <f t="shared" ref="D327:D362" si="29">IF(I326&gt;0,I326-J326,0)</f>
        <v>0</v>
      </c>
      <c r="E327" s="112">
        <f>IF(OR(D327&lt;=0,C327&gt;'Stress Test Inputs'!$B$23*12),0,IF(AND(C327='Stress Test Inputs'!$B$23*12,'Stress Test Inputs'!$E$23&gt;'Stress Test Inputs'!$B$23),D327+D327*B327/12,IF('Stress Test Inputs'!$C$23="FRM",-PMT($B$3/12,'Stress Test Inputs'!$E$23*12,$D$3),IF($A327,-PMT(B327/12,('Stress Test Inputs'!$E$23*12)-C327+1,D327),E326))))</f>
        <v>0</v>
      </c>
      <c r="F327" s="112">
        <f t="shared" si="26"/>
        <v>0</v>
      </c>
      <c r="G327" s="112">
        <f>IF(C327&gt;'Stress Test Inputs'!$B$23*12,0,D327*B327/12)</f>
        <v>0</v>
      </c>
      <c r="H327" s="112">
        <f t="shared" si="25"/>
        <v>0</v>
      </c>
      <c r="I327" s="112">
        <f t="shared" si="28"/>
        <v>0</v>
      </c>
      <c r="J327" s="111"/>
    </row>
    <row r="328" spans="1:10" x14ac:dyDescent="0.25">
      <c r="A328" s="107" t="b">
        <f>IF(('Stress Test Inputs'!$C$23)="FRM", FALSE, ISNUMBER(MATCH(C328,'Stress Test Inputs'!$M$18:$M$30,0)))</f>
        <v>0</v>
      </c>
      <c r="B328" s="116">
        <f>IF($A328, (_xlfn.XLOOKUP(C328,'Stress Test Inputs'!$M$17:$M$29,'Stress Test Inputs'!$N$17:$N$29)+'Stress Test Financial Analysis'!$D$5),$B327)</f>
        <v>0.06</v>
      </c>
      <c r="C328" s="114">
        <f t="shared" si="27"/>
        <v>326</v>
      </c>
      <c r="D328" s="112">
        <f t="shared" si="29"/>
        <v>0</v>
      </c>
      <c r="E328" s="112">
        <f>IF(OR(D328&lt;=0,C328&gt;'Stress Test Inputs'!$B$23*12),0,IF(AND(C328='Stress Test Inputs'!$B$23*12,'Stress Test Inputs'!$E$23&gt;'Stress Test Inputs'!$B$23),D328+D328*B328/12,IF('Stress Test Inputs'!$C$23="FRM",-PMT($B$3/12,'Stress Test Inputs'!$E$23*12,$D$3),IF($A328,-PMT(B328/12,('Stress Test Inputs'!$E$23*12)-C328+1,D328),E327))))</f>
        <v>0</v>
      </c>
      <c r="F328" s="112">
        <f t="shared" si="26"/>
        <v>0</v>
      </c>
      <c r="G328" s="112">
        <f>IF(C328&gt;'Stress Test Inputs'!$B$23*12,0,D328*B328/12)</f>
        <v>0</v>
      </c>
      <c r="H328" s="112">
        <f t="shared" si="25"/>
        <v>0</v>
      </c>
      <c r="I328" s="112">
        <f t="shared" si="28"/>
        <v>0</v>
      </c>
      <c r="J328" s="111"/>
    </row>
    <row r="329" spans="1:10" x14ac:dyDescent="0.25">
      <c r="A329" s="107" t="b">
        <f>IF(('Stress Test Inputs'!$C$23)="FRM", FALSE, ISNUMBER(MATCH(C329,'Stress Test Inputs'!$M$18:$M$30,0)))</f>
        <v>0</v>
      </c>
      <c r="B329" s="116">
        <f>IF($A329, (_xlfn.XLOOKUP(C329,'Stress Test Inputs'!$M$17:$M$29,'Stress Test Inputs'!$N$17:$N$29)+'Stress Test Financial Analysis'!$D$5),$B328)</f>
        <v>0.06</v>
      </c>
      <c r="C329" s="114">
        <f t="shared" si="27"/>
        <v>327</v>
      </c>
      <c r="D329" s="112">
        <f t="shared" si="29"/>
        <v>0</v>
      </c>
      <c r="E329" s="112">
        <f>IF(OR(D329&lt;=0,C329&gt;'Stress Test Inputs'!$B$23*12),0,IF(AND(C329='Stress Test Inputs'!$B$23*12,'Stress Test Inputs'!$E$23&gt;'Stress Test Inputs'!$B$23),D329+D329*B329/12,IF('Stress Test Inputs'!$C$23="FRM",-PMT($B$3/12,'Stress Test Inputs'!$E$23*12,$D$3),IF($A329,-PMT(B329/12,('Stress Test Inputs'!$E$23*12)-C329+1,D329),E328))))</f>
        <v>0</v>
      </c>
      <c r="F329" s="112">
        <f t="shared" si="26"/>
        <v>0</v>
      </c>
      <c r="G329" s="112">
        <f>IF(C329&gt;'Stress Test Inputs'!$B$23*12,0,D329*B329/12)</f>
        <v>0</v>
      </c>
      <c r="H329" s="112">
        <f t="shared" si="25"/>
        <v>0</v>
      </c>
      <c r="I329" s="112">
        <f t="shared" si="28"/>
        <v>0</v>
      </c>
      <c r="J329" s="111"/>
    </row>
    <row r="330" spans="1:10" x14ac:dyDescent="0.25">
      <c r="A330" s="107" t="b">
        <f>IF(('Stress Test Inputs'!$C$23)="FRM", FALSE, ISNUMBER(MATCH(C330,'Stress Test Inputs'!$M$18:$M$30,0)))</f>
        <v>0</v>
      </c>
      <c r="B330" s="116">
        <f>IF($A330, (_xlfn.XLOOKUP(C330,'Stress Test Inputs'!$M$17:$M$29,'Stress Test Inputs'!$N$17:$N$29)+'Stress Test Financial Analysis'!$D$5),$B329)</f>
        <v>0.06</v>
      </c>
      <c r="C330" s="114">
        <f t="shared" si="27"/>
        <v>328</v>
      </c>
      <c r="D330" s="112">
        <f t="shared" si="29"/>
        <v>0</v>
      </c>
      <c r="E330" s="112">
        <f>IF(OR(D330&lt;=0,C330&gt;'Stress Test Inputs'!$B$23*12),0,IF(AND(C330='Stress Test Inputs'!$B$23*12,'Stress Test Inputs'!$E$23&gt;'Stress Test Inputs'!$B$23),D330+D330*B330/12,IF('Stress Test Inputs'!$C$23="FRM",-PMT($B$3/12,'Stress Test Inputs'!$E$23*12,$D$3),IF($A330,-PMT(B330/12,('Stress Test Inputs'!$E$23*12)-C330+1,D330),E329))))</f>
        <v>0</v>
      </c>
      <c r="F330" s="112">
        <f t="shared" si="26"/>
        <v>0</v>
      </c>
      <c r="G330" s="112">
        <f>IF(C330&gt;'Stress Test Inputs'!$B$23*12,0,D330*B330/12)</f>
        <v>0</v>
      </c>
      <c r="H330" s="112">
        <f t="shared" si="25"/>
        <v>0</v>
      </c>
      <c r="I330" s="112">
        <f t="shared" si="28"/>
        <v>0</v>
      </c>
      <c r="J330" s="111"/>
    </row>
    <row r="331" spans="1:10" x14ac:dyDescent="0.25">
      <c r="A331" s="107" t="b">
        <f>IF(('Stress Test Inputs'!$C$23)="FRM", FALSE, ISNUMBER(MATCH(C331,'Stress Test Inputs'!$M$18:$M$30,0)))</f>
        <v>0</v>
      </c>
      <c r="B331" s="116">
        <f>IF($A331, (_xlfn.XLOOKUP(C331,'Stress Test Inputs'!$M$17:$M$29,'Stress Test Inputs'!$N$17:$N$29)+'Stress Test Financial Analysis'!$D$5),$B330)</f>
        <v>0.06</v>
      </c>
      <c r="C331" s="114">
        <f t="shared" si="27"/>
        <v>329</v>
      </c>
      <c r="D331" s="112">
        <f t="shared" si="29"/>
        <v>0</v>
      </c>
      <c r="E331" s="112">
        <f>IF(OR(D331&lt;=0,C331&gt;'Stress Test Inputs'!$B$23*12),0,IF(AND(C331='Stress Test Inputs'!$B$23*12,'Stress Test Inputs'!$E$23&gt;'Stress Test Inputs'!$B$23),D331+D331*B331/12,IF('Stress Test Inputs'!$C$23="FRM",-PMT($B$3/12,'Stress Test Inputs'!$E$23*12,$D$3),IF($A331,-PMT(B331/12,('Stress Test Inputs'!$E$23*12)-C331+1,D331),E330))))</f>
        <v>0</v>
      </c>
      <c r="F331" s="112">
        <f t="shared" si="26"/>
        <v>0</v>
      </c>
      <c r="G331" s="112">
        <f>IF(C331&gt;'Stress Test Inputs'!$B$23*12,0,D331*B331/12)</f>
        <v>0</v>
      </c>
      <c r="H331" s="112">
        <f t="shared" si="25"/>
        <v>0</v>
      </c>
      <c r="I331" s="112">
        <f t="shared" si="28"/>
        <v>0</v>
      </c>
      <c r="J331" s="111"/>
    </row>
    <row r="332" spans="1:10" x14ac:dyDescent="0.25">
      <c r="A332" s="107" t="b">
        <f>IF(('Stress Test Inputs'!$C$23)="FRM", FALSE, ISNUMBER(MATCH(C332,'Stress Test Inputs'!$M$18:$M$30,0)))</f>
        <v>0</v>
      </c>
      <c r="B332" s="116">
        <f>IF($A332, (_xlfn.XLOOKUP(C332,'Stress Test Inputs'!$M$17:$M$29,'Stress Test Inputs'!$N$17:$N$29)+'Stress Test Financial Analysis'!$D$5),$B331)</f>
        <v>0.06</v>
      </c>
      <c r="C332" s="114">
        <f t="shared" si="27"/>
        <v>330</v>
      </c>
      <c r="D332" s="112">
        <f t="shared" si="29"/>
        <v>0</v>
      </c>
      <c r="E332" s="112">
        <f>IF(OR(D332&lt;=0,C332&gt;'Stress Test Inputs'!$B$23*12),0,IF(AND(C332='Stress Test Inputs'!$B$23*12,'Stress Test Inputs'!$E$23&gt;'Stress Test Inputs'!$B$23),D332+D332*B332/12,IF('Stress Test Inputs'!$C$23="FRM",-PMT($B$3/12,'Stress Test Inputs'!$E$23*12,$D$3),IF($A332,-PMT(B332/12,('Stress Test Inputs'!$E$23*12)-C332+1,D332),E331))))</f>
        <v>0</v>
      </c>
      <c r="F332" s="112">
        <f t="shared" si="26"/>
        <v>0</v>
      </c>
      <c r="G332" s="112">
        <f>IF(C332&gt;'Stress Test Inputs'!$B$23*12,0,D332*B332/12)</f>
        <v>0</v>
      </c>
      <c r="H332" s="112">
        <f t="shared" si="25"/>
        <v>0</v>
      </c>
      <c r="I332" s="112">
        <f t="shared" si="28"/>
        <v>0</v>
      </c>
      <c r="J332" s="111"/>
    </row>
    <row r="333" spans="1:10" x14ac:dyDescent="0.25">
      <c r="A333" s="107" t="b">
        <f>IF(('Stress Test Inputs'!$C$23)="FRM", FALSE, ISNUMBER(MATCH(C333,'Stress Test Inputs'!$M$18:$M$30,0)))</f>
        <v>0</v>
      </c>
      <c r="B333" s="116">
        <f>IF($A333, (_xlfn.XLOOKUP(C333,'Stress Test Inputs'!$M$17:$M$29,'Stress Test Inputs'!$N$17:$N$29)+'Stress Test Financial Analysis'!$D$5),$B332)</f>
        <v>0.06</v>
      </c>
      <c r="C333" s="114">
        <f t="shared" si="27"/>
        <v>331</v>
      </c>
      <c r="D333" s="112">
        <f t="shared" si="29"/>
        <v>0</v>
      </c>
      <c r="E333" s="112">
        <f>IF(OR(D333&lt;=0,C333&gt;'Stress Test Inputs'!$B$23*12),0,IF(AND(C333='Stress Test Inputs'!$B$23*12,'Stress Test Inputs'!$E$23&gt;'Stress Test Inputs'!$B$23),D333+D333*B333/12,IF('Stress Test Inputs'!$C$23="FRM",-PMT($B$3/12,'Stress Test Inputs'!$E$23*12,$D$3),IF($A333,-PMT(B333/12,('Stress Test Inputs'!$E$23*12)-C333+1,D333),E332))))</f>
        <v>0</v>
      </c>
      <c r="F333" s="112">
        <f t="shared" si="26"/>
        <v>0</v>
      </c>
      <c r="G333" s="112">
        <f>IF(C333&gt;'Stress Test Inputs'!$B$23*12,0,D333*B333/12)</f>
        <v>0</v>
      </c>
      <c r="H333" s="112">
        <f t="shared" si="25"/>
        <v>0</v>
      </c>
      <c r="I333" s="112">
        <f t="shared" si="28"/>
        <v>0</v>
      </c>
      <c r="J333" s="111"/>
    </row>
    <row r="334" spans="1:10" x14ac:dyDescent="0.25">
      <c r="A334" s="107" t="b">
        <f>IF(('Stress Test Inputs'!$C$23)="FRM", FALSE, ISNUMBER(MATCH(C334,'Stress Test Inputs'!$M$18:$M$30,0)))</f>
        <v>0</v>
      </c>
      <c r="B334" s="116">
        <f>IF($A334, (_xlfn.XLOOKUP(C334,'Stress Test Inputs'!$M$17:$M$29,'Stress Test Inputs'!$N$17:$N$29)+'Stress Test Financial Analysis'!$D$5),$B333)</f>
        <v>0.06</v>
      </c>
      <c r="C334" s="114">
        <f t="shared" si="27"/>
        <v>332</v>
      </c>
      <c r="D334" s="112">
        <f t="shared" si="29"/>
        <v>0</v>
      </c>
      <c r="E334" s="112">
        <f>IF(OR(D334&lt;=0,C334&gt;'Stress Test Inputs'!$B$23*12),0,IF(AND(C334='Stress Test Inputs'!$B$23*12,'Stress Test Inputs'!$E$23&gt;'Stress Test Inputs'!$B$23),D334+D334*B334/12,IF('Stress Test Inputs'!$C$23="FRM",-PMT($B$3/12,'Stress Test Inputs'!$E$23*12,$D$3),IF($A334,-PMT(B334/12,('Stress Test Inputs'!$E$23*12)-C334+1,D334),E333))))</f>
        <v>0</v>
      </c>
      <c r="F334" s="112">
        <f t="shared" si="26"/>
        <v>0</v>
      </c>
      <c r="G334" s="112">
        <f>IF(C334&gt;'Stress Test Inputs'!$B$23*12,0,D334*B334/12)</f>
        <v>0</v>
      </c>
      <c r="H334" s="112">
        <f t="shared" si="25"/>
        <v>0</v>
      </c>
      <c r="I334" s="112">
        <f t="shared" si="28"/>
        <v>0</v>
      </c>
      <c r="J334" s="111"/>
    </row>
    <row r="335" spans="1:10" x14ac:dyDescent="0.25">
      <c r="A335" s="107" t="b">
        <f>IF(('Stress Test Inputs'!$C$23)="FRM", FALSE, ISNUMBER(MATCH(C335,'Stress Test Inputs'!$M$18:$M$30,0)))</f>
        <v>0</v>
      </c>
      <c r="B335" s="116">
        <f>IF($A335, (_xlfn.XLOOKUP(C335,'Stress Test Inputs'!$M$17:$M$29,'Stress Test Inputs'!$N$17:$N$29)+'Stress Test Financial Analysis'!$D$5),$B334)</f>
        <v>0.06</v>
      </c>
      <c r="C335" s="114">
        <f t="shared" si="27"/>
        <v>333</v>
      </c>
      <c r="D335" s="112">
        <f t="shared" si="29"/>
        <v>0</v>
      </c>
      <c r="E335" s="112">
        <f>IF(OR(D335&lt;=0,C335&gt;'Stress Test Inputs'!$B$23*12),0,IF(AND(C335='Stress Test Inputs'!$B$23*12,'Stress Test Inputs'!$E$23&gt;'Stress Test Inputs'!$B$23),D335+D335*B335/12,IF('Stress Test Inputs'!$C$23="FRM",-PMT($B$3/12,'Stress Test Inputs'!$E$23*12,$D$3),IF($A335,-PMT(B335/12,('Stress Test Inputs'!$E$23*12)-C335+1,D335),E334))))</f>
        <v>0</v>
      </c>
      <c r="F335" s="112">
        <f t="shared" si="26"/>
        <v>0</v>
      </c>
      <c r="G335" s="112">
        <f>IF(C335&gt;'Stress Test Inputs'!$B$23*12,0,D335*B335/12)</f>
        <v>0</v>
      </c>
      <c r="H335" s="112">
        <f t="shared" si="25"/>
        <v>0</v>
      </c>
      <c r="I335" s="112">
        <f t="shared" si="28"/>
        <v>0</v>
      </c>
      <c r="J335" s="111"/>
    </row>
    <row r="336" spans="1:10" x14ac:dyDescent="0.25">
      <c r="A336" s="107" t="b">
        <f>IF(('Stress Test Inputs'!$C$23)="FRM", FALSE, ISNUMBER(MATCH(C336,'Stress Test Inputs'!$M$18:$M$30,0)))</f>
        <v>0</v>
      </c>
      <c r="B336" s="116">
        <f>IF($A336, (_xlfn.XLOOKUP(C336,'Stress Test Inputs'!$M$17:$M$29,'Stress Test Inputs'!$N$17:$N$29)+'Stress Test Financial Analysis'!$D$5),$B335)</f>
        <v>0.06</v>
      </c>
      <c r="C336" s="114">
        <f t="shared" si="27"/>
        <v>334</v>
      </c>
      <c r="D336" s="112">
        <f t="shared" si="29"/>
        <v>0</v>
      </c>
      <c r="E336" s="112">
        <f>IF(OR(D336&lt;=0,C336&gt;'Stress Test Inputs'!$B$23*12),0,IF(AND(C336='Stress Test Inputs'!$B$23*12,'Stress Test Inputs'!$E$23&gt;'Stress Test Inputs'!$B$23),D336+D336*B336/12,IF('Stress Test Inputs'!$C$23="FRM",-PMT($B$3/12,'Stress Test Inputs'!$E$23*12,$D$3),IF($A336,-PMT(B336/12,('Stress Test Inputs'!$E$23*12)-C336+1,D336),E335))))</f>
        <v>0</v>
      </c>
      <c r="F336" s="112">
        <f t="shared" si="26"/>
        <v>0</v>
      </c>
      <c r="G336" s="112">
        <f>IF(C336&gt;'Stress Test Inputs'!$B$23*12,0,D336*B336/12)</f>
        <v>0</v>
      </c>
      <c r="H336" s="112">
        <f t="shared" si="25"/>
        <v>0</v>
      </c>
      <c r="I336" s="112">
        <f t="shared" si="28"/>
        <v>0</v>
      </c>
      <c r="J336" s="111"/>
    </row>
    <row r="337" spans="1:10" x14ac:dyDescent="0.25">
      <c r="A337" s="107" t="b">
        <f>IF(('Stress Test Inputs'!$C$23)="FRM", FALSE, ISNUMBER(MATCH(C337,'Stress Test Inputs'!$M$18:$M$30,0)))</f>
        <v>0</v>
      </c>
      <c r="B337" s="116">
        <f>IF($A337, (_xlfn.XLOOKUP(C337,'Stress Test Inputs'!$M$17:$M$29,'Stress Test Inputs'!$N$17:$N$29)+'Stress Test Financial Analysis'!$D$5),$B336)</f>
        <v>0.06</v>
      </c>
      <c r="C337" s="114">
        <f t="shared" si="27"/>
        <v>335</v>
      </c>
      <c r="D337" s="112">
        <f t="shared" si="29"/>
        <v>0</v>
      </c>
      <c r="E337" s="112">
        <f>IF(OR(D337&lt;=0,C337&gt;'Stress Test Inputs'!$B$23*12),0,IF(AND(C337='Stress Test Inputs'!$B$23*12,'Stress Test Inputs'!$E$23&gt;'Stress Test Inputs'!$B$23),D337+D337*B337/12,IF('Stress Test Inputs'!$C$23="FRM",-PMT($B$3/12,'Stress Test Inputs'!$E$23*12,$D$3),IF($A337,-PMT(B337/12,('Stress Test Inputs'!$E$23*12)-C337+1,D337),E336))))</f>
        <v>0</v>
      </c>
      <c r="F337" s="112">
        <f t="shared" si="26"/>
        <v>0</v>
      </c>
      <c r="G337" s="112">
        <f>IF(C337&gt;'Stress Test Inputs'!$B$23*12,0,D337*B337/12)</f>
        <v>0</v>
      </c>
      <c r="H337" s="112">
        <f t="shared" si="25"/>
        <v>0</v>
      </c>
      <c r="I337" s="112">
        <f t="shared" si="28"/>
        <v>0</v>
      </c>
      <c r="J337" s="111"/>
    </row>
    <row r="338" spans="1:10" x14ac:dyDescent="0.25">
      <c r="A338" s="107" t="b">
        <f>IF(('Stress Test Inputs'!$C$23)="FRM", FALSE, ISNUMBER(MATCH(C338,'Stress Test Inputs'!$M$18:$M$30,0)))</f>
        <v>0</v>
      </c>
      <c r="B338" s="116">
        <f>IF($A338, (_xlfn.XLOOKUP(C338,'Stress Test Inputs'!$M$17:$M$29,'Stress Test Inputs'!$N$17:$N$29)+'Stress Test Financial Analysis'!$D$5),$B337)</f>
        <v>0.06</v>
      </c>
      <c r="C338" s="114">
        <f t="shared" si="27"/>
        <v>336</v>
      </c>
      <c r="D338" s="112">
        <f t="shared" si="29"/>
        <v>0</v>
      </c>
      <c r="E338" s="112">
        <f>IF(OR(D338&lt;=0,C338&gt;'Stress Test Inputs'!$B$23*12),0,IF(AND(C338='Stress Test Inputs'!$B$23*12,'Stress Test Inputs'!$E$23&gt;'Stress Test Inputs'!$B$23),D338+D338*B338/12,IF('Stress Test Inputs'!$C$23="FRM",-PMT($B$3/12,'Stress Test Inputs'!$E$23*12,$D$3),IF($A338,-PMT(B338/12,('Stress Test Inputs'!$E$23*12)-C338+1,D338),E337))))</f>
        <v>0</v>
      </c>
      <c r="F338" s="112">
        <f t="shared" si="26"/>
        <v>0</v>
      </c>
      <c r="G338" s="112">
        <f>IF(C338&gt;'Stress Test Inputs'!$B$23*12,0,D338*B338/12)</f>
        <v>0</v>
      </c>
      <c r="H338" s="112">
        <f t="shared" si="25"/>
        <v>0</v>
      </c>
      <c r="I338" s="112">
        <f t="shared" si="28"/>
        <v>0</v>
      </c>
      <c r="J338" s="111"/>
    </row>
    <row r="339" spans="1:10" x14ac:dyDescent="0.25">
      <c r="A339" s="107" t="b">
        <f>IF(('Stress Test Inputs'!$C$23)="FRM", FALSE, ISNUMBER(MATCH(C339,'Stress Test Inputs'!$M$18:$M$30,0)))</f>
        <v>0</v>
      </c>
      <c r="B339" s="116">
        <f>IF($A339, (_xlfn.XLOOKUP(C339,'Stress Test Inputs'!$M$17:$M$29,'Stress Test Inputs'!$N$17:$N$29)+'Stress Test Financial Analysis'!$D$5),$B338)</f>
        <v>0.06</v>
      </c>
      <c r="C339" s="114">
        <f t="shared" si="27"/>
        <v>337</v>
      </c>
      <c r="D339" s="112">
        <f t="shared" si="29"/>
        <v>0</v>
      </c>
      <c r="E339" s="112">
        <f>IF(OR(D339&lt;=0,C339&gt;'Stress Test Inputs'!$B$23*12),0,IF(AND(C339='Stress Test Inputs'!$B$23*12,'Stress Test Inputs'!$E$23&gt;'Stress Test Inputs'!$B$23),D339+D339*B339/12,IF('Stress Test Inputs'!$C$23="FRM",-PMT($B$3/12,'Stress Test Inputs'!$E$23*12,$D$3),IF($A339,-PMT(B339/12,('Stress Test Inputs'!$E$23*12)-C339+1,D339),E338))))</f>
        <v>0</v>
      </c>
      <c r="F339" s="112">
        <f t="shared" si="26"/>
        <v>0</v>
      </c>
      <c r="G339" s="112">
        <f>IF(C339&gt;'Stress Test Inputs'!$B$23*12,0,D339*B339/12)</f>
        <v>0</v>
      </c>
      <c r="H339" s="112">
        <f t="shared" si="25"/>
        <v>0</v>
      </c>
      <c r="I339" s="112">
        <f t="shared" si="28"/>
        <v>0</v>
      </c>
      <c r="J339" s="111"/>
    </row>
    <row r="340" spans="1:10" x14ac:dyDescent="0.25">
      <c r="A340" s="107" t="b">
        <f>IF(('Stress Test Inputs'!$C$23)="FRM", FALSE, ISNUMBER(MATCH(C340,'Stress Test Inputs'!$M$18:$M$30,0)))</f>
        <v>0</v>
      </c>
      <c r="B340" s="116">
        <f>IF($A340, (_xlfn.XLOOKUP(C340,'Stress Test Inputs'!$M$17:$M$29,'Stress Test Inputs'!$N$17:$N$29)+'Stress Test Financial Analysis'!$D$5),$B339)</f>
        <v>0.06</v>
      </c>
      <c r="C340" s="114">
        <f t="shared" si="27"/>
        <v>338</v>
      </c>
      <c r="D340" s="112">
        <f t="shared" si="29"/>
        <v>0</v>
      </c>
      <c r="E340" s="112">
        <f>IF(OR(D340&lt;=0,C340&gt;'Stress Test Inputs'!$B$23*12),0,IF(AND(C340='Stress Test Inputs'!$B$23*12,'Stress Test Inputs'!$E$23&gt;'Stress Test Inputs'!$B$23),D340+D340*B340/12,IF('Stress Test Inputs'!$C$23="FRM",-PMT($B$3/12,'Stress Test Inputs'!$E$23*12,$D$3),IF($A340,-PMT(B340/12,('Stress Test Inputs'!$E$23*12)-C340+1,D340),E339))))</f>
        <v>0</v>
      </c>
      <c r="F340" s="112">
        <f t="shared" si="26"/>
        <v>0</v>
      </c>
      <c r="G340" s="112">
        <f>IF(C340&gt;'Stress Test Inputs'!$B$23*12,0,D340*B340/12)</f>
        <v>0</v>
      </c>
      <c r="H340" s="112">
        <f t="shared" si="25"/>
        <v>0</v>
      </c>
      <c r="I340" s="112">
        <f t="shared" si="28"/>
        <v>0</v>
      </c>
      <c r="J340" s="111"/>
    </row>
    <row r="341" spans="1:10" x14ac:dyDescent="0.25">
      <c r="A341" s="107" t="b">
        <f>IF(('Stress Test Inputs'!$C$23)="FRM", FALSE, ISNUMBER(MATCH(C341,'Stress Test Inputs'!$M$18:$M$30,0)))</f>
        <v>0</v>
      </c>
      <c r="B341" s="116">
        <f>IF($A341, (_xlfn.XLOOKUP(C341,'Stress Test Inputs'!$M$17:$M$29,'Stress Test Inputs'!$N$17:$N$29)+'Stress Test Financial Analysis'!$D$5),$B340)</f>
        <v>0.06</v>
      </c>
      <c r="C341" s="114">
        <f t="shared" si="27"/>
        <v>339</v>
      </c>
      <c r="D341" s="112">
        <f t="shared" si="29"/>
        <v>0</v>
      </c>
      <c r="E341" s="112">
        <f>IF(OR(D341&lt;=0,C341&gt;'Stress Test Inputs'!$B$23*12),0,IF(AND(C341='Stress Test Inputs'!$B$23*12,'Stress Test Inputs'!$E$23&gt;'Stress Test Inputs'!$B$23),D341+D341*B341/12,IF('Stress Test Inputs'!$C$23="FRM",-PMT($B$3/12,'Stress Test Inputs'!$E$23*12,$D$3),IF($A341,-PMT(B341/12,('Stress Test Inputs'!$E$23*12)-C341+1,D341),E340))))</f>
        <v>0</v>
      </c>
      <c r="F341" s="112">
        <f t="shared" si="26"/>
        <v>0</v>
      </c>
      <c r="G341" s="112">
        <f>IF(C341&gt;'Stress Test Inputs'!$B$23*12,0,D341*B341/12)</f>
        <v>0</v>
      </c>
      <c r="H341" s="112">
        <f t="shared" si="25"/>
        <v>0</v>
      </c>
      <c r="I341" s="112">
        <f t="shared" si="28"/>
        <v>0</v>
      </c>
      <c r="J341" s="111"/>
    </row>
    <row r="342" spans="1:10" x14ac:dyDescent="0.25">
      <c r="A342" s="107" t="b">
        <f>IF(('Stress Test Inputs'!$C$23)="FRM", FALSE, ISNUMBER(MATCH(C342,'Stress Test Inputs'!$M$18:$M$30,0)))</f>
        <v>0</v>
      </c>
      <c r="B342" s="116">
        <f>IF($A342, (_xlfn.XLOOKUP(C342,'Stress Test Inputs'!$M$17:$M$29,'Stress Test Inputs'!$N$17:$N$29)+'Stress Test Financial Analysis'!$D$5),$B341)</f>
        <v>0.06</v>
      </c>
      <c r="C342" s="114">
        <f t="shared" si="27"/>
        <v>340</v>
      </c>
      <c r="D342" s="112">
        <f t="shared" si="29"/>
        <v>0</v>
      </c>
      <c r="E342" s="112">
        <f>IF(OR(D342&lt;=0,C342&gt;'Stress Test Inputs'!$B$23*12),0,IF(AND(C342='Stress Test Inputs'!$B$23*12,'Stress Test Inputs'!$E$23&gt;'Stress Test Inputs'!$B$23),D342+D342*B342/12,IF('Stress Test Inputs'!$C$23="FRM",-PMT($B$3/12,'Stress Test Inputs'!$E$23*12,$D$3),IF($A342,-PMT(B342/12,('Stress Test Inputs'!$E$23*12)-C342+1,D342),E341))))</f>
        <v>0</v>
      </c>
      <c r="F342" s="112">
        <f t="shared" si="26"/>
        <v>0</v>
      </c>
      <c r="G342" s="112">
        <f>IF(C342&gt;'Stress Test Inputs'!$B$23*12,0,D342*B342/12)</f>
        <v>0</v>
      </c>
      <c r="H342" s="112">
        <f t="shared" si="25"/>
        <v>0</v>
      </c>
      <c r="I342" s="112">
        <f t="shared" si="28"/>
        <v>0</v>
      </c>
      <c r="J342" s="111"/>
    </row>
    <row r="343" spans="1:10" x14ac:dyDescent="0.25">
      <c r="A343" s="107" t="b">
        <f>IF(('Stress Test Inputs'!$C$23)="FRM", FALSE, ISNUMBER(MATCH(C343,'Stress Test Inputs'!$M$18:$M$30,0)))</f>
        <v>0</v>
      </c>
      <c r="B343" s="116">
        <f>IF($A343, (_xlfn.XLOOKUP(C343,'Stress Test Inputs'!$M$17:$M$29,'Stress Test Inputs'!$N$17:$N$29)+'Stress Test Financial Analysis'!$D$5),$B342)</f>
        <v>0.06</v>
      </c>
      <c r="C343" s="114">
        <f t="shared" si="27"/>
        <v>341</v>
      </c>
      <c r="D343" s="112">
        <f t="shared" si="29"/>
        <v>0</v>
      </c>
      <c r="E343" s="112">
        <f>IF(OR(D343&lt;=0,C343&gt;'Stress Test Inputs'!$B$23*12),0,IF(AND(C343='Stress Test Inputs'!$B$23*12,'Stress Test Inputs'!$E$23&gt;'Stress Test Inputs'!$B$23),D343+D343*B343/12,IF('Stress Test Inputs'!$C$23="FRM",-PMT($B$3/12,'Stress Test Inputs'!$E$23*12,$D$3),IF($A343,-PMT(B343/12,('Stress Test Inputs'!$E$23*12)-C343+1,D343),E342))))</f>
        <v>0</v>
      </c>
      <c r="F343" s="112">
        <f t="shared" si="26"/>
        <v>0</v>
      </c>
      <c r="G343" s="112">
        <f>IF(C343&gt;'Stress Test Inputs'!$B$23*12,0,D343*B343/12)</f>
        <v>0</v>
      </c>
      <c r="H343" s="112">
        <f t="shared" si="25"/>
        <v>0</v>
      </c>
      <c r="I343" s="112">
        <f t="shared" si="28"/>
        <v>0</v>
      </c>
      <c r="J343" s="111"/>
    </row>
    <row r="344" spans="1:10" x14ac:dyDescent="0.25">
      <c r="A344" s="107" t="b">
        <f>IF(('Stress Test Inputs'!$C$23)="FRM", FALSE, ISNUMBER(MATCH(C344,'Stress Test Inputs'!$M$18:$M$30,0)))</f>
        <v>0</v>
      </c>
      <c r="B344" s="116">
        <f>IF($A344, (_xlfn.XLOOKUP(C344,'Stress Test Inputs'!$M$17:$M$29,'Stress Test Inputs'!$N$17:$N$29)+'Stress Test Financial Analysis'!$D$5),$B343)</f>
        <v>0.06</v>
      </c>
      <c r="C344" s="114">
        <f t="shared" si="27"/>
        <v>342</v>
      </c>
      <c r="D344" s="112">
        <f t="shared" si="29"/>
        <v>0</v>
      </c>
      <c r="E344" s="112">
        <f>IF(OR(D344&lt;=0,C344&gt;'Stress Test Inputs'!$B$23*12),0,IF(AND(C344='Stress Test Inputs'!$B$23*12,'Stress Test Inputs'!$E$23&gt;'Stress Test Inputs'!$B$23),D344+D344*B344/12,IF('Stress Test Inputs'!$C$23="FRM",-PMT($B$3/12,'Stress Test Inputs'!$E$23*12,$D$3),IF($A344,-PMT(B344/12,('Stress Test Inputs'!$E$23*12)-C344+1,D344),E343))))</f>
        <v>0</v>
      </c>
      <c r="F344" s="112">
        <f t="shared" si="26"/>
        <v>0</v>
      </c>
      <c r="G344" s="112">
        <f>IF(C344&gt;'Stress Test Inputs'!$B$23*12,0,D344*B344/12)</f>
        <v>0</v>
      </c>
      <c r="H344" s="112">
        <f t="shared" si="25"/>
        <v>0</v>
      </c>
      <c r="I344" s="112">
        <f t="shared" si="28"/>
        <v>0</v>
      </c>
      <c r="J344" s="111"/>
    </row>
    <row r="345" spans="1:10" x14ac:dyDescent="0.25">
      <c r="A345" s="107" t="b">
        <f>IF(('Stress Test Inputs'!$C$23)="FRM", FALSE, ISNUMBER(MATCH(C345,'Stress Test Inputs'!$M$18:$M$30,0)))</f>
        <v>0</v>
      </c>
      <c r="B345" s="116">
        <f>IF($A345, (_xlfn.XLOOKUP(C345,'Stress Test Inputs'!$M$17:$M$29,'Stress Test Inputs'!$N$17:$N$29)+'Stress Test Financial Analysis'!$D$5),$B344)</f>
        <v>0.06</v>
      </c>
      <c r="C345" s="114">
        <f t="shared" si="27"/>
        <v>343</v>
      </c>
      <c r="D345" s="112">
        <f t="shared" si="29"/>
        <v>0</v>
      </c>
      <c r="E345" s="112">
        <f>IF(OR(D345&lt;=0,C345&gt;'Stress Test Inputs'!$B$23*12),0,IF(AND(C345='Stress Test Inputs'!$B$23*12,'Stress Test Inputs'!$E$23&gt;'Stress Test Inputs'!$B$23),D345+D345*B345/12,IF('Stress Test Inputs'!$C$23="FRM",-PMT($B$3/12,'Stress Test Inputs'!$E$23*12,$D$3),IF($A345,-PMT(B345/12,('Stress Test Inputs'!$E$23*12)-C345+1,D345),E344))))</f>
        <v>0</v>
      </c>
      <c r="F345" s="112">
        <f t="shared" si="26"/>
        <v>0</v>
      </c>
      <c r="G345" s="112">
        <f>IF(C345&gt;'Stress Test Inputs'!$B$23*12,0,D345*B345/12)</f>
        <v>0</v>
      </c>
      <c r="H345" s="112">
        <f t="shared" si="25"/>
        <v>0</v>
      </c>
      <c r="I345" s="112">
        <f t="shared" si="28"/>
        <v>0</v>
      </c>
      <c r="J345" s="111"/>
    </row>
    <row r="346" spans="1:10" x14ac:dyDescent="0.25">
      <c r="A346" s="107" t="b">
        <f>IF(('Stress Test Inputs'!$C$23)="FRM", FALSE, ISNUMBER(MATCH(C346,'Stress Test Inputs'!$M$18:$M$30,0)))</f>
        <v>0</v>
      </c>
      <c r="B346" s="116">
        <f>IF($A346, (_xlfn.XLOOKUP(C346,'Stress Test Inputs'!$M$17:$M$29,'Stress Test Inputs'!$N$17:$N$29)+'Stress Test Financial Analysis'!$D$5),$B345)</f>
        <v>0.06</v>
      </c>
      <c r="C346" s="114">
        <f t="shared" si="27"/>
        <v>344</v>
      </c>
      <c r="D346" s="112">
        <f t="shared" si="29"/>
        <v>0</v>
      </c>
      <c r="E346" s="112">
        <f>IF(OR(D346&lt;=0,C346&gt;'Stress Test Inputs'!$B$23*12),0,IF(AND(C346='Stress Test Inputs'!$B$23*12,'Stress Test Inputs'!$E$23&gt;'Stress Test Inputs'!$B$23),D346+D346*B346/12,IF('Stress Test Inputs'!$C$23="FRM",-PMT($B$3/12,'Stress Test Inputs'!$E$23*12,$D$3),IF($A346,-PMT(B346/12,('Stress Test Inputs'!$E$23*12)-C346+1,D346),E345))))</f>
        <v>0</v>
      </c>
      <c r="F346" s="112">
        <f t="shared" si="26"/>
        <v>0</v>
      </c>
      <c r="G346" s="112">
        <f>IF(C346&gt;'Stress Test Inputs'!$B$23*12,0,D346*B346/12)</f>
        <v>0</v>
      </c>
      <c r="H346" s="112">
        <f t="shared" si="25"/>
        <v>0</v>
      </c>
      <c r="I346" s="112">
        <f t="shared" si="28"/>
        <v>0</v>
      </c>
      <c r="J346" s="111"/>
    </row>
    <row r="347" spans="1:10" x14ac:dyDescent="0.25">
      <c r="A347" s="107" t="b">
        <f>IF(('Stress Test Inputs'!$C$23)="FRM", FALSE, ISNUMBER(MATCH(C347,'Stress Test Inputs'!$M$18:$M$30,0)))</f>
        <v>0</v>
      </c>
      <c r="B347" s="116">
        <f>IF($A347, (_xlfn.XLOOKUP(C347,'Stress Test Inputs'!$M$17:$M$29,'Stress Test Inputs'!$N$17:$N$29)+'Stress Test Financial Analysis'!$D$5),$B346)</f>
        <v>0.06</v>
      </c>
      <c r="C347" s="114">
        <f t="shared" si="27"/>
        <v>345</v>
      </c>
      <c r="D347" s="112">
        <f t="shared" si="29"/>
        <v>0</v>
      </c>
      <c r="E347" s="112">
        <f>IF(OR(D347&lt;=0,C347&gt;'Stress Test Inputs'!$B$23*12),0,IF(AND(C347='Stress Test Inputs'!$B$23*12,'Stress Test Inputs'!$E$23&gt;'Stress Test Inputs'!$B$23),D347+D347*B347/12,IF('Stress Test Inputs'!$C$23="FRM",-PMT($B$3/12,'Stress Test Inputs'!$E$23*12,$D$3),IF($A347,-PMT(B347/12,('Stress Test Inputs'!$E$23*12)-C347+1,D347),E346))))</f>
        <v>0</v>
      </c>
      <c r="F347" s="112">
        <f t="shared" si="26"/>
        <v>0</v>
      </c>
      <c r="G347" s="112">
        <f>IF(C347&gt;'Stress Test Inputs'!$B$23*12,0,D347*B347/12)</f>
        <v>0</v>
      </c>
      <c r="H347" s="112">
        <f t="shared" si="25"/>
        <v>0</v>
      </c>
      <c r="I347" s="112">
        <f t="shared" si="28"/>
        <v>0</v>
      </c>
      <c r="J347" s="111"/>
    </row>
    <row r="348" spans="1:10" x14ac:dyDescent="0.25">
      <c r="A348" s="107" t="b">
        <f>IF(('Stress Test Inputs'!$C$23)="FRM", FALSE, ISNUMBER(MATCH(C348,'Stress Test Inputs'!$M$18:$M$30,0)))</f>
        <v>0</v>
      </c>
      <c r="B348" s="116">
        <f>IF($A348, (_xlfn.XLOOKUP(C348,'Stress Test Inputs'!$M$17:$M$29,'Stress Test Inputs'!$N$17:$N$29)+'Stress Test Financial Analysis'!$D$5),$B347)</f>
        <v>0.06</v>
      </c>
      <c r="C348" s="114">
        <f t="shared" si="27"/>
        <v>346</v>
      </c>
      <c r="D348" s="112">
        <f t="shared" si="29"/>
        <v>0</v>
      </c>
      <c r="E348" s="112">
        <f>IF(OR(D348&lt;=0,C348&gt;'Stress Test Inputs'!$B$23*12),0,IF(AND(C348='Stress Test Inputs'!$B$23*12,'Stress Test Inputs'!$E$23&gt;'Stress Test Inputs'!$B$23),D348+D348*B348/12,IF('Stress Test Inputs'!$C$23="FRM",-PMT($B$3/12,'Stress Test Inputs'!$E$23*12,$D$3),IF($A348,-PMT(B348/12,('Stress Test Inputs'!$E$23*12)-C348+1,D348),E347))))</f>
        <v>0</v>
      </c>
      <c r="F348" s="112">
        <f t="shared" si="26"/>
        <v>0</v>
      </c>
      <c r="G348" s="112">
        <f>IF(C348&gt;'Stress Test Inputs'!$B$23*12,0,D348*B348/12)</f>
        <v>0</v>
      </c>
      <c r="H348" s="112">
        <f t="shared" si="25"/>
        <v>0</v>
      </c>
      <c r="I348" s="112">
        <f t="shared" si="28"/>
        <v>0</v>
      </c>
      <c r="J348" s="111"/>
    </row>
    <row r="349" spans="1:10" x14ac:dyDescent="0.25">
      <c r="A349" s="107" t="b">
        <f>IF(('Stress Test Inputs'!$C$23)="FRM", FALSE, ISNUMBER(MATCH(C349,'Stress Test Inputs'!$M$18:$M$30,0)))</f>
        <v>0</v>
      </c>
      <c r="B349" s="116">
        <f>IF($A349, (_xlfn.XLOOKUP(C349,'Stress Test Inputs'!$M$17:$M$29,'Stress Test Inputs'!$N$17:$N$29)+'Stress Test Financial Analysis'!$D$5),$B348)</f>
        <v>0.06</v>
      </c>
      <c r="C349" s="114">
        <f t="shared" si="27"/>
        <v>347</v>
      </c>
      <c r="D349" s="112">
        <f t="shared" si="29"/>
        <v>0</v>
      </c>
      <c r="E349" s="112">
        <f>IF(OR(D349&lt;=0,C349&gt;'Stress Test Inputs'!$B$23*12),0,IF(AND(C349='Stress Test Inputs'!$B$23*12,'Stress Test Inputs'!$E$23&gt;'Stress Test Inputs'!$B$23),D349+D349*B349/12,IF('Stress Test Inputs'!$C$23="FRM",-PMT($B$3/12,'Stress Test Inputs'!$E$23*12,$D$3),IF($A349,-PMT(B349/12,('Stress Test Inputs'!$E$23*12)-C349+1,D349),E348))))</f>
        <v>0</v>
      </c>
      <c r="F349" s="112">
        <f t="shared" si="26"/>
        <v>0</v>
      </c>
      <c r="G349" s="112">
        <f>IF(C349&gt;'Stress Test Inputs'!$B$23*12,0,D349*B349/12)</f>
        <v>0</v>
      </c>
      <c r="H349" s="112">
        <f t="shared" si="25"/>
        <v>0</v>
      </c>
      <c r="I349" s="112">
        <f t="shared" si="28"/>
        <v>0</v>
      </c>
      <c r="J349" s="111"/>
    </row>
    <row r="350" spans="1:10" x14ac:dyDescent="0.25">
      <c r="A350" s="107" t="b">
        <f>IF(('Stress Test Inputs'!$C$23)="FRM", FALSE, ISNUMBER(MATCH(C350,'Stress Test Inputs'!$M$18:$M$30,0)))</f>
        <v>0</v>
      </c>
      <c r="B350" s="116">
        <f>IF($A350, (_xlfn.XLOOKUP(C350,'Stress Test Inputs'!$M$17:$M$29,'Stress Test Inputs'!$N$17:$N$29)+'Stress Test Financial Analysis'!$D$5),$B349)</f>
        <v>0.06</v>
      </c>
      <c r="C350" s="114">
        <f t="shared" si="27"/>
        <v>348</v>
      </c>
      <c r="D350" s="112">
        <f t="shared" si="29"/>
        <v>0</v>
      </c>
      <c r="E350" s="112">
        <f>IF(OR(D350&lt;=0,C350&gt;'Stress Test Inputs'!$B$23*12),0,IF(AND(C350='Stress Test Inputs'!$B$23*12,'Stress Test Inputs'!$E$23&gt;'Stress Test Inputs'!$B$23),D350+D350*B350/12,IF('Stress Test Inputs'!$C$23="FRM",-PMT($B$3/12,'Stress Test Inputs'!$E$23*12,$D$3),IF($A350,-PMT(B350/12,('Stress Test Inputs'!$E$23*12)-C350+1,D350),E349))))</f>
        <v>0</v>
      </c>
      <c r="F350" s="112">
        <f t="shared" si="26"/>
        <v>0</v>
      </c>
      <c r="G350" s="112">
        <f>IF(C350&gt;'Stress Test Inputs'!$B$23*12,0,D350*B350/12)</f>
        <v>0</v>
      </c>
      <c r="H350" s="112">
        <f t="shared" si="25"/>
        <v>0</v>
      </c>
      <c r="I350" s="112">
        <f t="shared" si="28"/>
        <v>0</v>
      </c>
      <c r="J350" s="111"/>
    </row>
    <row r="351" spans="1:10" x14ac:dyDescent="0.25">
      <c r="A351" s="107" t="b">
        <f>IF(('Stress Test Inputs'!$C$23)="FRM", FALSE, ISNUMBER(MATCH(C351,'Stress Test Inputs'!$M$18:$M$30,0)))</f>
        <v>0</v>
      </c>
      <c r="B351" s="116">
        <f>IF($A351, (_xlfn.XLOOKUP(C351,'Stress Test Inputs'!$M$17:$M$29,'Stress Test Inputs'!$N$17:$N$29)+'Stress Test Financial Analysis'!$D$5),$B350)</f>
        <v>0.06</v>
      </c>
      <c r="C351" s="114">
        <f t="shared" si="27"/>
        <v>349</v>
      </c>
      <c r="D351" s="112">
        <f t="shared" si="29"/>
        <v>0</v>
      </c>
      <c r="E351" s="112">
        <f>IF(OR(D351&lt;=0,C351&gt;'Stress Test Inputs'!$B$23*12),0,IF(AND(C351='Stress Test Inputs'!$B$23*12,'Stress Test Inputs'!$E$23&gt;'Stress Test Inputs'!$B$23),D351+D351*B351/12,IF('Stress Test Inputs'!$C$23="FRM",-PMT($B$3/12,'Stress Test Inputs'!$E$23*12,$D$3),IF($A351,-PMT(B351/12,('Stress Test Inputs'!$E$23*12)-C351+1,D351),E350))))</f>
        <v>0</v>
      </c>
      <c r="F351" s="112">
        <f t="shared" si="26"/>
        <v>0</v>
      </c>
      <c r="G351" s="112">
        <f>IF(C351&gt;'Stress Test Inputs'!$B$23*12,0,D351*B351/12)</f>
        <v>0</v>
      </c>
      <c r="H351" s="112">
        <f t="shared" si="25"/>
        <v>0</v>
      </c>
      <c r="I351" s="112">
        <f t="shared" si="28"/>
        <v>0</v>
      </c>
      <c r="J351" s="111"/>
    </row>
    <row r="352" spans="1:10" x14ac:dyDescent="0.25">
      <c r="A352" s="107" t="b">
        <f>IF(('Stress Test Inputs'!$C$23)="FRM", FALSE, ISNUMBER(MATCH(C352,'Stress Test Inputs'!$M$18:$M$30,0)))</f>
        <v>0</v>
      </c>
      <c r="B352" s="116">
        <f>IF($A352, (_xlfn.XLOOKUP(C352,'Stress Test Inputs'!$M$17:$M$29,'Stress Test Inputs'!$N$17:$N$29)+'Stress Test Financial Analysis'!$D$5),$B351)</f>
        <v>0.06</v>
      </c>
      <c r="C352" s="114">
        <f t="shared" si="27"/>
        <v>350</v>
      </c>
      <c r="D352" s="112">
        <f t="shared" si="29"/>
        <v>0</v>
      </c>
      <c r="E352" s="112">
        <f>IF(OR(D352&lt;=0,C352&gt;'Stress Test Inputs'!$B$23*12),0,IF(AND(C352='Stress Test Inputs'!$B$23*12,'Stress Test Inputs'!$E$23&gt;'Stress Test Inputs'!$B$23),D352+D352*B352/12,IF('Stress Test Inputs'!$C$23="FRM",-PMT($B$3/12,'Stress Test Inputs'!$E$23*12,$D$3),IF($A352,-PMT(B352/12,('Stress Test Inputs'!$E$23*12)-C352+1,D352),E351))))</f>
        <v>0</v>
      </c>
      <c r="F352" s="112">
        <f t="shared" si="26"/>
        <v>0</v>
      </c>
      <c r="G352" s="112">
        <f>IF(C352&gt;'Stress Test Inputs'!$B$23*12,0,D352*B352/12)</f>
        <v>0</v>
      </c>
      <c r="H352" s="112">
        <f t="shared" si="25"/>
        <v>0</v>
      </c>
      <c r="I352" s="112">
        <f t="shared" si="28"/>
        <v>0</v>
      </c>
      <c r="J352" s="111"/>
    </row>
    <row r="353" spans="1:10" x14ac:dyDescent="0.25">
      <c r="A353" s="107" t="b">
        <f>IF(('Stress Test Inputs'!$C$23)="FRM", FALSE, ISNUMBER(MATCH(C353,'Stress Test Inputs'!$M$18:$M$30,0)))</f>
        <v>0</v>
      </c>
      <c r="B353" s="116">
        <f>IF($A353, (_xlfn.XLOOKUP(C353,'Stress Test Inputs'!$M$17:$M$29,'Stress Test Inputs'!$N$17:$N$29)+'Stress Test Financial Analysis'!$D$5),$B352)</f>
        <v>0.06</v>
      </c>
      <c r="C353" s="114">
        <f t="shared" si="27"/>
        <v>351</v>
      </c>
      <c r="D353" s="112">
        <f t="shared" si="29"/>
        <v>0</v>
      </c>
      <c r="E353" s="112">
        <f>IF(OR(D353&lt;=0,C353&gt;'Stress Test Inputs'!$B$23*12),0,IF(AND(C353='Stress Test Inputs'!$B$23*12,'Stress Test Inputs'!$E$23&gt;'Stress Test Inputs'!$B$23),D353+D353*B353/12,IF('Stress Test Inputs'!$C$23="FRM",-PMT($B$3/12,'Stress Test Inputs'!$E$23*12,$D$3),IF($A353,-PMT(B353/12,('Stress Test Inputs'!$E$23*12)-C353+1,D353),E352))))</f>
        <v>0</v>
      </c>
      <c r="F353" s="112">
        <f t="shared" si="26"/>
        <v>0</v>
      </c>
      <c r="G353" s="112">
        <f>IF(C353&gt;'Stress Test Inputs'!$B$23*12,0,D353*B353/12)</f>
        <v>0</v>
      </c>
      <c r="H353" s="112">
        <f t="shared" si="25"/>
        <v>0</v>
      </c>
      <c r="I353" s="112">
        <f t="shared" si="28"/>
        <v>0</v>
      </c>
      <c r="J353" s="111"/>
    </row>
    <row r="354" spans="1:10" x14ac:dyDescent="0.25">
      <c r="A354" s="107" t="b">
        <f>IF(('Stress Test Inputs'!$C$23)="FRM", FALSE, ISNUMBER(MATCH(C354,'Stress Test Inputs'!$M$18:$M$30,0)))</f>
        <v>0</v>
      </c>
      <c r="B354" s="116">
        <f>IF($A354, (_xlfn.XLOOKUP(C354,'Stress Test Inputs'!$M$17:$M$29,'Stress Test Inputs'!$N$17:$N$29)+'Stress Test Financial Analysis'!$D$5),$B353)</f>
        <v>0.06</v>
      </c>
      <c r="C354" s="114">
        <f t="shared" si="27"/>
        <v>352</v>
      </c>
      <c r="D354" s="112">
        <f t="shared" si="29"/>
        <v>0</v>
      </c>
      <c r="E354" s="112">
        <f>IF(OR(D354&lt;=0,C354&gt;'Stress Test Inputs'!$B$23*12),0,IF(AND(C354='Stress Test Inputs'!$B$23*12,'Stress Test Inputs'!$E$23&gt;'Stress Test Inputs'!$B$23),D354+D354*B354/12,IF('Stress Test Inputs'!$C$23="FRM",-PMT($B$3/12,'Stress Test Inputs'!$E$23*12,$D$3),IF($A354,-PMT(B354/12,('Stress Test Inputs'!$E$23*12)-C354+1,D354),E353))))</f>
        <v>0</v>
      </c>
      <c r="F354" s="112">
        <f t="shared" si="26"/>
        <v>0</v>
      </c>
      <c r="G354" s="112">
        <f>IF(C354&gt;'Stress Test Inputs'!$B$23*12,0,D354*B354/12)</f>
        <v>0</v>
      </c>
      <c r="H354" s="112">
        <f t="shared" si="25"/>
        <v>0</v>
      </c>
      <c r="I354" s="112">
        <f t="shared" si="28"/>
        <v>0</v>
      </c>
      <c r="J354" s="111"/>
    </row>
    <row r="355" spans="1:10" x14ac:dyDescent="0.25">
      <c r="A355" s="107" t="b">
        <f>IF(('Stress Test Inputs'!$C$23)="FRM", FALSE, ISNUMBER(MATCH(C355,'Stress Test Inputs'!$M$18:$M$30,0)))</f>
        <v>0</v>
      </c>
      <c r="B355" s="116">
        <f>IF($A355, (_xlfn.XLOOKUP(C355,'Stress Test Inputs'!$M$17:$M$29,'Stress Test Inputs'!$N$17:$N$29)+'Stress Test Financial Analysis'!$D$5),$B354)</f>
        <v>0.06</v>
      </c>
      <c r="C355" s="114">
        <f t="shared" si="27"/>
        <v>353</v>
      </c>
      <c r="D355" s="112">
        <f t="shared" si="29"/>
        <v>0</v>
      </c>
      <c r="E355" s="112">
        <f>IF(OR(D355&lt;=0,C355&gt;'Stress Test Inputs'!$B$23*12),0,IF(AND(C355='Stress Test Inputs'!$B$23*12,'Stress Test Inputs'!$E$23&gt;'Stress Test Inputs'!$B$23),D355+D355*B355/12,IF('Stress Test Inputs'!$C$23="FRM",-PMT($B$3/12,'Stress Test Inputs'!$E$23*12,$D$3),IF($A355,-PMT(B355/12,('Stress Test Inputs'!$E$23*12)-C355+1,D355),E354))))</f>
        <v>0</v>
      </c>
      <c r="F355" s="112">
        <f t="shared" si="26"/>
        <v>0</v>
      </c>
      <c r="G355" s="112">
        <f>IF(C355&gt;'Stress Test Inputs'!$B$23*12,0,D355*B355/12)</f>
        <v>0</v>
      </c>
      <c r="H355" s="112">
        <f t="shared" si="25"/>
        <v>0</v>
      </c>
      <c r="I355" s="112">
        <f t="shared" si="28"/>
        <v>0</v>
      </c>
      <c r="J355" s="111"/>
    </row>
    <row r="356" spans="1:10" x14ac:dyDescent="0.25">
      <c r="A356" s="107" t="b">
        <f>IF(('Stress Test Inputs'!$C$23)="FRM", FALSE, ISNUMBER(MATCH(C356,'Stress Test Inputs'!$M$18:$M$30,0)))</f>
        <v>0</v>
      </c>
      <c r="B356" s="116">
        <f>IF($A356, (_xlfn.XLOOKUP(C356,'Stress Test Inputs'!$M$17:$M$29,'Stress Test Inputs'!$N$17:$N$29)+'Stress Test Financial Analysis'!$D$5),$B355)</f>
        <v>0.06</v>
      </c>
      <c r="C356" s="114">
        <f t="shared" si="27"/>
        <v>354</v>
      </c>
      <c r="D356" s="112">
        <f t="shared" si="29"/>
        <v>0</v>
      </c>
      <c r="E356" s="112">
        <f>IF(OR(D356&lt;=0,C356&gt;'Stress Test Inputs'!$B$23*12),0,IF(AND(C356='Stress Test Inputs'!$B$23*12,'Stress Test Inputs'!$E$23&gt;'Stress Test Inputs'!$B$23),D356+D356*B356/12,IF('Stress Test Inputs'!$C$23="FRM",-PMT($B$3/12,'Stress Test Inputs'!$E$23*12,$D$3),IF($A356,-PMT(B356/12,('Stress Test Inputs'!$E$23*12)-C356+1,D356),E355))))</f>
        <v>0</v>
      </c>
      <c r="F356" s="112">
        <f t="shared" si="26"/>
        <v>0</v>
      </c>
      <c r="G356" s="112">
        <f>IF(C356&gt;'Stress Test Inputs'!$B$23*12,0,D356*B356/12)</f>
        <v>0</v>
      </c>
      <c r="H356" s="112">
        <f t="shared" si="25"/>
        <v>0</v>
      </c>
      <c r="I356" s="112">
        <f t="shared" si="28"/>
        <v>0</v>
      </c>
      <c r="J356" s="111"/>
    </row>
    <row r="357" spans="1:10" x14ac:dyDescent="0.25">
      <c r="A357" s="107" t="b">
        <f>IF(('Stress Test Inputs'!$C$23)="FRM", FALSE, ISNUMBER(MATCH(C357,'Stress Test Inputs'!$M$18:$M$30,0)))</f>
        <v>0</v>
      </c>
      <c r="B357" s="116">
        <f>IF($A357, (_xlfn.XLOOKUP(C357,'Stress Test Inputs'!$M$17:$M$29,'Stress Test Inputs'!$N$17:$N$29)+'Stress Test Financial Analysis'!$D$5),$B356)</f>
        <v>0.06</v>
      </c>
      <c r="C357" s="114">
        <f t="shared" si="27"/>
        <v>355</v>
      </c>
      <c r="D357" s="112">
        <f t="shared" si="29"/>
        <v>0</v>
      </c>
      <c r="E357" s="112">
        <f>IF(OR(D357&lt;=0,C357&gt;'Stress Test Inputs'!$B$23*12),0,IF(AND(C357='Stress Test Inputs'!$B$23*12,'Stress Test Inputs'!$E$23&gt;'Stress Test Inputs'!$B$23),D357+D357*B357/12,IF('Stress Test Inputs'!$C$23="FRM",-PMT($B$3/12,'Stress Test Inputs'!$E$23*12,$D$3),IF($A357,-PMT(B357/12,('Stress Test Inputs'!$E$23*12)-C357+1,D357),E356))))</f>
        <v>0</v>
      </c>
      <c r="F357" s="112">
        <f t="shared" si="26"/>
        <v>0</v>
      </c>
      <c r="G357" s="112">
        <f>IF(C357&gt;'Stress Test Inputs'!$B$23*12,0,D357*B357/12)</f>
        <v>0</v>
      </c>
      <c r="H357" s="112">
        <f t="shared" si="25"/>
        <v>0</v>
      </c>
      <c r="I357" s="112">
        <f t="shared" si="28"/>
        <v>0</v>
      </c>
      <c r="J357" s="111"/>
    </row>
    <row r="358" spans="1:10" x14ac:dyDescent="0.25">
      <c r="A358" s="107" t="b">
        <f>IF(('Stress Test Inputs'!$C$23)="FRM", FALSE, ISNUMBER(MATCH(C358,'Stress Test Inputs'!$M$18:$M$30,0)))</f>
        <v>0</v>
      </c>
      <c r="B358" s="116">
        <f>IF($A358, (_xlfn.XLOOKUP(C358,'Stress Test Inputs'!$M$17:$M$29,'Stress Test Inputs'!$N$17:$N$29)+'Stress Test Financial Analysis'!$D$5),$B357)</f>
        <v>0.06</v>
      </c>
      <c r="C358" s="114">
        <f t="shared" si="27"/>
        <v>356</v>
      </c>
      <c r="D358" s="112">
        <f t="shared" si="29"/>
        <v>0</v>
      </c>
      <c r="E358" s="112">
        <f>IF(OR(D358&lt;=0,C358&gt;'Stress Test Inputs'!$B$23*12),0,IF(AND(C358='Stress Test Inputs'!$B$23*12,'Stress Test Inputs'!$E$23&gt;'Stress Test Inputs'!$B$23),D358+D358*B358/12,IF('Stress Test Inputs'!$C$23="FRM",-PMT($B$3/12,'Stress Test Inputs'!$E$23*12,$D$3),IF($A358,-PMT(B358/12,('Stress Test Inputs'!$E$23*12)-C358+1,D358),E357))))</f>
        <v>0</v>
      </c>
      <c r="F358" s="112">
        <f t="shared" si="26"/>
        <v>0</v>
      </c>
      <c r="G358" s="112">
        <f>IF(C358&gt;'Stress Test Inputs'!$B$23*12,0,D358*B358/12)</f>
        <v>0</v>
      </c>
      <c r="H358" s="112">
        <f t="shared" si="25"/>
        <v>0</v>
      </c>
      <c r="I358" s="112">
        <f t="shared" si="28"/>
        <v>0</v>
      </c>
      <c r="J358" s="111"/>
    </row>
    <row r="359" spans="1:10" x14ac:dyDescent="0.25">
      <c r="A359" s="107" t="b">
        <f>IF(('Stress Test Inputs'!$C$23)="FRM", FALSE, ISNUMBER(MATCH(C359,'Stress Test Inputs'!$M$18:$M$30,0)))</f>
        <v>0</v>
      </c>
      <c r="B359" s="116">
        <f>IF($A359, (_xlfn.XLOOKUP(C359,'Stress Test Inputs'!$M$17:$M$29,'Stress Test Inputs'!$N$17:$N$29)+'Stress Test Financial Analysis'!$D$5),$B358)</f>
        <v>0.06</v>
      </c>
      <c r="C359" s="114">
        <f t="shared" si="27"/>
        <v>357</v>
      </c>
      <c r="D359" s="112">
        <f t="shared" si="29"/>
        <v>0</v>
      </c>
      <c r="E359" s="112">
        <f>IF(OR(D359&lt;=0,C359&gt;'Stress Test Inputs'!$B$23*12),0,IF(AND(C359='Stress Test Inputs'!$B$23*12,'Stress Test Inputs'!$E$23&gt;'Stress Test Inputs'!$B$23),D359+D359*B359/12,IF('Stress Test Inputs'!$C$23="FRM",-PMT($B$3/12,'Stress Test Inputs'!$E$23*12,$D$3),IF($A359,-PMT(B359/12,('Stress Test Inputs'!$E$23*12)-C359+1,D359),E358))))</f>
        <v>0</v>
      </c>
      <c r="F359" s="112">
        <f t="shared" si="26"/>
        <v>0</v>
      </c>
      <c r="G359" s="112">
        <f>IF(C359&gt;'Stress Test Inputs'!$B$23*12,0,D359*B359/12)</f>
        <v>0</v>
      </c>
      <c r="H359" s="112">
        <f t="shared" si="25"/>
        <v>0</v>
      </c>
      <c r="I359" s="112">
        <f t="shared" si="28"/>
        <v>0</v>
      </c>
      <c r="J359" s="111"/>
    </row>
    <row r="360" spans="1:10" x14ac:dyDescent="0.25">
      <c r="A360" s="107" t="b">
        <f>IF(('Stress Test Inputs'!$C$23)="FRM", FALSE, ISNUMBER(MATCH(C360,'Stress Test Inputs'!$M$18:$M$30,0)))</f>
        <v>0</v>
      </c>
      <c r="B360" s="116">
        <f>IF($A360, (_xlfn.XLOOKUP(C360,'Stress Test Inputs'!$M$17:$M$29,'Stress Test Inputs'!$N$17:$N$29)+'Stress Test Financial Analysis'!$D$5),$B359)</f>
        <v>0.06</v>
      </c>
      <c r="C360" s="114">
        <f t="shared" si="27"/>
        <v>358</v>
      </c>
      <c r="D360" s="112">
        <f t="shared" si="29"/>
        <v>0</v>
      </c>
      <c r="E360" s="112">
        <f>IF(OR(D360&lt;=0,C360&gt;'Stress Test Inputs'!$B$23*12),0,IF(AND(C360='Stress Test Inputs'!$B$23*12,'Stress Test Inputs'!$E$23&gt;'Stress Test Inputs'!$B$23),D360+D360*B360/12,IF('Stress Test Inputs'!$C$23="FRM",-PMT($B$3/12,'Stress Test Inputs'!$E$23*12,$D$3),IF($A360,-PMT(B360/12,('Stress Test Inputs'!$E$23*12)-C360+1,D360),E359))))</f>
        <v>0</v>
      </c>
      <c r="F360" s="112">
        <f t="shared" si="26"/>
        <v>0</v>
      </c>
      <c r="G360" s="112">
        <f>IF(C360&gt;'Stress Test Inputs'!$B$23*12,0,D360*B360/12)</f>
        <v>0</v>
      </c>
      <c r="H360" s="112">
        <f t="shared" si="25"/>
        <v>0</v>
      </c>
      <c r="I360" s="112">
        <f t="shared" si="28"/>
        <v>0</v>
      </c>
      <c r="J360" s="111"/>
    </row>
    <row r="361" spans="1:10" x14ac:dyDescent="0.25">
      <c r="A361" s="107" t="b">
        <f>IF(('Stress Test Inputs'!$C$23)="FRM", FALSE, ISNUMBER(MATCH(C361,'Stress Test Inputs'!$M$18:$M$30,0)))</f>
        <v>0</v>
      </c>
      <c r="B361" s="116">
        <f>IF($A361, (_xlfn.XLOOKUP(C361,'Stress Test Inputs'!$M$17:$M$29,'Stress Test Inputs'!$N$17:$N$29)+'Stress Test Financial Analysis'!$D$5),$B360)</f>
        <v>0.06</v>
      </c>
      <c r="C361" s="114">
        <f t="shared" si="27"/>
        <v>359</v>
      </c>
      <c r="D361" s="112">
        <f t="shared" si="29"/>
        <v>0</v>
      </c>
      <c r="E361" s="112">
        <f>IF(OR(D361&lt;=0,C361&gt;'Stress Test Inputs'!$B$23*12),0,IF(AND(C361='Stress Test Inputs'!$B$23*12,'Stress Test Inputs'!$E$23&gt;'Stress Test Inputs'!$B$23),D361+D361*B361/12,IF('Stress Test Inputs'!$C$23="FRM",-PMT($B$3/12,'Stress Test Inputs'!$E$23*12,$D$3),IF($A361,-PMT(B361/12,('Stress Test Inputs'!$E$23*12)-C361+1,D361),E360))))</f>
        <v>0</v>
      </c>
      <c r="F361" s="112">
        <f t="shared" si="26"/>
        <v>0</v>
      </c>
      <c r="G361" s="112">
        <f>IF(C361&gt;'Stress Test Inputs'!$B$23*12,0,D361*B361/12)</f>
        <v>0</v>
      </c>
      <c r="H361" s="112">
        <f t="shared" si="25"/>
        <v>0</v>
      </c>
      <c r="I361" s="112">
        <f t="shared" si="28"/>
        <v>0</v>
      </c>
      <c r="J361" s="111"/>
    </row>
    <row r="362" spans="1:10" x14ac:dyDescent="0.25">
      <c r="A362" s="107" t="b">
        <f>IF(('Stress Test Inputs'!$C$23)="FRM", FALSE, ISNUMBER(MATCH(C362,'Stress Test Inputs'!$M$18:$M$30,0)))</f>
        <v>0</v>
      </c>
      <c r="B362" s="116">
        <f>IF($A362, (_xlfn.XLOOKUP(C362,'Stress Test Inputs'!$M$17:$M$29,'Stress Test Inputs'!$N$17:$N$29)+'Stress Test Financial Analysis'!$D$5),$B361)</f>
        <v>0.06</v>
      </c>
      <c r="C362" s="114">
        <f t="shared" si="27"/>
        <v>360</v>
      </c>
      <c r="D362" s="112">
        <f t="shared" si="29"/>
        <v>0</v>
      </c>
      <c r="E362" s="112">
        <f>IF(OR(D362&lt;=0,C362&gt;'Stress Test Inputs'!$B$23*12),0,IF(AND(C362='Stress Test Inputs'!$B$23*12,'Stress Test Inputs'!$E$23&gt;'Stress Test Inputs'!$B$23),D362+D362*B362/12,IF('Stress Test Inputs'!$C$23="FRM",-PMT($B$3/12,'Stress Test Inputs'!$E$23*12,$D$3),IF($A362,-PMT(B362/12,('Stress Test Inputs'!$E$23*12)-C362+1,D362),E361))))</f>
        <v>0</v>
      </c>
      <c r="F362" s="112">
        <f t="shared" si="26"/>
        <v>0</v>
      </c>
      <c r="G362" s="112">
        <f>IF(C362&gt;'Stress Test Inputs'!$B$23*12,0,D362*B362/12)</f>
        <v>0</v>
      </c>
      <c r="H362" s="112">
        <f t="shared" si="25"/>
        <v>0</v>
      </c>
      <c r="I362" s="112">
        <f t="shared" si="28"/>
        <v>0</v>
      </c>
      <c r="J362" s="11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67419-E759-4696-A487-D1244F0304D0}">
  <sheetPr>
    <tabColor rgb="FFFF0000"/>
  </sheetPr>
  <dimension ref="A1:AG81"/>
  <sheetViews>
    <sheetView workbookViewId="0">
      <selection activeCell="I27" sqref="I27"/>
    </sheetView>
  </sheetViews>
  <sheetFormatPr defaultRowHeight="15" x14ac:dyDescent="0.25"/>
  <cols>
    <col min="2" max="2" width="26.140625" bestFit="1" customWidth="1"/>
    <col min="3" max="3" width="22.5703125" bestFit="1" customWidth="1"/>
    <col min="4" max="4" width="19.42578125" bestFit="1" customWidth="1"/>
    <col min="5" max="5" width="15.5703125" bestFit="1" customWidth="1"/>
    <col min="6" max="6" width="16.28515625" bestFit="1" customWidth="1"/>
    <col min="7" max="7" width="18" customWidth="1"/>
    <col min="9" max="9" width="32.140625" bestFit="1" customWidth="1"/>
    <col min="11" max="11" width="15.28515625" bestFit="1" customWidth="1"/>
  </cols>
  <sheetData>
    <row r="1" spans="2:33" x14ac:dyDescent="0.25">
      <c r="M1" s="107"/>
      <c r="N1" s="107"/>
      <c r="O1" s="107"/>
      <c r="P1" s="107"/>
      <c r="Q1" s="107"/>
      <c r="R1" s="107"/>
      <c r="S1" s="107"/>
      <c r="T1" s="107"/>
      <c r="U1" s="107"/>
      <c r="V1" s="107"/>
      <c r="W1" s="107"/>
      <c r="X1" s="107"/>
      <c r="Y1" s="107"/>
      <c r="Z1" s="107"/>
      <c r="AA1" s="107"/>
      <c r="AB1" s="107"/>
      <c r="AC1" s="107"/>
      <c r="AD1" s="107"/>
      <c r="AE1" s="107"/>
      <c r="AF1" s="107"/>
      <c r="AG1" s="107"/>
    </row>
    <row r="2" spans="2:33" x14ac:dyDescent="0.25">
      <c r="M2" s="107"/>
      <c r="N2" s="107"/>
      <c r="O2" s="107"/>
      <c r="P2" s="107"/>
      <c r="Q2" s="107"/>
      <c r="R2" s="107"/>
      <c r="S2" s="107"/>
      <c r="T2" s="107"/>
      <c r="U2" s="107"/>
      <c r="V2" s="107"/>
      <c r="W2" s="107"/>
      <c r="X2" s="107"/>
      <c r="Y2" s="107"/>
      <c r="Z2" s="107"/>
      <c r="AA2" s="107"/>
      <c r="AB2" s="107"/>
      <c r="AC2" s="107"/>
      <c r="AD2" s="107"/>
      <c r="AE2" s="107"/>
      <c r="AF2" s="107"/>
      <c r="AG2" s="107"/>
    </row>
    <row r="3" spans="2:33" x14ac:dyDescent="0.25">
      <c r="M3" s="107"/>
      <c r="N3" s="107"/>
      <c r="O3" s="107"/>
      <c r="P3" s="107"/>
      <c r="Q3" s="107"/>
      <c r="R3" s="107"/>
      <c r="S3" s="107"/>
      <c r="T3" s="107"/>
      <c r="U3" s="107"/>
      <c r="V3" s="107"/>
      <c r="W3" s="107"/>
      <c r="X3" s="107"/>
      <c r="Y3" s="107"/>
      <c r="Z3" s="107"/>
      <c r="AA3" s="107"/>
      <c r="AB3" s="107"/>
      <c r="AC3" s="107"/>
      <c r="AD3" s="107"/>
      <c r="AE3" s="107"/>
      <c r="AF3" s="107"/>
      <c r="AG3" s="107"/>
    </row>
    <row r="4" spans="2:33" x14ac:dyDescent="0.25">
      <c r="C4" s="64" t="s">
        <v>94</v>
      </c>
      <c r="D4" t="s">
        <v>53</v>
      </c>
      <c r="E4" t="s">
        <v>54</v>
      </c>
      <c r="F4" t="s">
        <v>55</v>
      </c>
      <c r="G4" t="s">
        <v>56</v>
      </c>
      <c r="I4" t="s">
        <v>144</v>
      </c>
      <c r="M4" s="107"/>
      <c r="N4" s="107"/>
      <c r="O4" s="107"/>
      <c r="P4" s="107"/>
      <c r="Q4" s="107"/>
      <c r="R4" s="107"/>
      <c r="S4" s="107"/>
      <c r="T4" s="107"/>
      <c r="U4" s="107"/>
      <c r="V4" s="107"/>
      <c r="W4" s="107"/>
      <c r="X4" s="107"/>
      <c r="Y4" s="107"/>
      <c r="Z4" s="107"/>
      <c r="AA4" s="107"/>
      <c r="AB4" s="107"/>
      <c r="AC4" s="107"/>
      <c r="AD4" s="107"/>
      <c r="AE4" s="107"/>
      <c r="AF4" s="107"/>
      <c r="AG4" s="107"/>
    </row>
    <row r="5" spans="2:33" ht="15.75" x14ac:dyDescent="0.25">
      <c r="B5" s="14" t="s">
        <v>63</v>
      </c>
      <c r="C5" s="64"/>
      <c r="M5" s="107"/>
      <c r="N5" s="107"/>
      <c r="O5" s="107"/>
      <c r="P5" s="107"/>
      <c r="Q5" s="107"/>
      <c r="R5" s="107"/>
      <c r="S5" s="107"/>
      <c r="T5" s="107"/>
      <c r="U5" s="107"/>
      <c r="V5" s="107"/>
      <c r="W5" s="107"/>
      <c r="X5" s="107"/>
      <c r="Y5" s="107"/>
      <c r="Z5" s="107"/>
      <c r="AA5" s="107"/>
      <c r="AB5" s="107"/>
      <c r="AC5" s="107"/>
      <c r="AD5" s="107"/>
      <c r="AE5" s="107"/>
      <c r="AF5" s="107"/>
      <c r="AG5" s="107"/>
    </row>
    <row r="6" spans="2:33" x14ac:dyDescent="0.25">
      <c r="B6" t="s">
        <v>61</v>
      </c>
      <c r="C6" s="103">
        <f>'Stress Test Inputs'!$C$8*12*'Stress Test Inputs'!$D$3</f>
        <v>1728000</v>
      </c>
      <c r="D6" s="9">
        <f>C6*(1+'Stress Test Inputs'!$H$8+('Stress Test Financial Analysis'!$D$14*'Stress Test Financial Analysis'!$G$15))</f>
        <v>1775520.0000000002</v>
      </c>
      <c r="E6" s="9">
        <f>D6*(1+'Stress Test Inputs'!$H$8+('Stress Test Financial Analysis'!$D$14*'Stress Test Financial Analysis'!$G$15))</f>
        <v>1824346.8000000003</v>
      </c>
      <c r="F6" s="9">
        <f>E6*(1+'Stress Test Inputs'!$H$8+('Stress Test Financial Analysis'!$D$14*'Stress Test Financial Analysis'!$G$15))</f>
        <v>1874516.3370000005</v>
      </c>
      <c r="G6" s="9">
        <f>F6*(1+'Stress Test Inputs'!$H$8+('Stress Test Financial Analysis'!$D$14*'Stress Test Financial Analysis'!$G$15))</f>
        <v>1926065.5362675006</v>
      </c>
      <c r="I6" s="9">
        <f>G6*(1+'Stress Test Inputs'!$H$8+('Stress Test Financial Analysis'!$D$14*'Stress Test Financial Analysis'!$G$15))</f>
        <v>1979032.338514857</v>
      </c>
      <c r="M6" s="107"/>
      <c r="N6" s="107"/>
      <c r="O6" s="107"/>
      <c r="P6" s="107"/>
      <c r="Q6" s="107"/>
      <c r="R6" s="107"/>
      <c r="S6" s="107"/>
      <c r="T6" s="107"/>
      <c r="U6" s="107"/>
      <c r="V6" s="107"/>
      <c r="W6" s="107"/>
      <c r="X6" s="107"/>
      <c r="Y6" s="107"/>
      <c r="Z6" s="107"/>
      <c r="AA6" s="107"/>
      <c r="AB6" s="107"/>
      <c r="AC6" s="107"/>
      <c r="AD6" s="107"/>
      <c r="AE6" s="107"/>
      <c r="AF6" s="107"/>
      <c r="AG6" s="107"/>
    </row>
    <row r="7" spans="2:33" x14ac:dyDescent="0.25">
      <c r="B7" t="s">
        <v>58</v>
      </c>
      <c r="C7" s="103">
        <f>-(C6*'Stress Test Inputs'!$D$8)</f>
        <v>-120960.00000000001</v>
      </c>
      <c r="D7" s="9">
        <f>-(D6*('Stress Test Inputs'!$D$8-('Stress Test Financial Analysis'!$D$25*'Stress Test Financial Analysis'!$G$26)))</f>
        <v>-124286.40000000002</v>
      </c>
      <c r="E7" s="9">
        <f>-(E6*('Stress Test Inputs'!$D$8-('Stress Test Financial Analysis'!$D$25*'Stress Test Financial Analysis'!$G$26)))</f>
        <v>-127704.27600000003</v>
      </c>
      <c r="F7" s="9">
        <f>-(F6*('Stress Test Inputs'!$D$8-('Stress Test Financial Analysis'!$D$25*'Stress Test Financial Analysis'!$G$26)))</f>
        <v>-131216.14359000005</v>
      </c>
      <c r="G7" s="9">
        <f>-(G6*('Stress Test Inputs'!$D$8-('Stress Test Financial Analysis'!$D$25*'Stress Test Financial Analysis'!$G$26)))</f>
        <v>-134824.58753872506</v>
      </c>
      <c r="I7" s="9">
        <f>-(I6*('Stress Test Inputs'!$D$8-('Stress Test Financial Analysis'!$D$25*'Stress Test Financial Analysis'!$G$26)))</f>
        <v>-138532.26369604</v>
      </c>
      <c r="K7" t="s">
        <v>147</v>
      </c>
      <c r="M7" s="107"/>
      <c r="N7" s="107"/>
      <c r="O7" s="107"/>
      <c r="P7" s="107"/>
      <c r="Q7" s="107"/>
      <c r="R7" s="107"/>
      <c r="S7" s="107"/>
      <c r="T7" s="107"/>
      <c r="U7" s="107"/>
      <c r="V7" s="107"/>
      <c r="W7" s="107"/>
      <c r="X7" s="107"/>
      <c r="Y7" s="107"/>
      <c r="Z7" s="107"/>
      <c r="AA7" s="107"/>
      <c r="AB7" s="107"/>
      <c r="AC7" s="107"/>
      <c r="AD7" s="107"/>
      <c r="AE7" s="107"/>
      <c r="AF7" s="107"/>
      <c r="AG7" s="107"/>
    </row>
    <row r="8" spans="2:33" x14ac:dyDescent="0.25">
      <c r="B8" t="s">
        <v>59</v>
      </c>
      <c r="C8" s="103">
        <f>C6+C7</f>
        <v>1607040</v>
      </c>
      <c r="D8" s="9">
        <f t="shared" ref="D8:G8" si="0">D6+D7</f>
        <v>1651233.6</v>
      </c>
      <c r="E8" s="9">
        <f t="shared" si="0"/>
        <v>1696642.5240000002</v>
      </c>
      <c r="F8" s="9">
        <f t="shared" si="0"/>
        <v>1743300.1934100005</v>
      </c>
      <c r="G8" s="9">
        <f t="shared" si="0"/>
        <v>1791240.9487287756</v>
      </c>
      <c r="I8" s="9">
        <f t="shared" ref="I8" si="1">I6+I7</f>
        <v>1840500.074818817</v>
      </c>
      <c r="K8" s="2">
        <f>'Input Data'!E17+'Stress Test Financial Analysis'!D37*'Stress Test Financial Analysis'!G38</f>
        <v>7.4999999999999997E-2</v>
      </c>
      <c r="M8" s="107"/>
      <c r="N8" s="107"/>
      <c r="O8" s="107"/>
      <c r="P8" s="107"/>
      <c r="Q8" s="107"/>
      <c r="R8" s="107"/>
      <c r="S8" s="107"/>
      <c r="T8" s="107"/>
      <c r="U8" s="107"/>
      <c r="V8" s="107"/>
      <c r="W8" s="107"/>
      <c r="X8" s="107"/>
      <c r="Y8" s="107"/>
      <c r="Z8" s="107"/>
      <c r="AA8" s="107"/>
      <c r="AB8" s="107"/>
      <c r="AC8" s="107"/>
      <c r="AD8" s="107"/>
      <c r="AE8" s="107"/>
      <c r="AF8" s="107"/>
      <c r="AG8" s="107"/>
    </row>
    <row r="9" spans="2:33" x14ac:dyDescent="0.25">
      <c r="B9" t="s">
        <v>60</v>
      </c>
      <c r="C9" s="103">
        <f>C6*'Stress Test Inputs'!$E$8</f>
        <v>51840</v>
      </c>
      <c r="D9" s="9">
        <f>D6*'Stress Test Inputs'!$E$8</f>
        <v>53265.600000000006</v>
      </c>
      <c r="E9" s="9">
        <f>E6*'Stress Test Inputs'!$E$8</f>
        <v>54730.40400000001</v>
      </c>
      <c r="F9" s="9">
        <f>F6*'Stress Test Inputs'!$E$8</f>
        <v>56235.490110000013</v>
      </c>
      <c r="G9" s="9">
        <f>G6*'Stress Test Inputs'!$E$8</f>
        <v>57781.966088025016</v>
      </c>
      <c r="I9" s="9">
        <f>I6*'Stress Test Inputs'!$E$8</f>
        <v>59370.970155445706</v>
      </c>
      <c r="M9" s="107"/>
      <c r="N9" s="107"/>
      <c r="O9" s="107"/>
      <c r="P9" s="107"/>
      <c r="Q9" s="107"/>
      <c r="R9" s="107"/>
      <c r="S9" s="107"/>
      <c r="T9" s="107"/>
      <c r="U9" s="107"/>
      <c r="V9" s="107"/>
      <c r="W9" s="107"/>
      <c r="X9" s="107"/>
      <c r="Y9" s="107"/>
      <c r="Z9" s="107"/>
      <c r="AA9" s="107"/>
      <c r="AB9" s="107"/>
      <c r="AC9" s="107"/>
      <c r="AD9" s="107"/>
      <c r="AE9" s="107"/>
      <c r="AF9" s="107"/>
      <c r="AG9" s="107"/>
    </row>
    <row r="10" spans="2:33" x14ac:dyDescent="0.25">
      <c r="B10" s="15" t="s">
        <v>62</v>
      </c>
      <c r="C10" s="104">
        <f>C8+C9</f>
        <v>1658880</v>
      </c>
      <c r="D10" s="16">
        <f t="shared" ref="D10:G10" si="2">D8+D9</f>
        <v>1704499.2000000002</v>
      </c>
      <c r="E10" s="16">
        <f t="shared" si="2"/>
        <v>1751372.9280000003</v>
      </c>
      <c r="F10" s="16">
        <f t="shared" si="2"/>
        <v>1799535.6835200004</v>
      </c>
      <c r="G10" s="16">
        <f t="shared" si="2"/>
        <v>1849022.9148168005</v>
      </c>
      <c r="I10" s="16">
        <f t="shared" ref="I10" si="3">I8+I9</f>
        <v>1899871.0449742626</v>
      </c>
      <c r="K10" s="89" t="str">
        <f>'Property Pro Forma Financials'!M7</f>
        <v>Exit Price at exit cap rate and year 5 NOI</v>
      </c>
      <c r="M10" s="107"/>
      <c r="N10" s="107"/>
      <c r="O10" s="107"/>
      <c r="P10" s="107"/>
      <c r="Q10" s="107"/>
      <c r="R10" s="107"/>
      <c r="S10" s="107"/>
      <c r="T10" s="107"/>
      <c r="U10" s="107"/>
      <c r="V10" s="107"/>
      <c r="W10" s="107"/>
      <c r="X10" s="107"/>
      <c r="Y10" s="107"/>
      <c r="Z10" s="107"/>
      <c r="AA10" s="107"/>
      <c r="AB10" s="107"/>
      <c r="AC10" s="107"/>
      <c r="AD10" s="107"/>
      <c r="AE10" s="107"/>
      <c r="AF10" s="107"/>
      <c r="AG10" s="107"/>
    </row>
    <row r="11" spans="2:33" x14ac:dyDescent="0.25">
      <c r="C11" s="64"/>
      <c r="K11" s="9">
        <f>I25/K8</f>
        <v>15237311.588214979</v>
      </c>
      <c r="M11" s="107"/>
      <c r="N11" s="107"/>
      <c r="O11" s="107"/>
      <c r="P11" s="107"/>
      <c r="Q11" s="107"/>
      <c r="R11" s="107"/>
      <c r="S11" s="107"/>
      <c r="T11" s="107"/>
      <c r="U11" s="107"/>
      <c r="V11" s="107"/>
      <c r="W11" s="107"/>
      <c r="X11" s="107"/>
      <c r="Y11" s="107"/>
      <c r="Z11" s="107"/>
      <c r="AA11" s="107"/>
      <c r="AB11" s="107"/>
      <c r="AC11" s="107"/>
      <c r="AD11" s="107"/>
      <c r="AE11" s="107"/>
      <c r="AF11" s="107"/>
      <c r="AG11" s="107"/>
    </row>
    <row r="12" spans="2:33" ht="15.75" x14ac:dyDescent="0.25">
      <c r="B12" s="14" t="s">
        <v>64</v>
      </c>
      <c r="C12" s="64"/>
      <c r="M12" s="107"/>
      <c r="N12" s="107"/>
      <c r="O12" s="107"/>
      <c r="P12" s="107"/>
      <c r="Q12" s="107"/>
      <c r="R12" s="107"/>
      <c r="S12" s="107"/>
      <c r="T12" s="107"/>
      <c r="U12" s="107"/>
      <c r="V12" s="107"/>
      <c r="W12" s="107"/>
      <c r="X12" s="107"/>
      <c r="Y12" s="107"/>
      <c r="Z12" s="107"/>
      <c r="AA12" s="107"/>
      <c r="AB12" s="107"/>
      <c r="AC12" s="107"/>
      <c r="AD12" s="107"/>
      <c r="AE12" s="107"/>
      <c r="AF12" s="107"/>
      <c r="AG12" s="107"/>
    </row>
    <row r="13" spans="2:33" x14ac:dyDescent="0.25">
      <c r="B13" t="s">
        <v>65</v>
      </c>
      <c r="C13" s="103">
        <f>C10*'Stress Test Inputs'!$B$12</f>
        <v>99532.800000000003</v>
      </c>
      <c r="D13" s="9">
        <f>D10*'Stress Test Inputs'!$B$12</f>
        <v>102269.952</v>
      </c>
      <c r="E13" s="9">
        <f>E10*'Stress Test Inputs'!$B$12</f>
        <v>105082.37568000001</v>
      </c>
      <c r="F13" s="9">
        <f>F10*'Stress Test Inputs'!$B$12</f>
        <v>107972.14101120002</v>
      </c>
      <c r="G13" s="9">
        <f>G10*'Stress Test Inputs'!$B$12</f>
        <v>110941.37488900803</v>
      </c>
      <c r="I13" s="9">
        <f>I10*'Stress Test Inputs'!$B$12</f>
        <v>113992.26269845576</v>
      </c>
      <c r="M13" s="107"/>
      <c r="N13" s="107"/>
      <c r="O13" s="107"/>
      <c r="P13" s="107"/>
      <c r="Q13" s="107"/>
      <c r="R13" s="107"/>
      <c r="S13" s="107"/>
      <c r="T13" s="107"/>
      <c r="U13" s="107"/>
      <c r="V13" s="107"/>
      <c r="W13" s="107"/>
      <c r="X13" s="107"/>
      <c r="Y13" s="107"/>
      <c r="Z13" s="107"/>
      <c r="AA13" s="107"/>
      <c r="AB13" s="107"/>
      <c r="AC13" s="107"/>
      <c r="AD13" s="107"/>
      <c r="AE13" s="107"/>
      <c r="AF13" s="107"/>
      <c r="AG13" s="107"/>
    </row>
    <row r="14" spans="2:33" x14ac:dyDescent="0.25">
      <c r="B14" t="s">
        <v>66</v>
      </c>
      <c r="C14" s="103">
        <f>C10*'Stress Test Inputs'!$C$12</f>
        <v>82944</v>
      </c>
      <c r="D14" s="9">
        <f>D10*'Stress Test Inputs'!$C$12</f>
        <v>85224.960000000021</v>
      </c>
      <c r="E14" s="9">
        <f>E10*'Stress Test Inputs'!$C$12</f>
        <v>87568.646400000027</v>
      </c>
      <c r="F14" s="9">
        <f>F10*'Stress Test Inputs'!$C$12</f>
        <v>89976.78417600003</v>
      </c>
      <c r="G14" s="9">
        <f>G10*'Stress Test Inputs'!$C$12</f>
        <v>92451.145740840031</v>
      </c>
      <c r="I14" s="9">
        <f>I10*'Stress Test Inputs'!$C$12</f>
        <v>94993.552248713138</v>
      </c>
      <c r="M14" s="107"/>
      <c r="N14" s="107"/>
      <c r="O14" s="107"/>
      <c r="P14" s="107"/>
      <c r="Q14" s="107"/>
      <c r="R14" s="107"/>
      <c r="S14" s="107"/>
      <c r="T14" s="107"/>
      <c r="U14" s="107"/>
      <c r="V14" s="107"/>
      <c r="W14" s="107"/>
      <c r="X14" s="107"/>
      <c r="Y14" s="107"/>
      <c r="Z14" s="107"/>
      <c r="AA14" s="107"/>
      <c r="AB14" s="107"/>
      <c r="AC14" s="107"/>
      <c r="AD14" s="107"/>
      <c r="AE14" s="107"/>
      <c r="AF14" s="107"/>
      <c r="AG14" s="107"/>
    </row>
    <row r="15" spans="2:33" x14ac:dyDescent="0.25">
      <c r="B15" t="s">
        <v>21</v>
      </c>
      <c r="C15" s="103">
        <f>C10*'Stress Test Inputs'!$D$12</f>
        <v>124416</v>
      </c>
      <c r="D15" s="9">
        <f>D10*'Stress Test Inputs'!$D$12</f>
        <v>127837.44</v>
      </c>
      <c r="E15" s="9">
        <f>E10*'Stress Test Inputs'!$D$12</f>
        <v>131352.96960000001</v>
      </c>
      <c r="F15" s="9">
        <f>F10*'Stress Test Inputs'!$D$12</f>
        <v>134965.17626400004</v>
      </c>
      <c r="G15" s="9">
        <f>G10*'Stress Test Inputs'!$D$12</f>
        <v>138676.71861126003</v>
      </c>
      <c r="I15" s="9">
        <f>I10*'Stress Test Inputs'!$D$12</f>
        <v>142490.3283730697</v>
      </c>
      <c r="M15" s="107"/>
      <c r="N15" s="107"/>
      <c r="O15" s="107"/>
      <c r="P15" s="107"/>
      <c r="Q15" s="107"/>
      <c r="R15" s="107"/>
      <c r="S15" s="107"/>
      <c r="T15" s="107"/>
      <c r="U15" s="107"/>
      <c r="V15" s="107"/>
      <c r="W15" s="107"/>
      <c r="X15" s="107"/>
      <c r="Y15" s="107"/>
      <c r="Z15" s="107"/>
      <c r="AA15" s="107"/>
      <c r="AB15" s="107"/>
      <c r="AC15" s="107"/>
      <c r="AD15" s="107"/>
      <c r="AE15" s="107"/>
      <c r="AF15" s="107"/>
      <c r="AG15" s="107"/>
    </row>
    <row r="16" spans="2:33" x14ac:dyDescent="0.25">
      <c r="B16" t="s">
        <v>67</v>
      </c>
      <c r="C16" s="103">
        <f>C10*'Stress Test Inputs'!$E$12</f>
        <v>82944</v>
      </c>
      <c r="D16" s="9">
        <f>D10*'Stress Test Inputs'!$E$12</f>
        <v>85224.960000000021</v>
      </c>
      <c r="E16" s="9">
        <f>E10*'Stress Test Inputs'!$E$12</f>
        <v>87568.646400000027</v>
      </c>
      <c r="F16" s="9">
        <f>F10*'Stress Test Inputs'!$E$12</f>
        <v>89976.78417600003</v>
      </c>
      <c r="G16" s="9">
        <f>G10*'Stress Test Inputs'!$E$12</f>
        <v>92451.145740840031</v>
      </c>
      <c r="I16" s="9">
        <f>I10*'Stress Test Inputs'!$E$12</f>
        <v>94993.552248713138</v>
      </c>
      <c r="M16" s="107"/>
      <c r="N16" s="107"/>
      <c r="O16" s="107"/>
      <c r="P16" s="107"/>
      <c r="Q16" s="107"/>
      <c r="R16" s="107"/>
      <c r="S16" s="107"/>
      <c r="T16" s="107"/>
      <c r="U16" s="107"/>
      <c r="V16" s="107"/>
      <c r="W16" s="107"/>
      <c r="X16" s="107"/>
      <c r="Y16" s="107"/>
      <c r="Z16" s="107"/>
      <c r="AA16" s="107"/>
      <c r="AB16" s="107"/>
      <c r="AC16" s="107"/>
      <c r="AD16" s="107"/>
      <c r="AE16" s="107"/>
      <c r="AF16" s="107"/>
      <c r="AG16" s="107"/>
    </row>
    <row r="17" spans="2:33" x14ac:dyDescent="0.25">
      <c r="B17" s="15" t="s">
        <v>68</v>
      </c>
      <c r="C17" s="104">
        <f>SUM(C13:C16)</f>
        <v>389836.79999999999</v>
      </c>
      <c r="D17" s="16">
        <f t="shared" ref="D17:G17" si="4">SUM(D13:D16)</f>
        <v>400557.31200000003</v>
      </c>
      <c r="E17" s="16">
        <f t="shared" si="4"/>
        <v>411572.63808000006</v>
      </c>
      <c r="F17" s="16">
        <f t="shared" si="4"/>
        <v>422890.88562720013</v>
      </c>
      <c r="G17" s="16">
        <f t="shared" si="4"/>
        <v>434520.38498194807</v>
      </c>
      <c r="I17" s="16">
        <f t="shared" ref="I17" si="5">SUM(I13:I16)</f>
        <v>446469.69556895172</v>
      </c>
      <c r="K17" s="89" t="s">
        <v>96</v>
      </c>
      <c r="M17" s="107"/>
      <c r="N17" s="107"/>
      <c r="O17" s="107"/>
      <c r="P17" s="107"/>
      <c r="Q17" s="107"/>
      <c r="R17" s="107"/>
      <c r="S17" s="107"/>
      <c r="T17" s="107"/>
      <c r="U17" s="107"/>
      <c r="V17" s="107"/>
      <c r="W17" s="107"/>
      <c r="X17" s="107"/>
      <c r="Y17" s="107"/>
      <c r="Z17" s="107"/>
      <c r="AA17" s="107"/>
      <c r="AB17" s="107"/>
      <c r="AC17" s="107"/>
      <c r="AD17" s="107"/>
      <c r="AE17" s="107"/>
      <c r="AF17" s="107"/>
      <c r="AG17" s="107"/>
    </row>
    <row r="18" spans="2:33" x14ac:dyDescent="0.25">
      <c r="C18" s="64"/>
      <c r="K18" s="2">
        <v>2.5000000000000001E-2</v>
      </c>
      <c r="M18" s="107"/>
      <c r="N18" s="107"/>
      <c r="O18" s="107"/>
      <c r="P18" s="107"/>
      <c r="Q18" s="107"/>
      <c r="R18" s="107"/>
      <c r="S18" s="107"/>
      <c r="T18" s="107"/>
      <c r="U18" s="107"/>
      <c r="V18" s="107"/>
      <c r="W18" s="107"/>
      <c r="X18" s="107"/>
      <c r="Y18" s="107"/>
      <c r="Z18" s="107"/>
      <c r="AA18" s="107"/>
      <c r="AB18" s="107"/>
      <c r="AC18" s="107"/>
      <c r="AD18" s="107"/>
      <c r="AE18" s="107"/>
      <c r="AF18" s="107"/>
      <c r="AG18" s="107"/>
    </row>
    <row r="19" spans="2:33" x14ac:dyDescent="0.25">
      <c r="B19" t="s">
        <v>69</v>
      </c>
      <c r="C19" s="103">
        <f>'Stress Test Inputs'!$H$12*'Stress Test Inputs'!$D$3</f>
        <v>40800</v>
      </c>
      <c r="D19" s="9">
        <f t="shared" ref="D19:G20" si="6">C19*(1+$K$18)</f>
        <v>41820</v>
      </c>
      <c r="E19" s="9">
        <f t="shared" si="6"/>
        <v>42865.499999999993</v>
      </c>
      <c r="F19" s="9">
        <f t="shared" si="6"/>
        <v>43937.13749999999</v>
      </c>
      <c r="G19" s="9">
        <f t="shared" si="6"/>
        <v>45035.565937499989</v>
      </c>
      <c r="I19" s="9">
        <f>G19*(1+$K$18)</f>
        <v>46161.455085937487</v>
      </c>
      <c r="M19" s="107"/>
      <c r="N19" s="107"/>
      <c r="O19" s="107"/>
      <c r="P19" s="107"/>
      <c r="Q19" s="107"/>
      <c r="R19" s="107"/>
      <c r="S19" s="107"/>
      <c r="T19" s="107"/>
      <c r="U19" s="107"/>
      <c r="V19" s="107"/>
      <c r="W19" s="107"/>
      <c r="X19" s="107"/>
      <c r="Y19" s="107"/>
      <c r="Z19" s="107"/>
      <c r="AA19" s="107"/>
      <c r="AB19" s="107"/>
      <c r="AC19" s="107"/>
      <c r="AD19" s="107"/>
      <c r="AE19" s="107"/>
      <c r="AF19" s="107"/>
      <c r="AG19" s="107"/>
    </row>
    <row r="20" spans="2:33" x14ac:dyDescent="0.25">
      <c r="B20" t="s">
        <v>70</v>
      </c>
      <c r="C20" s="103">
        <f>'Stress Test Inputs'!$I$12*'Stress Test Inputs'!$D$3</f>
        <v>28800</v>
      </c>
      <c r="D20" s="9">
        <f t="shared" si="6"/>
        <v>29519.999999999996</v>
      </c>
      <c r="E20" s="9">
        <f t="shared" si="6"/>
        <v>30257.999999999993</v>
      </c>
      <c r="F20" s="9">
        <f t="shared" si="6"/>
        <v>31014.44999999999</v>
      </c>
      <c r="G20" s="9">
        <f t="shared" si="6"/>
        <v>31789.811249999988</v>
      </c>
      <c r="I20" s="9">
        <f>G20*(1+$K$18)</f>
        <v>32584.556531249986</v>
      </c>
      <c r="M20" s="107"/>
      <c r="N20" s="107"/>
      <c r="O20" s="107"/>
      <c r="P20" s="107"/>
      <c r="Q20" s="107"/>
      <c r="R20" s="107"/>
      <c r="S20" s="107"/>
      <c r="T20" s="107"/>
      <c r="U20" s="107"/>
      <c r="V20" s="107"/>
      <c r="W20" s="107"/>
      <c r="X20" s="107"/>
      <c r="Y20" s="107"/>
      <c r="Z20" s="107"/>
      <c r="AA20" s="107"/>
      <c r="AB20" s="107"/>
      <c r="AC20" s="107"/>
      <c r="AD20" s="107"/>
      <c r="AE20" s="107"/>
      <c r="AF20" s="107"/>
      <c r="AG20" s="107"/>
    </row>
    <row r="21" spans="2:33" x14ac:dyDescent="0.25">
      <c r="B21" s="15" t="s">
        <v>71</v>
      </c>
      <c r="C21" s="104">
        <f>SUM(C19:C20)</f>
        <v>69600</v>
      </c>
      <c r="D21" s="16">
        <f t="shared" ref="D21:G21" si="7">SUM(D19:D20)</f>
        <v>71340</v>
      </c>
      <c r="E21" s="16">
        <f t="shared" si="7"/>
        <v>73123.499999999985</v>
      </c>
      <c r="F21" s="16">
        <f t="shared" si="7"/>
        <v>74951.58749999998</v>
      </c>
      <c r="G21" s="16">
        <f t="shared" si="7"/>
        <v>76825.37718749998</v>
      </c>
      <c r="I21" s="16">
        <f t="shared" ref="I21" si="8">SUM(I19:I20)</f>
        <v>78746.011617187469</v>
      </c>
      <c r="M21" s="107"/>
      <c r="N21" s="107"/>
      <c r="O21" s="107"/>
      <c r="P21" s="107"/>
      <c r="Q21" s="107"/>
      <c r="R21" s="107"/>
      <c r="S21" s="107"/>
      <c r="T21" s="107"/>
      <c r="U21" s="107"/>
      <c r="V21" s="107"/>
      <c r="W21" s="107"/>
      <c r="X21" s="107"/>
      <c r="Y21" s="107"/>
      <c r="Z21" s="107"/>
      <c r="AA21" s="107"/>
      <c r="AB21" s="107"/>
      <c r="AC21" s="107"/>
      <c r="AD21" s="107"/>
      <c r="AE21" s="107"/>
      <c r="AF21" s="107"/>
      <c r="AG21" s="107"/>
    </row>
    <row r="22" spans="2:33" x14ac:dyDescent="0.25">
      <c r="C22" s="64"/>
      <c r="M22" s="107"/>
      <c r="N22" s="107"/>
      <c r="O22" s="107"/>
      <c r="P22" s="107"/>
      <c r="Q22" s="107"/>
      <c r="R22" s="107"/>
      <c r="S22" s="107"/>
      <c r="T22" s="107"/>
      <c r="U22" s="107"/>
      <c r="V22" s="107"/>
      <c r="W22" s="107"/>
      <c r="X22" s="107"/>
      <c r="Y22" s="107"/>
      <c r="Z22" s="107"/>
      <c r="AA22" s="107"/>
      <c r="AB22" s="107"/>
      <c r="AC22" s="107"/>
      <c r="AD22" s="107"/>
      <c r="AE22" s="107"/>
      <c r="AF22" s="107"/>
      <c r="AG22" s="107"/>
    </row>
    <row r="23" spans="2:33" ht="15.75" x14ac:dyDescent="0.25">
      <c r="B23" s="14" t="s">
        <v>72</v>
      </c>
      <c r="C23" s="103">
        <f>'Stress Test Inputs'!$F$12*'Stress Test Inputs'!$B$17</f>
        <v>210000</v>
      </c>
      <c r="D23" s="9">
        <f>C23*(1+$K$24)</f>
        <v>214200</v>
      </c>
      <c r="E23" s="9">
        <f>D23*(1+$K$24)</f>
        <v>218484</v>
      </c>
      <c r="F23" s="9">
        <f>E23*(1+$K$24)</f>
        <v>222853.68</v>
      </c>
      <c r="G23" s="9">
        <f>F23*(1+$K$24)</f>
        <v>227310.7536</v>
      </c>
      <c r="I23" s="9">
        <f>G23*(1+$K$24)</f>
        <v>231856.96867199999</v>
      </c>
      <c r="K23" s="89" t="s">
        <v>98</v>
      </c>
      <c r="M23" s="107"/>
      <c r="N23" s="107"/>
      <c r="O23" s="107"/>
      <c r="P23" s="107"/>
      <c r="Q23" s="107"/>
      <c r="R23" s="107"/>
      <c r="S23" s="107"/>
      <c r="T23" s="107"/>
      <c r="U23" s="107"/>
      <c r="V23" s="107"/>
      <c r="W23" s="107"/>
      <c r="X23" s="107"/>
      <c r="Y23" s="107"/>
      <c r="Z23" s="107"/>
      <c r="AA23" s="107"/>
      <c r="AB23" s="107"/>
      <c r="AC23" s="107"/>
      <c r="AD23" s="107"/>
      <c r="AE23" s="107"/>
      <c r="AF23" s="107"/>
      <c r="AG23" s="107"/>
    </row>
    <row r="24" spans="2:33" x14ac:dyDescent="0.25">
      <c r="C24" s="64"/>
      <c r="K24" s="1">
        <v>0.02</v>
      </c>
      <c r="M24" s="107"/>
      <c r="N24" s="107"/>
      <c r="O24" s="107"/>
      <c r="P24" s="107"/>
      <c r="Q24" s="107"/>
      <c r="R24" s="107"/>
      <c r="S24" s="107"/>
      <c r="T24" s="107"/>
      <c r="U24" s="107"/>
      <c r="V24" s="107"/>
      <c r="W24" s="107"/>
      <c r="X24" s="107"/>
      <c r="Y24" s="107"/>
      <c r="Z24" s="107"/>
      <c r="AA24" s="107"/>
      <c r="AB24" s="107"/>
      <c r="AC24" s="107"/>
      <c r="AD24" s="107"/>
      <c r="AE24" s="107"/>
      <c r="AF24" s="107"/>
      <c r="AG24" s="107"/>
    </row>
    <row r="25" spans="2:33" x14ac:dyDescent="0.25">
      <c r="B25" t="s">
        <v>84</v>
      </c>
      <c r="C25" s="103">
        <f>C10-C17-C21-C23</f>
        <v>989443.2</v>
      </c>
      <c r="D25" s="9">
        <f>D10-D17-D21-D23</f>
        <v>1018401.8880000003</v>
      </c>
      <c r="E25" s="9">
        <f t="shared" ref="E25:G25" si="9">E10-E17-E21-E23</f>
        <v>1048192.7899200004</v>
      </c>
      <c r="F25" s="9">
        <f t="shared" si="9"/>
        <v>1078839.5303928005</v>
      </c>
      <c r="G25" s="9">
        <f t="shared" si="9"/>
        <v>1110366.3990473526</v>
      </c>
      <c r="I25" s="9">
        <f t="shared" ref="I25" si="10">I10-I17-I21-I23</f>
        <v>1142798.3691161233</v>
      </c>
      <c r="M25" s="107"/>
      <c r="N25" s="107"/>
      <c r="O25" s="107"/>
      <c r="P25" s="107"/>
      <c r="Q25" s="107"/>
      <c r="R25" s="107"/>
      <c r="S25" s="107"/>
      <c r="T25" s="107"/>
      <c r="U25" s="107"/>
      <c r="V25" s="107"/>
      <c r="W25" s="107"/>
      <c r="X25" s="107"/>
      <c r="Y25" s="107"/>
      <c r="Z25" s="107"/>
      <c r="AA25" s="107"/>
      <c r="AB25" s="107"/>
      <c r="AC25" s="107"/>
      <c r="AD25" s="107"/>
      <c r="AE25" s="107"/>
      <c r="AF25" s="107"/>
      <c r="AG25" s="107"/>
    </row>
    <row r="26" spans="2:33" x14ac:dyDescent="0.25">
      <c r="C26" s="64"/>
      <c r="M26" s="107"/>
      <c r="N26" s="107"/>
      <c r="O26" s="107"/>
      <c r="P26" s="107"/>
      <c r="Q26" s="107"/>
      <c r="R26" s="107"/>
      <c r="S26" s="107"/>
      <c r="T26" s="107"/>
      <c r="U26" s="107"/>
      <c r="V26" s="107"/>
      <c r="W26" s="107"/>
      <c r="X26" s="107"/>
      <c r="Y26" s="107"/>
      <c r="Z26" s="107"/>
      <c r="AA26" s="107"/>
      <c r="AB26" s="107"/>
      <c r="AC26" s="107"/>
      <c r="AD26" s="107"/>
      <c r="AE26" s="107"/>
      <c r="AF26" s="107"/>
      <c r="AG26" s="107"/>
    </row>
    <row r="27" spans="2:33" x14ac:dyDescent="0.25">
      <c r="B27" t="s">
        <v>92</v>
      </c>
      <c r="C27" s="94">
        <f>SUM('Stress Test Debt Calc'!E3:E14)</f>
        <v>805429.45034883113</v>
      </c>
      <c r="D27" s="7">
        <f>SUM('Stress Test Debt Calc'!E15:E26)</f>
        <v>805429.45034883113</v>
      </c>
      <c r="E27" s="7">
        <f>SUM('Stress Test Debt Calc'!E27:E38)</f>
        <v>791256.62385593972</v>
      </c>
      <c r="F27" s="7">
        <f>SUM('Stress Test Debt Calc'!E39:E50)</f>
        <v>781133.17636101728</v>
      </c>
      <c r="G27" s="7">
        <f>SUM('Stress Test Debt Calc'!E51:E62)</f>
        <v>781133.17636101728</v>
      </c>
      <c r="I27" s="7">
        <f>SUM('Stress Test Debt Calc'!E63:E74)</f>
        <v>781133.17636101728</v>
      </c>
      <c r="M27" s="107"/>
      <c r="N27" s="107"/>
      <c r="O27" s="107"/>
      <c r="P27" s="107"/>
      <c r="Q27" s="107"/>
      <c r="R27" s="107"/>
      <c r="S27" s="107"/>
      <c r="T27" s="107"/>
      <c r="U27" s="107"/>
      <c r="V27" s="107"/>
      <c r="W27" s="107"/>
      <c r="X27" s="107"/>
      <c r="Y27" s="107"/>
      <c r="Z27" s="107"/>
      <c r="AA27" s="107"/>
      <c r="AB27" s="107"/>
      <c r="AC27" s="107"/>
      <c r="AD27" s="107"/>
      <c r="AE27" s="107"/>
      <c r="AF27" s="107"/>
      <c r="AG27" s="107"/>
    </row>
    <row r="28" spans="2:33" x14ac:dyDescent="0.25">
      <c r="C28" s="64"/>
      <c r="M28" s="107"/>
      <c r="N28" s="107"/>
      <c r="O28" s="107"/>
      <c r="P28" s="107"/>
      <c r="Q28" s="107"/>
      <c r="R28" s="107"/>
      <c r="S28" s="107"/>
      <c r="T28" s="107"/>
      <c r="U28" s="107"/>
      <c r="V28" s="107"/>
      <c r="W28" s="107"/>
      <c r="X28" s="107"/>
      <c r="Y28" s="107"/>
      <c r="Z28" s="107"/>
      <c r="AA28" s="107"/>
      <c r="AB28" s="107"/>
      <c r="AC28" s="107"/>
      <c r="AD28" s="107"/>
      <c r="AE28" s="107"/>
      <c r="AF28" s="107"/>
      <c r="AG28" s="107"/>
    </row>
    <row r="29" spans="2:33" x14ac:dyDescent="0.25">
      <c r="B29" t="s">
        <v>80</v>
      </c>
      <c r="C29" s="103">
        <f>'Stress Test Inputs'!C27*'Stress Test Inputs'!B17</f>
        <v>10920000</v>
      </c>
      <c r="D29" s="9"/>
      <c r="E29" s="9"/>
      <c r="F29" s="9"/>
      <c r="G29" s="9"/>
      <c r="I29" s="9"/>
      <c r="M29" s="107"/>
      <c r="N29" s="107"/>
      <c r="O29" s="107"/>
      <c r="P29" s="107"/>
      <c r="Q29" s="107"/>
      <c r="R29" s="107"/>
      <c r="S29" s="107"/>
      <c r="T29" s="107"/>
      <c r="U29" s="107"/>
      <c r="V29" s="107"/>
      <c r="W29" s="107"/>
      <c r="X29" s="107"/>
      <c r="Y29" s="107"/>
      <c r="Z29" s="107"/>
      <c r="AA29" s="107"/>
      <c r="AB29" s="107"/>
      <c r="AC29" s="107"/>
      <c r="AD29" s="107"/>
      <c r="AE29" s="107"/>
      <c r="AF29" s="107"/>
      <c r="AG29" s="107"/>
    </row>
    <row r="30" spans="2:33" x14ac:dyDescent="0.25">
      <c r="B30" t="s">
        <v>95</v>
      </c>
      <c r="C30" s="105">
        <f>C25/C27</f>
        <v>1.228466626805703</v>
      </c>
      <c r="D30" s="25">
        <f>D25/D27</f>
        <v>1.2644209713947396</v>
      </c>
      <c r="E30" s="25">
        <f>E25/E27</f>
        <v>1.3247191344976845</v>
      </c>
      <c r="F30" s="25">
        <f t="shared" ref="F30" si="11">F25/F27</f>
        <v>1.3811211238251029</v>
      </c>
      <c r="G30" s="25">
        <f>G25/G27</f>
        <v>1.4214815509694512</v>
      </c>
      <c r="I30" s="25">
        <f>I25/I27</f>
        <v>1.4630006811898035</v>
      </c>
      <c r="M30" s="107"/>
      <c r="N30" s="107"/>
      <c r="O30" s="107"/>
      <c r="P30" s="107"/>
      <c r="Q30" s="107"/>
      <c r="R30" s="107"/>
      <c r="S30" s="107"/>
      <c r="T30" s="107"/>
      <c r="U30" s="107"/>
      <c r="V30" s="107"/>
      <c r="W30" s="107"/>
      <c r="X30" s="107"/>
      <c r="Y30" s="107"/>
      <c r="Z30" s="107"/>
      <c r="AA30" s="107"/>
      <c r="AB30" s="107"/>
      <c r="AC30" s="107"/>
      <c r="AD30" s="107"/>
      <c r="AE30" s="107"/>
      <c r="AF30" s="107"/>
      <c r="AG30" s="107"/>
    </row>
    <row r="31" spans="2:33" x14ac:dyDescent="0.25">
      <c r="M31" s="107"/>
      <c r="N31" s="107"/>
      <c r="O31" s="107"/>
      <c r="P31" s="107"/>
      <c r="Q31" s="107"/>
      <c r="R31" s="107"/>
      <c r="S31" s="107"/>
      <c r="T31" s="107"/>
      <c r="U31" s="107"/>
      <c r="V31" s="107"/>
      <c r="W31" s="107"/>
      <c r="X31" s="107"/>
      <c r="Y31" s="107"/>
      <c r="Z31" s="107"/>
      <c r="AA31" s="107"/>
      <c r="AB31" s="107"/>
      <c r="AC31" s="107"/>
      <c r="AD31" s="107"/>
      <c r="AE31" s="107"/>
      <c r="AF31" s="107"/>
      <c r="AG31" s="107"/>
    </row>
    <row r="32" spans="2:33" x14ac:dyDescent="0.25">
      <c r="M32" s="107"/>
      <c r="N32" s="107"/>
      <c r="O32" s="107"/>
      <c r="P32" s="107"/>
      <c r="Q32" s="107"/>
      <c r="R32" s="107"/>
      <c r="S32" s="107"/>
      <c r="T32" s="107"/>
      <c r="U32" s="107"/>
      <c r="V32" s="107"/>
      <c r="W32" s="107"/>
      <c r="X32" s="107"/>
      <c r="Y32" s="107"/>
      <c r="Z32" s="107"/>
      <c r="AA32" s="107"/>
      <c r="AB32" s="107"/>
      <c r="AC32" s="107"/>
      <c r="AD32" s="107"/>
      <c r="AE32" s="107"/>
      <c r="AF32" s="107"/>
      <c r="AG32" s="107"/>
    </row>
    <row r="33" spans="1:33" x14ac:dyDescent="0.25">
      <c r="M33" s="107"/>
      <c r="N33" s="107"/>
      <c r="O33" s="107"/>
      <c r="P33" s="107"/>
      <c r="Q33" s="107"/>
      <c r="R33" s="107"/>
      <c r="S33" s="107"/>
      <c r="T33" s="107"/>
      <c r="U33" s="107"/>
      <c r="V33" s="107"/>
      <c r="W33" s="107"/>
      <c r="X33" s="107"/>
      <c r="Y33" s="107"/>
      <c r="Z33" s="107"/>
      <c r="AA33" s="107"/>
      <c r="AB33" s="107"/>
      <c r="AC33" s="107"/>
      <c r="AD33" s="107"/>
      <c r="AE33" s="107"/>
      <c r="AF33" s="107"/>
      <c r="AG33" s="107"/>
    </row>
    <row r="34" spans="1:33" x14ac:dyDescent="0.25">
      <c r="M34" s="107"/>
      <c r="N34" s="107"/>
      <c r="O34" s="107"/>
      <c r="P34" s="107"/>
      <c r="Q34" s="107"/>
      <c r="R34" s="107"/>
      <c r="S34" s="107"/>
      <c r="T34" s="107"/>
      <c r="U34" s="107"/>
      <c r="V34" s="107"/>
      <c r="W34" s="107"/>
      <c r="X34" s="107"/>
      <c r="Y34" s="107"/>
      <c r="Z34" s="107"/>
      <c r="AA34" s="107"/>
      <c r="AB34" s="107"/>
      <c r="AC34" s="107"/>
      <c r="AD34" s="107"/>
      <c r="AE34" s="107"/>
      <c r="AF34" s="107"/>
      <c r="AG34" s="107"/>
    </row>
    <row r="35" spans="1:33" x14ac:dyDescent="0.25">
      <c r="B35" s="30" t="str">
        <f>'Stress Test Inputs'!B25</f>
        <v>Limits On Loan</v>
      </c>
      <c r="M35" s="107"/>
      <c r="N35" s="107"/>
      <c r="O35" s="107"/>
      <c r="P35" s="107"/>
      <c r="Q35" s="107"/>
      <c r="R35" s="107"/>
      <c r="S35" s="107"/>
      <c r="T35" s="107"/>
      <c r="U35" s="107"/>
      <c r="V35" s="107"/>
      <c r="W35" s="107"/>
      <c r="X35" s="107"/>
      <c r="Y35" s="107"/>
      <c r="Z35" s="107"/>
      <c r="AA35" s="107"/>
      <c r="AB35" s="107"/>
      <c r="AC35" s="107"/>
      <c r="AD35" s="107"/>
      <c r="AE35" s="107"/>
      <c r="AF35" s="107"/>
      <c r="AG35" s="107"/>
    </row>
    <row r="36" spans="1:33" x14ac:dyDescent="0.25">
      <c r="B36" s="39" t="str">
        <f>'Stress Test Inputs'!B26</f>
        <v>Minimum DSCR</v>
      </c>
      <c r="C36" s="40" t="str">
        <f>'Stress Test Inputs'!C26</f>
        <v>Maximum LTV</v>
      </c>
      <c r="D36" s="41" t="str">
        <f>'Stress Test Inputs'!D26</f>
        <v>Minimum Debt Yield</v>
      </c>
      <c r="M36" s="107"/>
      <c r="N36" s="107"/>
      <c r="O36" s="107"/>
      <c r="P36" s="107"/>
      <c r="Q36" s="107"/>
      <c r="R36" s="107"/>
      <c r="S36" s="107"/>
      <c r="T36" s="107"/>
      <c r="U36" s="107"/>
      <c r="V36" s="107"/>
      <c r="W36" s="107"/>
      <c r="X36" s="107"/>
      <c r="Y36" s="107"/>
      <c r="Z36" s="107"/>
      <c r="AA36" s="107"/>
      <c r="AB36" s="107"/>
      <c r="AC36" s="107"/>
      <c r="AD36" s="107"/>
      <c r="AE36" s="107"/>
      <c r="AF36" s="107"/>
      <c r="AG36" s="107"/>
    </row>
    <row r="37" spans="1:33" x14ac:dyDescent="0.25">
      <c r="B37" s="56">
        <f>'Stress Test Inputs'!B27</f>
        <v>1.25</v>
      </c>
      <c r="C37" s="49">
        <f>'Stress Test Inputs'!C27</f>
        <v>0.65</v>
      </c>
      <c r="D37" s="51">
        <f>'Stress Test Inputs'!D27</f>
        <v>8.7499999999999994E-2</v>
      </c>
      <c r="M37" s="107"/>
      <c r="N37" s="107"/>
      <c r="O37" s="107"/>
      <c r="P37" s="107"/>
      <c r="Q37" s="107"/>
      <c r="R37" s="107"/>
      <c r="S37" s="107"/>
      <c r="T37" s="107"/>
      <c r="U37" s="107"/>
      <c r="V37" s="107"/>
      <c r="W37" s="107"/>
      <c r="X37" s="107"/>
      <c r="Y37" s="107"/>
      <c r="Z37" s="107"/>
      <c r="AA37" s="107"/>
      <c r="AB37" s="107"/>
      <c r="AC37" s="107"/>
      <c r="AD37" s="107"/>
      <c r="AE37" s="107"/>
      <c r="AF37" s="107"/>
      <c r="AG37" s="107"/>
    </row>
    <row r="38" spans="1:33" x14ac:dyDescent="0.25">
      <c r="M38" s="107"/>
      <c r="N38" s="107"/>
      <c r="O38" s="107"/>
      <c r="P38" s="107"/>
      <c r="Q38" s="107"/>
      <c r="R38" s="107"/>
      <c r="S38" s="107"/>
      <c r="T38" s="107"/>
      <c r="U38" s="107"/>
      <c r="V38" s="107"/>
      <c r="W38" s="107"/>
      <c r="X38" s="107"/>
      <c r="Y38" s="107"/>
      <c r="Z38" s="107"/>
      <c r="AA38" s="107"/>
      <c r="AB38" s="107"/>
      <c r="AC38" s="107"/>
      <c r="AD38" s="107"/>
      <c r="AE38" s="107"/>
      <c r="AF38" s="107"/>
      <c r="AG38" s="107"/>
    </row>
    <row r="39" spans="1:33" x14ac:dyDescent="0.25">
      <c r="M39" s="107"/>
      <c r="N39" s="107"/>
      <c r="O39" s="107"/>
      <c r="P39" s="107"/>
      <c r="Q39" s="107"/>
      <c r="R39" s="107"/>
      <c r="S39" s="107"/>
      <c r="T39" s="107"/>
      <c r="U39" s="107"/>
      <c r="V39" s="107"/>
      <c r="W39" s="107"/>
      <c r="X39" s="107"/>
      <c r="Y39" s="107"/>
      <c r="Z39" s="107"/>
      <c r="AA39" s="107"/>
      <c r="AB39" s="107"/>
      <c r="AC39" s="107"/>
      <c r="AD39" s="107"/>
      <c r="AE39" s="107"/>
      <c r="AF39" s="107"/>
      <c r="AG39" s="107"/>
    </row>
    <row r="40" spans="1:33" x14ac:dyDescent="0.25">
      <c r="M40" s="107"/>
      <c r="N40" s="107"/>
      <c r="O40" s="107"/>
      <c r="P40" s="107"/>
      <c r="Q40" s="107"/>
      <c r="R40" s="107"/>
      <c r="S40" s="107"/>
      <c r="T40" s="107"/>
      <c r="U40" s="107"/>
      <c r="V40" s="107"/>
      <c r="W40" s="107"/>
      <c r="X40" s="107"/>
      <c r="Y40" s="107"/>
      <c r="Z40" s="107"/>
      <c r="AA40" s="107"/>
      <c r="AB40" s="107"/>
      <c r="AC40" s="107"/>
      <c r="AD40" s="107"/>
      <c r="AE40" s="107"/>
      <c r="AF40" s="107"/>
      <c r="AG40" s="107"/>
    </row>
    <row r="41" spans="1:33" x14ac:dyDescent="0.25">
      <c r="M41" s="107"/>
      <c r="N41" s="107"/>
      <c r="O41" s="107"/>
      <c r="P41" s="107"/>
      <c r="Q41" s="107"/>
      <c r="R41" s="107"/>
      <c r="S41" s="107"/>
      <c r="T41" s="107"/>
      <c r="U41" s="107"/>
      <c r="V41" s="107"/>
      <c r="W41" s="107"/>
      <c r="X41" s="107"/>
      <c r="Y41" s="107"/>
      <c r="Z41" s="107"/>
      <c r="AA41" s="107"/>
      <c r="AB41" s="107"/>
      <c r="AC41" s="107"/>
      <c r="AD41" s="107"/>
      <c r="AE41" s="107"/>
      <c r="AF41" s="107"/>
      <c r="AG41" s="107"/>
    </row>
    <row r="42" spans="1:33" x14ac:dyDescent="0.25">
      <c r="M42" s="107"/>
      <c r="N42" s="107"/>
      <c r="O42" s="107"/>
      <c r="P42" s="107"/>
      <c r="Q42" s="107"/>
      <c r="R42" s="107"/>
      <c r="S42" s="107"/>
      <c r="T42" s="107"/>
      <c r="U42" s="107"/>
      <c r="V42" s="107"/>
      <c r="W42" s="107"/>
      <c r="X42" s="107"/>
      <c r="Y42" s="107"/>
      <c r="Z42" s="107"/>
      <c r="AA42" s="107"/>
      <c r="AB42" s="107"/>
      <c r="AC42" s="107"/>
      <c r="AD42" s="107"/>
      <c r="AE42" s="107"/>
      <c r="AF42" s="107"/>
      <c r="AG42" s="107"/>
    </row>
    <row r="43" spans="1:33" x14ac:dyDescent="0.25">
      <c r="M43" s="107"/>
      <c r="N43" s="107"/>
      <c r="O43" s="107"/>
      <c r="P43" s="107"/>
      <c r="Q43" s="107"/>
      <c r="R43" s="107"/>
      <c r="S43" s="107"/>
      <c r="T43" s="107"/>
      <c r="U43" s="107"/>
      <c r="V43" s="107"/>
      <c r="W43" s="107"/>
      <c r="X43" s="107"/>
      <c r="Y43" s="107"/>
      <c r="Z43" s="107"/>
      <c r="AA43" s="107"/>
      <c r="AB43" s="107"/>
      <c r="AC43" s="107"/>
      <c r="AD43" s="107"/>
      <c r="AE43" s="107"/>
      <c r="AF43" s="107"/>
      <c r="AG43" s="107"/>
    </row>
    <row r="44" spans="1:33" x14ac:dyDescent="0.25">
      <c r="M44" s="107"/>
      <c r="N44" s="107"/>
      <c r="O44" s="107"/>
      <c r="P44" s="107"/>
      <c r="Q44" s="107"/>
      <c r="R44" s="107"/>
      <c r="S44" s="107"/>
      <c r="T44" s="107"/>
      <c r="U44" s="107"/>
      <c r="V44" s="107"/>
      <c r="W44" s="107"/>
      <c r="X44" s="107"/>
      <c r="Y44" s="107"/>
      <c r="Z44" s="107"/>
      <c r="AA44" s="107"/>
      <c r="AB44" s="107"/>
      <c r="AC44" s="107"/>
      <c r="AD44" s="107"/>
      <c r="AE44" s="107"/>
      <c r="AF44" s="107"/>
      <c r="AG44" s="107"/>
    </row>
    <row r="45" spans="1:33" x14ac:dyDescent="0.25">
      <c r="M45" s="107"/>
      <c r="N45" s="107"/>
      <c r="O45" s="107"/>
      <c r="P45" s="107"/>
      <c r="Q45" s="107"/>
      <c r="R45" s="107"/>
      <c r="S45" s="107"/>
      <c r="T45" s="107"/>
      <c r="U45" s="107"/>
      <c r="V45" s="107"/>
      <c r="W45" s="107"/>
      <c r="X45" s="107"/>
      <c r="Y45" s="107"/>
      <c r="Z45" s="107"/>
      <c r="AA45" s="107"/>
      <c r="AB45" s="107"/>
      <c r="AC45" s="107"/>
      <c r="AD45" s="107"/>
      <c r="AE45" s="107"/>
      <c r="AF45" s="107"/>
      <c r="AG45" s="107"/>
    </row>
    <row r="46" spans="1:33" x14ac:dyDescent="0.25">
      <c r="A46" s="107"/>
      <c r="B46" s="107"/>
      <c r="C46" s="107"/>
      <c r="D46" s="107"/>
      <c r="E46" s="107"/>
      <c r="F46" s="107"/>
      <c r="G46" s="107"/>
      <c r="H46" s="107"/>
      <c r="I46" s="107"/>
      <c r="J46" s="107"/>
      <c r="K46" s="107"/>
      <c r="L46" s="107"/>
      <c r="M46" s="107"/>
      <c r="N46" s="107"/>
      <c r="O46" s="107"/>
      <c r="P46" s="107"/>
      <c r="Q46" s="107"/>
      <c r="R46" s="107"/>
      <c r="S46" s="107"/>
      <c r="T46" s="107"/>
      <c r="U46" s="107"/>
      <c r="V46" s="107"/>
      <c r="W46" s="107"/>
      <c r="X46" s="107"/>
      <c r="Y46" s="107"/>
      <c r="Z46" s="107"/>
      <c r="AA46" s="107"/>
      <c r="AB46" s="107"/>
      <c r="AC46" s="107"/>
      <c r="AD46" s="107"/>
      <c r="AE46" s="107"/>
      <c r="AF46" s="107"/>
      <c r="AG46" s="107"/>
    </row>
    <row r="47" spans="1:33" x14ac:dyDescent="0.25">
      <c r="A47" s="107"/>
      <c r="B47" s="107"/>
      <c r="C47" s="107"/>
      <c r="D47" s="107"/>
      <c r="E47" s="107"/>
      <c r="F47" s="107"/>
      <c r="G47" s="107"/>
      <c r="H47" s="107"/>
      <c r="I47" s="107"/>
      <c r="J47" s="107"/>
      <c r="K47" s="107"/>
      <c r="L47" s="107"/>
      <c r="M47" s="107"/>
      <c r="N47" s="107"/>
      <c r="O47" s="107"/>
      <c r="P47" s="107"/>
      <c r="Q47" s="107"/>
      <c r="R47" s="107"/>
      <c r="S47" s="107"/>
      <c r="T47" s="107"/>
      <c r="U47" s="107"/>
      <c r="V47" s="107"/>
      <c r="W47" s="107"/>
      <c r="X47" s="107"/>
      <c r="Y47" s="107"/>
      <c r="Z47" s="107"/>
      <c r="AA47" s="107"/>
      <c r="AB47" s="107"/>
      <c r="AC47" s="107"/>
      <c r="AD47" s="107"/>
      <c r="AE47" s="107"/>
      <c r="AF47" s="107"/>
      <c r="AG47" s="107"/>
    </row>
    <row r="48" spans="1:33" x14ac:dyDescent="0.25">
      <c r="A48" s="107"/>
      <c r="B48" s="107"/>
      <c r="C48" s="107"/>
      <c r="D48" s="107"/>
      <c r="E48" s="107"/>
      <c r="F48" s="107"/>
      <c r="G48" s="107"/>
      <c r="H48" s="107"/>
      <c r="I48" s="107"/>
      <c r="J48" s="107"/>
      <c r="K48" s="107"/>
      <c r="L48" s="107"/>
      <c r="M48" s="107"/>
      <c r="N48" s="107"/>
      <c r="O48" s="107"/>
      <c r="P48" s="107"/>
      <c r="Q48" s="107"/>
      <c r="R48" s="107"/>
      <c r="S48" s="107"/>
      <c r="T48" s="107"/>
      <c r="U48" s="107"/>
      <c r="V48" s="107"/>
      <c r="W48" s="107"/>
      <c r="X48" s="107"/>
      <c r="Y48" s="107"/>
      <c r="Z48" s="107"/>
      <c r="AA48" s="107"/>
      <c r="AB48" s="107"/>
      <c r="AC48" s="107"/>
      <c r="AD48" s="107"/>
      <c r="AE48" s="107"/>
      <c r="AF48" s="107"/>
      <c r="AG48" s="107"/>
    </row>
    <row r="49" spans="1:33" x14ac:dyDescent="0.25">
      <c r="A49" s="107"/>
      <c r="B49" s="107"/>
      <c r="C49" s="107"/>
      <c r="D49" s="107"/>
      <c r="E49" s="107"/>
      <c r="F49" s="107"/>
      <c r="G49" s="107"/>
      <c r="H49" s="107"/>
      <c r="I49" s="107"/>
      <c r="J49" s="107"/>
      <c r="K49" s="107"/>
      <c r="L49" s="107"/>
      <c r="M49" s="107"/>
      <c r="N49" s="107"/>
      <c r="O49" s="107"/>
      <c r="P49" s="107"/>
      <c r="Q49" s="107"/>
      <c r="R49" s="107"/>
      <c r="S49" s="107"/>
      <c r="T49" s="107"/>
      <c r="U49" s="107"/>
      <c r="V49" s="107"/>
      <c r="W49" s="107"/>
      <c r="X49" s="107"/>
      <c r="Y49" s="107"/>
      <c r="Z49" s="107"/>
      <c r="AA49" s="107"/>
      <c r="AB49" s="107"/>
      <c r="AC49" s="107"/>
      <c r="AD49" s="107"/>
      <c r="AE49" s="107"/>
      <c r="AF49" s="107"/>
      <c r="AG49" s="107"/>
    </row>
    <row r="50" spans="1:33" x14ac:dyDescent="0.25">
      <c r="A50" s="107"/>
      <c r="B50" s="107"/>
      <c r="C50" s="107"/>
      <c r="D50" s="107"/>
      <c r="E50" s="107"/>
      <c r="F50" s="107"/>
      <c r="G50" s="107"/>
      <c r="H50" s="107"/>
      <c r="I50" s="107"/>
      <c r="J50" s="107"/>
      <c r="K50" s="107"/>
      <c r="L50" s="107"/>
      <c r="M50" s="107"/>
      <c r="N50" s="107"/>
      <c r="O50" s="107"/>
      <c r="P50" s="107"/>
      <c r="Q50" s="107"/>
      <c r="R50" s="107"/>
      <c r="S50" s="107"/>
      <c r="T50" s="107"/>
      <c r="U50" s="107"/>
      <c r="V50" s="107"/>
      <c r="W50" s="107"/>
      <c r="X50" s="107"/>
      <c r="Y50" s="107"/>
      <c r="Z50" s="107"/>
      <c r="AA50" s="107"/>
      <c r="AB50" s="107"/>
      <c r="AC50" s="107"/>
      <c r="AD50" s="107"/>
      <c r="AE50" s="107"/>
      <c r="AF50" s="107"/>
      <c r="AG50" s="107"/>
    </row>
    <row r="51" spans="1:33" x14ac:dyDescent="0.25">
      <c r="A51" s="107"/>
      <c r="B51" s="107"/>
      <c r="C51" s="107"/>
      <c r="D51" s="107"/>
      <c r="E51" s="107"/>
      <c r="F51" s="107"/>
      <c r="G51" s="107"/>
      <c r="H51" s="107"/>
      <c r="I51" s="107"/>
      <c r="J51" s="107"/>
      <c r="K51" s="107"/>
      <c r="L51" s="107"/>
      <c r="M51" s="107"/>
      <c r="N51" s="107"/>
      <c r="O51" s="107"/>
      <c r="P51" s="107"/>
      <c r="Q51" s="107"/>
      <c r="R51" s="107"/>
      <c r="S51" s="107"/>
      <c r="T51" s="107"/>
      <c r="U51" s="107"/>
      <c r="V51" s="107"/>
      <c r="W51" s="107"/>
      <c r="X51" s="107"/>
      <c r="Y51" s="107"/>
      <c r="Z51" s="107"/>
      <c r="AA51" s="107"/>
      <c r="AB51" s="107"/>
      <c r="AC51" s="107"/>
      <c r="AD51" s="107"/>
      <c r="AE51" s="107"/>
      <c r="AF51" s="107"/>
      <c r="AG51" s="107"/>
    </row>
    <row r="52" spans="1:33" x14ac:dyDescent="0.25">
      <c r="A52" s="107"/>
      <c r="B52" s="107"/>
      <c r="C52" s="107"/>
      <c r="D52" s="107"/>
      <c r="E52" s="107"/>
      <c r="F52" s="107"/>
      <c r="G52" s="107"/>
      <c r="H52" s="107"/>
      <c r="I52" s="107"/>
      <c r="J52" s="107"/>
      <c r="K52" s="107"/>
      <c r="L52" s="107"/>
      <c r="M52" s="107"/>
      <c r="N52" s="107"/>
      <c r="O52" s="107"/>
      <c r="P52" s="107"/>
      <c r="Q52" s="107"/>
      <c r="R52" s="107"/>
      <c r="S52" s="107"/>
      <c r="T52" s="107"/>
      <c r="U52" s="107"/>
      <c r="V52" s="107"/>
      <c r="W52" s="107"/>
      <c r="X52" s="107"/>
      <c r="Y52" s="107"/>
      <c r="Z52" s="107"/>
      <c r="AA52" s="107"/>
      <c r="AB52" s="107"/>
      <c r="AC52" s="107"/>
      <c r="AD52" s="107"/>
      <c r="AE52" s="107"/>
      <c r="AF52" s="107"/>
      <c r="AG52" s="107"/>
    </row>
    <row r="53" spans="1:33" x14ac:dyDescent="0.25">
      <c r="A53" s="107"/>
      <c r="B53" s="107"/>
      <c r="C53" s="107"/>
      <c r="D53" s="107"/>
      <c r="E53" s="107"/>
      <c r="F53" s="107"/>
      <c r="G53" s="107"/>
      <c r="H53" s="107"/>
      <c r="I53" s="107"/>
      <c r="J53" s="107"/>
      <c r="K53" s="107"/>
      <c r="L53" s="107"/>
      <c r="M53" s="107"/>
      <c r="N53" s="107"/>
      <c r="O53" s="107"/>
      <c r="P53" s="107"/>
      <c r="Q53" s="107"/>
      <c r="R53" s="107"/>
      <c r="S53" s="107"/>
      <c r="T53" s="107"/>
      <c r="U53" s="107"/>
      <c r="V53" s="107"/>
      <c r="W53" s="107"/>
      <c r="X53" s="107"/>
      <c r="Y53" s="107"/>
      <c r="Z53" s="107"/>
      <c r="AA53" s="107"/>
      <c r="AB53" s="107"/>
      <c r="AC53" s="107"/>
      <c r="AD53" s="107"/>
      <c r="AE53" s="107"/>
      <c r="AF53" s="107"/>
      <c r="AG53" s="107"/>
    </row>
    <row r="54" spans="1:33" x14ac:dyDescent="0.25">
      <c r="A54" s="107"/>
      <c r="B54" s="107"/>
      <c r="C54" s="107"/>
      <c r="D54" s="107"/>
      <c r="E54" s="107"/>
      <c r="F54" s="107"/>
      <c r="G54" s="107"/>
      <c r="H54" s="107"/>
      <c r="I54" s="107"/>
      <c r="J54" s="107"/>
      <c r="K54" s="107"/>
      <c r="L54" s="107"/>
      <c r="M54" s="107"/>
      <c r="N54" s="107"/>
      <c r="O54" s="107"/>
      <c r="P54" s="107"/>
      <c r="Q54" s="107"/>
      <c r="R54" s="107"/>
      <c r="S54" s="107"/>
      <c r="T54" s="107"/>
      <c r="U54" s="107"/>
      <c r="V54" s="107"/>
      <c r="W54" s="107"/>
      <c r="X54" s="107"/>
      <c r="Y54" s="107"/>
      <c r="Z54" s="107"/>
      <c r="AA54" s="107"/>
      <c r="AB54" s="107"/>
      <c r="AC54" s="107"/>
      <c r="AD54" s="107"/>
      <c r="AE54" s="107"/>
      <c r="AF54" s="107"/>
      <c r="AG54" s="107"/>
    </row>
    <row r="55" spans="1:33" x14ac:dyDescent="0.25">
      <c r="A55" s="107"/>
      <c r="B55" s="107"/>
      <c r="C55" s="107"/>
      <c r="D55" s="107"/>
      <c r="E55" s="107"/>
      <c r="F55" s="107"/>
      <c r="G55" s="107"/>
      <c r="H55" s="107"/>
      <c r="I55" s="107"/>
      <c r="J55" s="107"/>
      <c r="K55" s="107"/>
      <c r="L55" s="107"/>
      <c r="M55" s="107"/>
      <c r="N55" s="107"/>
      <c r="O55" s="107"/>
      <c r="P55" s="107"/>
      <c r="Q55" s="107"/>
      <c r="R55" s="107"/>
      <c r="S55" s="107"/>
      <c r="T55" s="107"/>
      <c r="U55" s="107"/>
      <c r="V55" s="107"/>
      <c r="W55" s="107"/>
      <c r="X55" s="107"/>
      <c r="Y55" s="107"/>
      <c r="Z55" s="107"/>
      <c r="AA55" s="107"/>
      <c r="AB55" s="107"/>
      <c r="AC55" s="107"/>
      <c r="AD55" s="107"/>
      <c r="AE55" s="107"/>
      <c r="AF55" s="107"/>
      <c r="AG55" s="107"/>
    </row>
    <row r="56" spans="1:33" x14ac:dyDescent="0.25">
      <c r="A56" s="107"/>
      <c r="B56" s="107"/>
      <c r="C56" s="107"/>
      <c r="D56" s="107"/>
      <c r="E56" s="107"/>
      <c r="F56" s="107"/>
      <c r="G56" s="107"/>
      <c r="H56" s="107"/>
      <c r="I56" s="107"/>
      <c r="J56" s="107"/>
      <c r="K56" s="107"/>
      <c r="L56" s="107"/>
      <c r="M56" s="107"/>
      <c r="N56" s="107"/>
      <c r="O56" s="107"/>
      <c r="P56" s="107"/>
      <c r="Q56" s="107"/>
      <c r="R56" s="107"/>
      <c r="S56" s="107"/>
      <c r="T56" s="107"/>
      <c r="U56" s="107"/>
      <c r="V56" s="107"/>
      <c r="W56" s="107"/>
      <c r="X56" s="107"/>
      <c r="Y56" s="107"/>
      <c r="Z56" s="107"/>
      <c r="AA56" s="107"/>
      <c r="AB56" s="107"/>
      <c r="AC56" s="107"/>
      <c r="AD56" s="107"/>
      <c r="AE56" s="107"/>
      <c r="AF56" s="107"/>
      <c r="AG56" s="107"/>
    </row>
    <row r="57" spans="1:33" x14ac:dyDescent="0.25">
      <c r="A57" s="107"/>
      <c r="B57" s="107"/>
      <c r="C57" s="107"/>
      <c r="D57" s="107"/>
      <c r="E57" s="107"/>
      <c r="F57" s="107"/>
      <c r="G57" s="107"/>
      <c r="H57" s="107"/>
      <c r="I57" s="107"/>
      <c r="J57" s="107"/>
      <c r="K57" s="107"/>
      <c r="L57" s="107"/>
      <c r="M57" s="107"/>
      <c r="N57" s="107"/>
      <c r="O57" s="107"/>
      <c r="P57" s="107"/>
      <c r="Q57" s="107"/>
      <c r="R57" s="107"/>
      <c r="S57" s="107"/>
      <c r="T57" s="107"/>
      <c r="U57" s="107"/>
      <c r="V57" s="107"/>
      <c r="W57" s="107"/>
      <c r="X57" s="107"/>
      <c r="Y57" s="107"/>
      <c r="Z57" s="107"/>
      <c r="AA57" s="107"/>
      <c r="AB57" s="107"/>
      <c r="AC57" s="107"/>
      <c r="AD57" s="107"/>
      <c r="AE57" s="107"/>
      <c r="AF57" s="107"/>
      <c r="AG57" s="107"/>
    </row>
    <row r="58" spans="1:33" x14ac:dyDescent="0.25">
      <c r="A58" s="107"/>
      <c r="B58" s="107"/>
      <c r="C58" s="107"/>
      <c r="D58" s="107"/>
      <c r="E58" s="107"/>
      <c r="F58" s="107"/>
      <c r="G58" s="107"/>
      <c r="H58" s="107"/>
      <c r="I58" s="107"/>
      <c r="J58" s="107"/>
      <c r="K58" s="107"/>
      <c r="L58" s="107"/>
      <c r="M58" s="107"/>
      <c r="N58" s="107"/>
      <c r="O58" s="107"/>
      <c r="P58" s="107"/>
      <c r="Q58" s="107"/>
      <c r="R58" s="107"/>
      <c r="S58" s="107"/>
      <c r="T58" s="107"/>
      <c r="U58" s="107"/>
      <c r="V58" s="107"/>
      <c r="W58" s="107"/>
      <c r="X58" s="107"/>
      <c r="Y58" s="107"/>
      <c r="Z58" s="107"/>
      <c r="AA58" s="107"/>
      <c r="AB58" s="107"/>
      <c r="AC58" s="107"/>
      <c r="AD58" s="107"/>
      <c r="AE58" s="107"/>
      <c r="AF58" s="107"/>
      <c r="AG58" s="107"/>
    </row>
    <row r="59" spans="1:33" x14ac:dyDescent="0.25">
      <c r="A59" s="107"/>
      <c r="B59" s="107"/>
      <c r="C59" s="107"/>
      <c r="D59" s="107"/>
      <c r="E59" s="107"/>
      <c r="F59" s="107"/>
      <c r="G59" s="107"/>
      <c r="H59" s="107"/>
      <c r="I59" s="107"/>
      <c r="J59" s="107"/>
      <c r="K59" s="107"/>
      <c r="L59" s="107"/>
      <c r="M59" s="107"/>
      <c r="N59" s="107"/>
      <c r="O59" s="107"/>
      <c r="P59" s="107"/>
      <c r="Q59" s="107"/>
      <c r="R59" s="107"/>
      <c r="S59" s="107"/>
      <c r="T59" s="107"/>
      <c r="U59" s="107"/>
      <c r="V59" s="107"/>
      <c r="W59" s="107"/>
      <c r="X59" s="107"/>
      <c r="Y59" s="107"/>
      <c r="Z59" s="107"/>
      <c r="AA59" s="107"/>
      <c r="AB59" s="107"/>
      <c r="AC59" s="107"/>
      <c r="AD59" s="107"/>
      <c r="AE59" s="107"/>
      <c r="AF59" s="107"/>
      <c r="AG59" s="107"/>
    </row>
    <row r="60" spans="1:33" x14ac:dyDescent="0.25">
      <c r="A60" s="107"/>
      <c r="B60" s="107"/>
      <c r="C60" s="107"/>
      <c r="D60" s="107"/>
      <c r="E60" s="107"/>
      <c r="F60" s="107"/>
      <c r="G60" s="107"/>
      <c r="H60" s="107"/>
      <c r="I60" s="107"/>
      <c r="J60" s="107"/>
      <c r="K60" s="107"/>
      <c r="L60" s="107"/>
      <c r="M60" s="107"/>
      <c r="N60" s="107"/>
      <c r="O60" s="107"/>
      <c r="P60" s="107"/>
      <c r="Q60" s="107"/>
      <c r="R60" s="107"/>
      <c r="S60" s="107"/>
      <c r="T60" s="107"/>
      <c r="U60" s="107"/>
      <c r="V60" s="107"/>
      <c r="W60" s="107"/>
      <c r="X60" s="107"/>
      <c r="Y60" s="107"/>
      <c r="Z60" s="107"/>
      <c r="AA60" s="107"/>
      <c r="AB60" s="107"/>
      <c r="AC60" s="107"/>
      <c r="AD60" s="107"/>
      <c r="AE60" s="107"/>
      <c r="AF60" s="107"/>
      <c r="AG60" s="107"/>
    </row>
    <row r="61" spans="1:33" x14ac:dyDescent="0.25">
      <c r="A61" s="107"/>
      <c r="B61" s="107"/>
      <c r="C61" s="107"/>
      <c r="D61" s="107"/>
      <c r="E61" s="107"/>
      <c r="F61" s="107"/>
      <c r="G61" s="107"/>
      <c r="H61" s="107"/>
      <c r="I61" s="107"/>
      <c r="J61" s="107"/>
      <c r="K61" s="107"/>
      <c r="L61" s="107"/>
      <c r="M61" s="107"/>
      <c r="N61" s="107"/>
      <c r="O61" s="107"/>
      <c r="P61" s="107"/>
      <c r="Q61" s="107"/>
      <c r="R61" s="107"/>
      <c r="S61" s="107"/>
      <c r="T61" s="107"/>
      <c r="U61" s="107"/>
      <c r="V61" s="107"/>
      <c r="W61" s="107"/>
      <c r="X61" s="107"/>
      <c r="Y61" s="107"/>
      <c r="Z61" s="107"/>
      <c r="AA61" s="107"/>
      <c r="AB61" s="107"/>
      <c r="AC61" s="107"/>
      <c r="AD61" s="107"/>
      <c r="AE61" s="107"/>
      <c r="AF61" s="107"/>
      <c r="AG61" s="107"/>
    </row>
    <row r="62" spans="1:33" x14ac:dyDescent="0.25">
      <c r="A62" s="107"/>
      <c r="B62" s="107"/>
      <c r="C62" s="107"/>
      <c r="D62" s="107"/>
      <c r="E62" s="107"/>
      <c r="F62" s="107"/>
      <c r="G62" s="107"/>
      <c r="H62" s="107"/>
      <c r="I62" s="107"/>
      <c r="J62" s="107"/>
      <c r="K62" s="107"/>
      <c r="L62" s="107"/>
      <c r="M62" s="107"/>
      <c r="N62" s="107"/>
      <c r="O62" s="107"/>
      <c r="P62" s="107"/>
      <c r="Q62" s="107"/>
      <c r="R62" s="107"/>
      <c r="S62" s="107"/>
      <c r="T62" s="107"/>
      <c r="U62" s="107"/>
      <c r="V62" s="107"/>
      <c r="W62" s="107"/>
      <c r="X62" s="107"/>
      <c r="Y62" s="107"/>
      <c r="Z62" s="107"/>
      <c r="AA62" s="107"/>
      <c r="AB62" s="107"/>
      <c r="AC62" s="107"/>
      <c r="AD62" s="107"/>
      <c r="AE62" s="107"/>
      <c r="AF62" s="107"/>
      <c r="AG62" s="107"/>
    </row>
    <row r="63" spans="1:33" x14ac:dyDescent="0.25">
      <c r="A63" s="107"/>
      <c r="B63" s="107"/>
      <c r="C63" s="107"/>
      <c r="D63" s="107"/>
      <c r="E63" s="107"/>
      <c r="F63" s="107"/>
      <c r="G63" s="107"/>
      <c r="H63" s="107"/>
      <c r="I63" s="107"/>
      <c r="J63" s="107"/>
      <c r="K63" s="107"/>
      <c r="L63" s="107"/>
      <c r="M63" s="107"/>
      <c r="N63" s="107"/>
      <c r="O63" s="107"/>
      <c r="P63" s="107"/>
      <c r="Q63" s="107"/>
      <c r="R63" s="107"/>
      <c r="S63" s="107"/>
      <c r="T63" s="107"/>
      <c r="U63" s="107"/>
      <c r="V63" s="107"/>
      <c r="W63" s="107"/>
      <c r="X63" s="107"/>
      <c r="Y63" s="107"/>
      <c r="Z63" s="107"/>
      <c r="AA63" s="107"/>
      <c r="AB63" s="107"/>
      <c r="AC63" s="107"/>
      <c r="AD63" s="107"/>
      <c r="AE63" s="107"/>
      <c r="AF63" s="107"/>
      <c r="AG63" s="107"/>
    </row>
    <row r="64" spans="1:33" x14ac:dyDescent="0.25">
      <c r="A64" s="107"/>
      <c r="B64" s="107"/>
      <c r="C64" s="107"/>
      <c r="D64" s="107"/>
      <c r="E64" s="107"/>
      <c r="F64" s="107"/>
      <c r="G64" s="107"/>
      <c r="H64" s="107"/>
      <c r="I64" s="107"/>
      <c r="J64" s="107"/>
      <c r="K64" s="107"/>
      <c r="L64" s="107"/>
      <c r="M64" s="107"/>
      <c r="N64" s="107"/>
      <c r="O64" s="107"/>
      <c r="P64" s="107"/>
      <c r="Q64" s="107"/>
      <c r="R64" s="107"/>
      <c r="S64" s="107"/>
      <c r="T64" s="107"/>
      <c r="U64" s="107"/>
      <c r="V64" s="107"/>
      <c r="W64" s="107"/>
      <c r="X64" s="107"/>
      <c r="Y64" s="107"/>
      <c r="Z64" s="107"/>
      <c r="AA64" s="107"/>
      <c r="AB64" s="107"/>
      <c r="AC64" s="107"/>
      <c r="AD64" s="107"/>
      <c r="AE64" s="107"/>
      <c r="AF64" s="107"/>
      <c r="AG64" s="107"/>
    </row>
    <row r="65" spans="1:33" x14ac:dyDescent="0.25">
      <c r="A65" s="107"/>
      <c r="B65" s="107"/>
      <c r="C65" s="107"/>
      <c r="D65" s="107"/>
      <c r="E65" s="107"/>
      <c r="F65" s="107"/>
      <c r="G65" s="107"/>
      <c r="H65" s="107"/>
      <c r="I65" s="107"/>
      <c r="J65" s="107"/>
      <c r="K65" s="107"/>
      <c r="L65" s="107"/>
      <c r="M65" s="107"/>
      <c r="N65" s="107"/>
      <c r="O65" s="107"/>
      <c r="P65" s="107"/>
      <c r="Q65" s="107"/>
      <c r="R65" s="107"/>
      <c r="S65" s="107"/>
      <c r="T65" s="107"/>
      <c r="U65" s="107"/>
      <c r="V65" s="107"/>
      <c r="W65" s="107"/>
      <c r="X65" s="107"/>
      <c r="Y65" s="107"/>
      <c r="Z65" s="107"/>
      <c r="AA65" s="107"/>
      <c r="AB65" s="107"/>
      <c r="AC65" s="107"/>
      <c r="AD65" s="107"/>
      <c r="AE65" s="107"/>
      <c r="AF65" s="107"/>
      <c r="AG65" s="107"/>
    </row>
    <row r="66" spans="1:33" x14ac:dyDescent="0.25">
      <c r="A66" s="107"/>
      <c r="B66" s="107"/>
      <c r="C66" s="107"/>
      <c r="D66" s="107"/>
      <c r="E66" s="107"/>
      <c r="F66" s="107"/>
      <c r="G66" s="107"/>
      <c r="H66" s="107"/>
      <c r="I66" s="107"/>
      <c r="J66" s="107"/>
      <c r="K66" s="107"/>
      <c r="L66" s="107"/>
      <c r="M66" s="107"/>
      <c r="N66" s="107"/>
      <c r="O66" s="107"/>
      <c r="P66" s="107"/>
      <c r="Q66" s="107"/>
      <c r="R66" s="107"/>
      <c r="S66" s="107"/>
      <c r="T66" s="107"/>
      <c r="U66" s="107"/>
      <c r="V66" s="107"/>
      <c r="W66" s="107"/>
      <c r="X66" s="107"/>
      <c r="Y66" s="107"/>
      <c r="Z66" s="107"/>
      <c r="AA66" s="107"/>
      <c r="AB66" s="107"/>
      <c r="AC66" s="107"/>
      <c r="AD66" s="107"/>
      <c r="AE66" s="107"/>
      <c r="AF66" s="107"/>
      <c r="AG66" s="107"/>
    </row>
    <row r="67" spans="1:33" x14ac:dyDescent="0.25">
      <c r="A67" s="107"/>
      <c r="B67" s="107"/>
      <c r="C67" s="107"/>
      <c r="D67" s="107"/>
      <c r="E67" s="107"/>
      <c r="F67" s="107"/>
      <c r="G67" s="107"/>
      <c r="H67" s="107"/>
      <c r="I67" s="107"/>
      <c r="J67" s="107"/>
      <c r="K67" s="107"/>
      <c r="L67" s="107"/>
      <c r="M67" s="107"/>
      <c r="N67" s="107"/>
      <c r="O67" s="107"/>
      <c r="P67" s="107"/>
      <c r="Q67" s="107"/>
      <c r="R67" s="107"/>
      <c r="S67" s="107"/>
      <c r="T67" s="107"/>
      <c r="U67" s="107"/>
      <c r="V67" s="107"/>
      <c r="W67" s="107"/>
      <c r="X67" s="107"/>
      <c r="Y67" s="107"/>
      <c r="Z67" s="107"/>
      <c r="AA67" s="107"/>
      <c r="AB67" s="107"/>
      <c r="AC67" s="107"/>
      <c r="AD67" s="107"/>
      <c r="AE67" s="107"/>
      <c r="AF67" s="107"/>
      <c r="AG67" s="107"/>
    </row>
    <row r="68" spans="1:33" x14ac:dyDescent="0.25">
      <c r="A68" s="107"/>
      <c r="B68" s="107"/>
      <c r="C68" s="107"/>
      <c r="D68" s="107"/>
      <c r="E68" s="107"/>
      <c r="F68" s="107"/>
      <c r="G68" s="107"/>
      <c r="H68" s="107"/>
      <c r="I68" s="107"/>
      <c r="J68" s="107"/>
      <c r="K68" s="107"/>
      <c r="L68" s="107"/>
      <c r="M68" s="107"/>
      <c r="N68" s="107"/>
      <c r="O68" s="107"/>
      <c r="P68" s="107"/>
      <c r="Q68" s="107"/>
      <c r="R68" s="107"/>
      <c r="S68" s="107"/>
      <c r="T68" s="107"/>
      <c r="U68" s="107"/>
      <c r="V68" s="107"/>
      <c r="W68" s="107"/>
      <c r="X68" s="107"/>
      <c r="Y68" s="107"/>
      <c r="Z68" s="107"/>
      <c r="AA68" s="107"/>
      <c r="AB68" s="107"/>
      <c r="AC68" s="107"/>
      <c r="AD68" s="107"/>
      <c r="AE68" s="107"/>
      <c r="AF68" s="107"/>
      <c r="AG68" s="107"/>
    </row>
    <row r="69" spans="1:33" x14ac:dyDescent="0.25">
      <c r="A69" s="107"/>
      <c r="B69" s="107"/>
      <c r="C69" s="107"/>
      <c r="D69" s="107"/>
      <c r="E69" s="107"/>
      <c r="F69" s="107"/>
      <c r="G69" s="107"/>
      <c r="H69" s="107"/>
      <c r="I69" s="107"/>
      <c r="J69" s="107"/>
      <c r="K69" s="107"/>
      <c r="L69" s="107"/>
      <c r="M69" s="107"/>
      <c r="N69" s="107"/>
      <c r="O69" s="107"/>
      <c r="P69" s="107"/>
      <c r="Q69" s="107"/>
      <c r="R69" s="107"/>
      <c r="S69" s="107"/>
      <c r="T69" s="107"/>
      <c r="U69" s="107"/>
      <c r="V69" s="107"/>
      <c r="W69" s="107"/>
      <c r="X69" s="107"/>
      <c r="Y69" s="107"/>
      <c r="Z69" s="107"/>
      <c r="AA69" s="107"/>
      <c r="AB69" s="107"/>
      <c r="AC69" s="107"/>
      <c r="AD69" s="107"/>
      <c r="AE69" s="107"/>
      <c r="AF69" s="107"/>
      <c r="AG69" s="107"/>
    </row>
    <row r="70" spans="1:33" x14ac:dyDescent="0.25">
      <c r="A70" s="107"/>
      <c r="B70" s="107"/>
      <c r="C70" s="107"/>
      <c r="D70" s="107"/>
      <c r="E70" s="107"/>
      <c r="F70" s="107"/>
      <c r="G70" s="107"/>
      <c r="H70" s="107"/>
      <c r="I70" s="107"/>
      <c r="J70" s="107"/>
      <c r="K70" s="107"/>
      <c r="L70" s="107"/>
      <c r="M70" s="107"/>
      <c r="N70" s="107"/>
      <c r="O70" s="107"/>
      <c r="P70" s="107"/>
      <c r="Q70" s="107"/>
      <c r="R70" s="107"/>
      <c r="S70" s="107"/>
      <c r="T70" s="107"/>
      <c r="U70" s="107"/>
      <c r="V70" s="107"/>
      <c r="W70" s="107"/>
      <c r="X70" s="107"/>
      <c r="Y70" s="107"/>
      <c r="Z70" s="107"/>
      <c r="AA70" s="107"/>
      <c r="AB70" s="107"/>
      <c r="AC70" s="107"/>
      <c r="AD70" s="107"/>
      <c r="AE70" s="107"/>
      <c r="AF70" s="107"/>
      <c r="AG70" s="107"/>
    </row>
    <row r="71" spans="1:33" x14ac:dyDescent="0.25">
      <c r="A71" s="107"/>
      <c r="B71" s="107"/>
      <c r="C71" s="107"/>
      <c r="D71" s="107"/>
      <c r="E71" s="107"/>
      <c r="F71" s="107"/>
      <c r="G71" s="107"/>
      <c r="H71" s="107"/>
      <c r="I71" s="107"/>
      <c r="J71" s="107"/>
      <c r="K71" s="107"/>
      <c r="L71" s="107"/>
      <c r="M71" s="107"/>
      <c r="N71" s="107"/>
      <c r="O71" s="107"/>
      <c r="P71" s="107"/>
      <c r="Q71" s="107"/>
      <c r="R71" s="107"/>
      <c r="S71" s="107"/>
      <c r="T71" s="107"/>
      <c r="U71" s="107"/>
      <c r="V71" s="107"/>
      <c r="W71" s="107"/>
      <c r="X71" s="107"/>
      <c r="Y71" s="107"/>
      <c r="Z71" s="107"/>
      <c r="AA71" s="107"/>
      <c r="AB71" s="107"/>
      <c r="AC71" s="107"/>
      <c r="AD71" s="107"/>
      <c r="AE71" s="107"/>
      <c r="AF71" s="107"/>
      <c r="AG71" s="107"/>
    </row>
    <row r="72" spans="1:33" x14ac:dyDescent="0.25">
      <c r="A72" s="107"/>
      <c r="B72" s="107"/>
      <c r="C72" s="107"/>
      <c r="D72" s="107"/>
      <c r="E72" s="107"/>
      <c r="F72" s="107"/>
      <c r="G72" s="107"/>
      <c r="H72" s="107"/>
      <c r="I72" s="107"/>
      <c r="J72" s="107"/>
      <c r="K72" s="107"/>
      <c r="L72" s="107"/>
      <c r="M72" s="107"/>
      <c r="N72" s="107"/>
      <c r="O72" s="107"/>
      <c r="P72" s="107"/>
      <c r="Q72" s="107"/>
      <c r="R72" s="107"/>
      <c r="S72" s="107"/>
      <c r="T72" s="107"/>
      <c r="U72" s="107"/>
      <c r="V72" s="107"/>
      <c r="W72" s="107"/>
      <c r="X72" s="107"/>
      <c r="Y72" s="107"/>
      <c r="Z72" s="107"/>
      <c r="AA72" s="107"/>
      <c r="AB72" s="107"/>
      <c r="AC72" s="107"/>
      <c r="AD72" s="107"/>
      <c r="AE72" s="107"/>
      <c r="AF72" s="107"/>
      <c r="AG72" s="107"/>
    </row>
    <row r="73" spans="1:33" x14ac:dyDescent="0.25">
      <c r="A73" s="107"/>
      <c r="B73" s="107"/>
      <c r="C73" s="107"/>
      <c r="D73" s="107"/>
      <c r="E73" s="107"/>
      <c r="F73" s="107"/>
      <c r="G73" s="107"/>
      <c r="H73" s="107"/>
      <c r="I73" s="107"/>
      <c r="J73" s="107"/>
      <c r="K73" s="107"/>
      <c r="L73" s="107"/>
      <c r="M73" s="107"/>
      <c r="N73" s="107"/>
      <c r="O73" s="107"/>
      <c r="P73" s="107"/>
      <c r="Q73" s="107"/>
      <c r="R73" s="107"/>
      <c r="S73" s="107"/>
      <c r="T73" s="107"/>
      <c r="U73" s="107"/>
      <c r="V73" s="107"/>
      <c r="W73" s="107"/>
      <c r="X73" s="107"/>
      <c r="Y73" s="107"/>
      <c r="Z73" s="107"/>
      <c r="AA73" s="107"/>
      <c r="AB73" s="107"/>
      <c r="AC73" s="107"/>
      <c r="AD73" s="107"/>
      <c r="AE73" s="107"/>
      <c r="AF73" s="107"/>
      <c r="AG73" s="107"/>
    </row>
    <row r="74" spans="1:33" x14ac:dyDescent="0.25">
      <c r="A74" s="107"/>
      <c r="B74" s="107"/>
      <c r="C74" s="107"/>
      <c r="D74" s="107"/>
      <c r="E74" s="107"/>
      <c r="F74" s="107"/>
      <c r="G74" s="107"/>
      <c r="H74" s="107"/>
      <c r="I74" s="107"/>
      <c r="J74" s="107"/>
      <c r="K74" s="107"/>
      <c r="L74" s="107"/>
      <c r="M74" s="107"/>
      <c r="N74" s="107"/>
      <c r="O74" s="107"/>
      <c r="P74" s="107"/>
      <c r="Q74" s="107"/>
      <c r="R74" s="107"/>
      <c r="S74" s="107"/>
      <c r="T74" s="107"/>
      <c r="U74" s="107"/>
      <c r="V74" s="107"/>
      <c r="W74" s="107"/>
      <c r="X74" s="107"/>
      <c r="Y74" s="107"/>
      <c r="Z74" s="107"/>
      <c r="AA74" s="107"/>
      <c r="AB74" s="107"/>
      <c r="AC74" s="107"/>
      <c r="AD74" s="107"/>
      <c r="AE74" s="107"/>
      <c r="AF74" s="107"/>
      <c r="AG74" s="107"/>
    </row>
    <row r="75" spans="1:33" x14ac:dyDescent="0.25">
      <c r="A75" s="107"/>
      <c r="B75" s="107"/>
      <c r="C75" s="107"/>
      <c r="D75" s="107"/>
      <c r="E75" s="107"/>
      <c r="F75" s="107"/>
      <c r="G75" s="107"/>
      <c r="H75" s="107"/>
      <c r="I75" s="107"/>
      <c r="J75" s="107"/>
      <c r="K75" s="107"/>
      <c r="L75" s="107"/>
      <c r="M75" s="107"/>
      <c r="N75" s="107"/>
      <c r="O75" s="107"/>
      <c r="P75" s="107"/>
      <c r="Q75" s="107"/>
      <c r="R75" s="107"/>
      <c r="S75" s="107"/>
      <c r="T75" s="107"/>
      <c r="U75" s="107"/>
      <c r="V75" s="107"/>
      <c r="W75" s="107"/>
      <c r="X75" s="107"/>
      <c r="Y75" s="107"/>
      <c r="Z75" s="107"/>
      <c r="AA75" s="107"/>
      <c r="AB75" s="107"/>
      <c r="AC75" s="107"/>
      <c r="AD75" s="107"/>
      <c r="AE75" s="107"/>
      <c r="AF75" s="107"/>
      <c r="AG75" s="107"/>
    </row>
    <row r="76" spans="1:33" x14ac:dyDescent="0.25">
      <c r="A76" s="107"/>
      <c r="B76" s="107"/>
      <c r="C76" s="107"/>
      <c r="D76" s="107"/>
      <c r="E76" s="107"/>
      <c r="F76" s="107"/>
      <c r="G76" s="107"/>
      <c r="H76" s="107"/>
      <c r="I76" s="107"/>
      <c r="J76" s="107"/>
      <c r="K76" s="107"/>
      <c r="L76" s="107"/>
      <c r="M76" s="107"/>
      <c r="N76" s="107"/>
      <c r="O76" s="107"/>
      <c r="P76" s="107"/>
      <c r="Q76" s="107"/>
      <c r="R76" s="107"/>
      <c r="S76" s="107"/>
      <c r="T76" s="107"/>
      <c r="U76" s="107"/>
      <c r="V76" s="107"/>
      <c r="W76" s="107"/>
      <c r="X76" s="107"/>
      <c r="Y76" s="107"/>
      <c r="Z76" s="107"/>
      <c r="AA76" s="107"/>
      <c r="AB76" s="107"/>
      <c r="AC76" s="107"/>
      <c r="AD76" s="107"/>
      <c r="AE76" s="107"/>
      <c r="AF76" s="107"/>
      <c r="AG76" s="107"/>
    </row>
    <row r="77" spans="1:33" x14ac:dyDescent="0.25">
      <c r="A77" s="107"/>
      <c r="B77" s="107"/>
      <c r="C77" s="107"/>
      <c r="D77" s="107"/>
      <c r="E77" s="107"/>
      <c r="F77" s="107"/>
      <c r="G77" s="107"/>
      <c r="H77" s="107"/>
      <c r="I77" s="107"/>
      <c r="J77" s="107"/>
      <c r="K77" s="107"/>
      <c r="L77" s="107"/>
      <c r="M77" s="107"/>
      <c r="N77" s="107"/>
      <c r="O77" s="107"/>
      <c r="P77" s="107"/>
      <c r="Q77" s="107"/>
      <c r="R77" s="107"/>
      <c r="S77" s="107"/>
      <c r="T77" s="107"/>
      <c r="U77" s="107"/>
      <c r="V77" s="107"/>
      <c r="W77" s="107"/>
      <c r="X77" s="107"/>
      <c r="Y77" s="107"/>
      <c r="Z77" s="107"/>
      <c r="AA77" s="107"/>
      <c r="AB77" s="107"/>
      <c r="AC77" s="107"/>
      <c r="AD77" s="107"/>
      <c r="AE77" s="107"/>
      <c r="AF77" s="107"/>
      <c r="AG77" s="107"/>
    </row>
    <row r="78" spans="1:33" x14ac:dyDescent="0.25">
      <c r="A78" s="107"/>
      <c r="B78" s="107"/>
      <c r="C78" s="107"/>
      <c r="D78" s="107"/>
      <c r="E78" s="107"/>
      <c r="F78" s="107"/>
      <c r="G78" s="107"/>
      <c r="H78" s="107"/>
      <c r="I78" s="107"/>
      <c r="J78" s="107"/>
      <c r="K78" s="107"/>
      <c r="L78" s="107"/>
      <c r="M78" s="107"/>
      <c r="N78" s="107"/>
      <c r="O78" s="107"/>
      <c r="P78" s="107"/>
      <c r="Q78" s="107"/>
      <c r="R78" s="107"/>
      <c r="S78" s="107"/>
      <c r="T78" s="107"/>
      <c r="U78" s="107"/>
      <c r="V78" s="107"/>
      <c r="W78" s="107"/>
      <c r="X78" s="107"/>
      <c r="Y78" s="107"/>
      <c r="Z78" s="107"/>
      <c r="AA78" s="107"/>
      <c r="AB78" s="107"/>
      <c r="AC78" s="107"/>
      <c r="AD78" s="107"/>
      <c r="AE78" s="107"/>
      <c r="AF78" s="107"/>
      <c r="AG78" s="107"/>
    </row>
    <row r="79" spans="1:33" x14ac:dyDescent="0.25">
      <c r="A79" s="107"/>
      <c r="B79" s="107"/>
      <c r="C79" s="107"/>
      <c r="D79" s="107"/>
      <c r="E79" s="107"/>
      <c r="F79" s="107"/>
      <c r="G79" s="107"/>
      <c r="H79" s="107"/>
      <c r="I79" s="107"/>
      <c r="J79" s="107"/>
      <c r="K79" s="107"/>
      <c r="L79" s="107"/>
      <c r="M79" s="107"/>
      <c r="N79" s="107"/>
      <c r="O79" s="107"/>
      <c r="P79" s="107"/>
      <c r="Q79" s="107"/>
      <c r="R79" s="107"/>
      <c r="S79" s="107"/>
      <c r="T79" s="107"/>
      <c r="U79" s="107"/>
      <c r="V79" s="107"/>
      <c r="W79" s="107"/>
      <c r="X79" s="107"/>
      <c r="Y79" s="107"/>
      <c r="Z79" s="107"/>
      <c r="AA79" s="107"/>
      <c r="AB79" s="107"/>
      <c r="AC79" s="107"/>
      <c r="AD79" s="107"/>
      <c r="AE79" s="107"/>
      <c r="AF79" s="107"/>
      <c r="AG79" s="107"/>
    </row>
    <row r="80" spans="1:33" x14ac:dyDescent="0.25">
      <c r="A80" s="107"/>
      <c r="B80" s="107"/>
      <c r="C80" s="107"/>
      <c r="D80" s="107"/>
      <c r="E80" s="107"/>
      <c r="F80" s="107"/>
      <c r="G80" s="107"/>
      <c r="H80" s="107"/>
      <c r="I80" s="107"/>
      <c r="J80" s="107"/>
      <c r="K80" s="107"/>
      <c r="L80" s="107"/>
      <c r="M80" s="107"/>
      <c r="N80" s="107"/>
      <c r="O80" s="107"/>
      <c r="P80" s="107"/>
      <c r="Q80" s="107"/>
      <c r="R80" s="107"/>
      <c r="S80" s="107"/>
      <c r="T80" s="107"/>
      <c r="U80" s="107"/>
      <c r="V80" s="107"/>
      <c r="W80" s="107"/>
      <c r="X80" s="107"/>
      <c r="Y80" s="107"/>
      <c r="Z80" s="107"/>
      <c r="AA80" s="107"/>
      <c r="AB80" s="107"/>
      <c r="AC80" s="107"/>
      <c r="AD80" s="107"/>
      <c r="AE80" s="107"/>
      <c r="AF80" s="107"/>
      <c r="AG80" s="107"/>
    </row>
    <row r="81" spans="1:33" x14ac:dyDescent="0.25">
      <c r="A81" s="107"/>
      <c r="B81" s="107"/>
      <c r="C81" s="107"/>
      <c r="D81" s="107"/>
      <c r="E81" s="107"/>
      <c r="F81" s="107"/>
      <c r="G81" s="107"/>
      <c r="H81" s="107"/>
      <c r="I81" s="107"/>
      <c r="J81" s="107"/>
      <c r="K81" s="107"/>
      <c r="L81" s="107"/>
      <c r="M81" s="107"/>
      <c r="N81" s="107"/>
      <c r="O81" s="107"/>
      <c r="P81" s="107"/>
      <c r="Q81" s="107"/>
      <c r="R81" s="107"/>
      <c r="S81" s="107"/>
      <c r="T81" s="107"/>
      <c r="U81" s="107"/>
      <c r="V81" s="107"/>
      <c r="W81" s="107"/>
      <c r="X81" s="107"/>
      <c r="Y81" s="107"/>
      <c r="Z81" s="107"/>
      <c r="AA81" s="107"/>
      <c r="AB81" s="107"/>
      <c r="AC81" s="107"/>
      <c r="AD81" s="107"/>
      <c r="AE81" s="107"/>
      <c r="AF81" s="107"/>
      <c r="AG81" s="107"/>
    </row>
  </sheetData>
  <conditionalFormatting sqref="C29:G29 I29">
    <cfRule type="cellIs" dxfId="11" priority="1" operator="lessThan">
      <formula>$D$3</formula>
    </cfRule>
    <cfRule type="cellIs" dxfId="10" priority="2" operator="greaterThan">
      <formula>$D$3</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ellIs" priority="3" operator="lessThan" id="{A902E237-7D0F-4608-9660-DC40FE4F00D1}">
            <xm:f>'Input Data'!$B$27</xm:f>
            <x14:dxf>
              <font>
                <color rgb="FF9C0006"/>
              </font>
              <fill>
                <patternFill>
                  <bgColor rgb="FFFFC7CE"/>
                </patternFill>
              </fill>
            </x14:dxf>
          </x14:cfRule>
          <x14:cfRule type="cellIs" priority="4" operator="greaterThan" id="{5B48CFE6-557A-4569-BC51-B494D4F9BCA9}">
            <xm:f>'Input Data'!$B$27</xm:f>
            <x14:dxf>
              <font>
                <color rgb="FF006100"/>
              </font>
              <fill>
                <patternFill>
                  <bgColor rgb="FFC6EFCE"/>
                </patternFill>
              </fill>
            </x14:dxf>
          </x14:cfRule>
          <xm:sqref>C30:G30 I30</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F4FC5-F04D-4C98-8461-AB9E14DD7074}">
  <sheetPr>
    <tabColor rgb="FFFF0000"/>
  </sheetPr>
  <dimension ref="C1:V59"/>
  <sheetViews>
    <sheetView workbookViewId="0">
      <selection activeCell="K40" sqref="K40"/>
    </sheetView>
  </sheetViews>
  <sheetFormatPr defaultRowHeight="15" x14ac:dyDescent="0.25"/>
  <cols>
    <col min="3" max="3" width="46" bestFit="1" customWidth="1"/>
    <col min="4" max="4" width="20.7109375" bestFit="1" customWidth="1"/>
    <col min="5" max="8" width="14.28515625" bestFit="1" customWidth="1"/>
    <col min="9" max="9" width="27.28515625" bestFit="1" customWidth="1"/>
    <col min="10" max="10" width="10.5703125" customWidth="1"/>
    <col min="11" max="11" width="27.140625" bestFit="1" customWidth="1"/>
    <col min="12" max="12" width="15.28515625" bestFit="1" customWidth="1"/>
    <col min="17" max="17" width="10.5703125" bestFit="1" customWidth="1"/>
    <col min="18" max="18" width="27.140625" bestFit="1" customWidth="1"/>
    <col min="19" max="19" width="14.28515625" bestFit="1" customWidth="1"/>
  </cols>
  <sheetData>
    <row r="1" spans="3:22" x14ac:dyDescent="0.25">
      <c r="I1" t="s">
        <v>125</v>
      </c>
    </row>
    <row r="2" spans="3:22" ht="18.75" x14ac:dyDescent="0.3">
      <c r="C2" s="65" t="s">
        <v>103</v>
      </c>
      <c r="D2" s="66"/>
      <c r="E2" s="66"/>
      <c r="F2" s="66"/>
      <c r="G2" s="67"/>
      <c r="K2" s="190" t="s">
        <v>120</v>
      </c>
      <c r="L2" s="190"/>
      <c r="M2" s="190"/>
      <c r="N2" s="190"/>
      <c r="O2" s="190"/>
      <c r="R2" s="190" t="s">
        <v>124</v>
      </c>
      <c r="S2" s="190"/>
      <c r="T2" s="190"/>
      <c r="U2" s="190"/>
      <c r="V2" s="190"/>
    </row>
    <row r="3" spans="3:22" x14ac:dyDescent="0.25">
      <c r="C3" s="68" t="s">
        <v>121</v>
      </c>
      <c r="D3" s="69">
        <v>0.02</v>
      </c>
      <c r="E3" s="70"/>
      <c r="F3" s="70"/>
      <c r="G3" s="71" t="s">
        <v>119</v>
      </c>
      <c r="K3" s="90" t="s">
        <v>122</v>
      </c>
      <c r="L3" s="91">
        <f>'Stress Test Pro Forma'!D27</f>
        <v>805429.45034883113</v>
      </c>
      <c r="R3" s="90" t="s">
        <v>122</v>
      </c>
      <c r="S3" s="91">
        <f>'Stress Test Pro Forma'!E27</f>
        <v>791256.62385593972</v>
      </c>
    </row>
    <row r="4" spans="3:22" ht="30" x14ac:dyDescent="0.25">
      <c r="C4" s="72" t="s">
        <v>108</v>
      </c>
      <c r="D4" s="73" t="s">
        <v>106</v>
      </c>
      <c r="E4" s="70"/>
      <c r="F4" s="70"/>
      <c r="G4" s="71">
        <f>IF(AND(D4="Yes",'Stress Test Inputs'!C23="ARM"),1,0)</f>
        <v>0</v>
      </c>
      <c r="J4" s="1"/>
      <c r="K4" s="92">
        <v>0</v>
      </c>
      <c r="L4" s="96">
        <f t="dataTable" ref="L4:L8" dt2D="0" dtr="0" r1="D3" ca="1"/>
        <v>805429.45034883113</v>
      </c>
      <c r="Q4" s="1"/>
      <c r="R4" s="92">
        <v>0</v>
      </c>
      <c r="S4" s="96">
        <f t="dataTable" ref="S4:S8" dt2D="0" dtr="0" r1="D3"/>
        <v>791256.62385593972</v>
      </c>
    </row>
    <row r="5" spans="3:22" x14ac:dyDescent="0.25">
      <c r="C5" s="74" t="s">
        <v>107</v>
      </c>
      <c r="D5" s="75">
        <f>(D3*G4)</f>
        <v>0</v>
      </c>
      <c r="E5" s="76"/>
      <c r="F5" s="76"/>
      <c r="G5" s="77"/>
      <c r="J5" t="s">
        <v>104</v>
      </c>
      <c r="K5" s="93">
        <v>0.01</v>
      </c>
      <c r="L5" s="97">
        <v>805429.45034883113</v>
      </c>
      <c r="Q5" t="s">
        <v>104</v>
      </c>
      <c r="R5" s="93">
        <v>0.01</v>
      </c>
      <c r="S5" s="97">
        <v>791256.62385593972</v>
      </c>
    </row>
    <row r="6" spans="3:22" x14ac:dyDescent="0.25">
      <c r="K6" s="93">
        <v>0.02</v>
      </c>
      <c r="L6" s="97">
        <v>805429.45034883113</v>
      </c>
      <c r="R6" s="93">
        <v>0.02</v>
      </c>
      <c r="S6" s="97">
        <v>791256.62385593972</v>
      </c>
    </row>
    <row r="7" spans="3:22" x14ac:dyDescent="0.25">
      <c r="K7" s="93">
        <v>0.03</v>
      </c>
      <c r="L7" s="97">
        <v>805429.45034883113</v>
      </c>
      <c r="R7" s="93">
        <v>0.03</v>
      </c>
      <c r="S7" s="97">
        <v>791256.62385593972</v>
      </c>
    </row>
    <row r="8" spans="3:22" x14ac:dyDescent="0.25">
      <c r="C8" t="s">
        <v>140</v>
      </c>
      <c r="K8" s="95">
        <v>0.04</v>
      </c>
      <c r="L8" s="98">
        <v>805429.45034883113</v>
      </c>
      <c r="R8" s="95">
        <v>0.04</v>
      </c>
      <c r="S8" s="98">
        <v>791256.62385593972</v>
      </c>
    </row>
    <row r="9" spans="3:22" x14ac:dyDescent="0.25">
      <c r="L9" t="s">
        <v>123</v>
      </c>
      <c r="S9" t="s">
        <v>123</v>
      </c>
    </row>
    <row r="10" spans="3:22" ht="15.75" x14ac:dyDescent="0.25">
      <c r="C10" s="14"/>
    </row>
    <row r="11" spans="3:22" s="28" customFormat="1" x14ac:dyDescent="0.25"/>
    <row r="12" spans="3:22" x14ac:dyDescent="0.25">
      <c r="I12" t="s">
        <v>125</v>
      </c>
    </row>
    <row r="13" spans="3:22" ht="18.75" x14ac:dyDescent="0.3">
      <c r="C13" s="78" t="s">
        <v>115</v>
      </c>
      <c r="D13" s="79"/>
      <c r="E13" s="79"/>
      <c r="F13" s="79"/>
      <c r="G13" s="80"/>
      <c r="K13" t="s">
        <v>138</v>
      </c>
      <c r="R13" t="s">
        <v>139</v>
      </c>
    </row>
    <row r="14" spans="3:22" x14ac:dyDescent="0.25">
      <c r="C14" s="81" t="s">
        <v>118</v>
      </c>
      <c r="D14" s="82">
        <v>-0.02</v>
      </c>
      <c r="E14" s="83"/>
      <c r="F14" s="83"/>
      <c r="G14" s="84" t="s">
        <v>119</v>
      </c>
      <c r="K14" s="90"/>
      <c r="L14" s="91">
        <f>'Stress Test Pro Forma'!D25</f>
        <v>1018401.8880000003</v>
      </c>
      <c r="R14" s="90"/>
      <c r="S14" s="91">
        <f>'Stress Test Pro Forma'!E25</f>
        <v>1048192.7899200004</v>
      </c>
    </row>
    <row r="15" spans="3:22" ht="15.75" x14ac:dyDescent="0.25">
      <c r="C15" s="85" t="s">
        <v>105</v>
      </c>
      <c r="D15" s="86" t="s">
        <v>106</v>
      </c>
      <c r="E15" s="87"/>
      <c r="F15" s="87"/>
      <c r="G15" s="88">
        <f>IF(D15="Yes",1,0)</f>
        <v>0</v>
      </c>
      <c r="J15" s="1"/>
      <c r="K15" s="102">
        <v>-0.06</v>
      </c>
      <c r="L15" s="96">
        <f t="dataTable" ref="L15:L19" dt2D="0" dtr="0" r1="D14" ca="1"/>
        <v>1018401.8880000003</v>
      </c>
      <c r="Q15" s="1"/>
      <c r="R15" s="102">
        <v>-0.06</v>
      </c>
      <c r="S15" s="96">
        <f t="dataTable" ref="S15:S19" dt2D="0" dtr="0" r1="D14"/>
        <v>1048192.7899200004</v>
      </c>
    </row>
    <row r="16" spans="3:22" x14ac:dyDescent="0.25">
      <c r="J16" t="s">
        <v>104</v>
      </c>
      <c r="K16" s="101">
        <v>-0.05</v>
      </c>
      <c r="L16" s="97">
        <v>1018401.8880000003</v>
      </c>
      <c r="Q16" t="s">
        <v>104</v>
      </c>
      <c r="R16" s="101">
        <v>-0.05</v>
      </c>
      <c r="S16" s="97">
        <v>1048192.7899200004</v>
      </c>
    </row>
    <row r="17" spans="3:19" x14ac:dyDescent="0.25">
      <c r="K17" s="101">
        <v>-0.04</v>
      </c>
      <c r="L17" s="97">
        <v>1018401.8880000003</v>
      </c>
      <c r="R17" s="101">
        <v>-0.04</v>
      </c>
      <c r="S17" s="97">
        <v>1048192.7899200004</v>
      </c>
    </row>
    <row r="18" spans="3:19" x14ac:dyDescent="0.25">
      <c r="K18" s="101">
        <v>-0.03</v>
      </c>
      <c r="L18" s="97">
        <v>1018401.8880000003</v>
      </c>
      <c r="R18" s="101">
        <v>-0.03</v>
      </c>
      <c r="S18" s="97">
        <v>1048192.7899200004</v>
      </c>
    </row>
    <row r="19" spans="3:19" x14ac:dyDescent="0.25">
      <c r="K19" s="100">
        <v>-0.02</v>
      </c>
      <c r="L19" s="98">
        <v>1018401.8880000003</v>
      </c>
      <c r="R19" s="100">
        <v>-0.02</v>
      </c>
      <c r="S19" s="98">
        <v>1048192.7899200004</v>
      </c>
    </row>
    <row r="20" spans="3:19" x14ac:dyDescent="0.25">
      <c r="L20" t="s">
        <v>137</v>
      </c>
      <c r="S20" t="s">
        <v>137</v>
      </c>
    </row>
    <row r="22" spans="3:19" s="99" customFormat="1" x14ac:dyDescent="0.25"/>
    <row r="23" spans="3:19" x14ac:dyDescent="0.25">
      <c r="I23" t="s">
        <v>125</v>
      </c>
    </row>
    <row r="24" spans="3:19" ht="18.75" x14ac:dyDescent="0.3">
      <c r="C24" s="126" t="s">
        <v>141</v>
      </c>
      <c r="D24" s="127"/>
      <c r="E24" s="127"/>
      <c r="F24" s="127"/>
      <c r="G24" s="128"/>
    </row>
    <row r="25" spans="3:19" x14ac:dyDescent="0.25">
      <c r="C25" s="129" t="s">
        <v>118</v>
      </c>
      <c r="D25" s="130">
        <v>-0.02</v>
      </c>
      <c r="E25" s="131"/>
      <c r="F25" s="131"/>
      <c r="G25" s="132" t="s">
        <v>119</v>
      </c>
      <c r="K25" t="s">
        <v>142</v>
      </c>
    </row>
    <row r="26" spans="3:19" ht="15.75" x14ac:dyDescent="0.25">
      <c r="C26" s="133" t="s">
        <v>105</v>
      </c>
      <c r="D26" s="134" t="s">
        <v>106</v>
      </c>
      <c r="E26" s="135"/>
      <c r="F26" s="135"/>
      <c r="G26" s="136">
        <f>IF(D26="Yes",1,0)</f>
        <v>0</v>
      </c>
      <c r="K26" s="90"/>
      <c r="L26" s="91">
        <f>'Stress Test Pro Forma'!D7</f>
        <v>-124286.40000000002</v>
      </c>
    </row>
    <row r="27" spans="3:19" x14ac:dyDescent="0.25">
      <c r="J27" s="1"/>
      <c r="K27" s="102">
        <v>-0.04</v>
      </c>
      <c r="L27" s="96">
        <f t="dataTable" ref="L27:L31" dt2D="0" dtr="0" r1="D25" ca="1"/>
        <v>-124286.40000000002</v>
      </c>
    </row>
    <row r="28" spans="3:19" x14ac:dyDescent="0.25">
      <c r="J28" t="s">
        <v>104</v>
      </c>
      <c r="K28" s="101">
        <v>-0.03</v>
      </c>
      <c r="L28" s="97">
        <v>-124286.40000000002</v>
      </c>
    </row>
    <row r="29" spans="3:19" x14ac:dyDescent="0.25">
      <c r="K29" s="101">
        <v>-0.02</v>
      </c>
      <c r="L29" s="97">
        <v>-124286.40000000002</v>
      </c>
    </row>
    <row r="30" spans="3:19" x14ac:dyDescent="0.25">
      <c r="K30" s="101">
        <v>-0.01</v>
      </c>
      <c r="L30" s="97">
        <v>-124286.40000000002</v>
      </c>
    </row>
    <row r="31" spans="3:19" x14ac:dyDescent="0.25">
      <c r="K31" s="100">
        <v>0</v>
      </c>
      <c r="L31" s="98">
        <v>-124286.40000000002</v>
      </c>
    </row>
    <row r="32" spans="3:19" x14ac:dyDescent="0.25">
      <c r="L32" t="s">
        <v>58</v>
      </c>
    </row>
    <row r="34" spans="3:12" s="106" customFormat="1" x14ac:dyDescent="0.25"/>
    <row r="35" spans="3:12" x14ac:dyDescent="0.25">
      <c r="I35" t="s">
        <v>125</v>
      </c>
    </row>
    <row r="36" spans="3:12" ht="18.75" x14ac:dyDescent="0.3">
      <c r="C36" s="137" t="s">
        <v>150</v>
      </c>
      <c r="D36" s="138"/>
      <c r="E36" s="138"/>
      <c r="F36" s="138"/>
      <c r="G36" s="139"/>
    </row>
    <row r="37" spans="3:12" x14ac:dyDescent="0.25">
      <c r="C37" s="31" t="s">
        <v>152</v>
      </c>
      <c r="D37" s="140">
        <v>0.01</v>
      </c>
      <c r="E37" s="141"/>
      <c r="F37" s="141"/>
      <c r="G37" s="32" t="s">
        <v>119</v>
      </c>
      <c r="K37" t="s">
        <v>142</v>
      </c>
    </row>
    <row r="38" spans="3:12" ht="15.75" x14ac:dyDescent="0.25">
      <c r="C38" s="142" t="s">
        <v>105</v>
      </c>
      <c r="D38" s="143" t="s">
        <v>151</v>
      </c>
      <c r="E38" s="144"/>
      <c r="F38" s="144"/>
      <c r="G38" s="145">
        <f>IF(D38="Yes",1,0)</f>
        <v>1</v>
      </c>
      <c r="K38" s="90"/>
      <c r="L38" s="91">
        <f>'Stress Test Pro Forma'!K11</f>
        <v>15237311.588214979</v>
      </c>
    </row>
    <row r="39" spans="3:12" x14ac:dyDescent="0.25">
      <c r="J39" s="1"/>
      <c r="K39" s="102">
        <v>0.02</v>
      </c>
      <c r="L39" s="96">
        <f t="dataTable" ref="L39:L43" dt2D="0" dtr="0" r1="D37" ca="1"/>
        <v>13444686.695483802</v>
      </c>
    </row>
    <row r="40" spans="3:12" x14ac:dyDescent="0.25">
      <c r="J40" t="s">
        <v>104</v>
      </c>
      <c r="K40" s="101">
        <v>1.4999999999999999E-2</v>
      </c>
      <c r="L40" s="97">
        <v>14284979.613951541</v>
      </c>
    </row>
    <row r="41" spans="3:12" x14ac:dyDescent="0.25">
      <c r="K41" s="101">
        <v>0.01</v>
      </c>
      <c r="L41" s="97">
        <v>15237311.588214979</v>
      </c>
    </row>
    <row r="42" spans="3:12" x14ac:dyDescent="0.25">
      <c r="K42" s="101">
        <v>5.0000000000000001E-3</v>
      </c>
      <c r="L42" s="97">
        <v>16325690.987373188</v>
      </c>
    </row>
    <row r="43" spans="3:12" x14ac:dyDescent="0.25">
      <c r="K43" s="100">
        <v>0</v>
      </c>
      <c r="L43" s="98">
        <v>17581513.371017281</v>
      </c>
    </row>
    <row r="44" spans="3:12" x14ac:dyDescent="0.25">
      <c r="L44" t="s">
        <v>148</v>
      </c>
    </row>
    <row r="52" spans="3:8" x14ac:dyDescent="0.25">
      <c r="D52" t="s">
        <v>94</v>
      </c>
      <c r="E52" t="s">
        <v>110</v>
      </c>
      <c r="F52" t="s">
        <v>111</v>
      </c>
      <c r="G52" t="s">
        <v>112</v>
      </c>
      <c r="H52" t="s">
        <v>113</v>
      </c>
    </row>
    <row r="53" spans="3:8" x14ac:dyDescent="0.25">
      <c r="C53" t="s">
        <v>116</v>
      </c>
      <c r="D53" s="9">
        <f>'Property Pro Forma Financials'!C6</f>
        <v>1728000</v>
      </c>
      <c r="E53" s="9">
        <f>'Property Pro Forma Financials'!D6</f>
        <v>1775520.0000000002</v>
      </c>
      <c r="F53" s="9">
        <f>'Property Pro Forma Financials'!E6</f>
        <v>1824346.8000000003</v>
      </c>
      <c r="G53" s="9">
        <f>'Property Pro Forma Financials'!F6</f>
        <v>1874516.3370000005</v>
      </c>
      <c r="H53" s="9">
        <f>'Property Pro Forma Financials'!G6</f>
        <v>1926065.5362675006</v>
      </c>
    </row>
    <row r="54" spans="3:8" x14ac:dyDescent="0.25">
      <c r="C54" t="s">
        <v>109</v>
      </c>
      <c r="D54" s="63">
        <f>'Property Pro Forma Financials'!C30</f>
        <v>1.228466626805703</v>
      </c>
      <c r="E54" s="63">
        <f>'Property Pro Forma Financials'!D30</f>
        <v>1.2644209713947396</v>
      </c>
      <c r="F54" s="63">
        <f>'Property Pro Forma Financials'!E30</f>
        <v>1.3247191344976845</v>
      </c>
      <c r="G54" s="63">
        <f>'Property Pro Forma Financials'!F30</f>
        <v>1.3811211238251029</v>
      </c>
      <c r="H54" s="63">
        <f>'Property Pro Forma Financials'!G30</f>
        <v>1.4214815509694512</v>
      </c>
    </row>
    <row r="57" spans="3:8" x14ac:dyDescent="0.25">
      <c r="D57" t="s">
        <v>94</v>
      </c>
      <c r="E57" t="s">
        <v>110</v>
      </c>
      <c r="F57" t="s">
        <v>111</v>
      </c>
      <c r="G57" t="s">
        <v>112</v>
      </c>
      <c r="H57" t="s">
        <v>113</v>
      </c>
    </row>
    <row r="58" spans="3:8" x14ac:dyDescent="0.25">
      <c r="C58" t="s">
        <v>117</v>
      </c>
      <c r="D58" s="9">
        <f>'Stress Test Pro Forma'!C6</f>
        <v>1728000</v>
      </c>
      <c r="E58" s="9">
        <f>'Stress Test Pro Forma'!D6</f>
        <v>1775520.0000000002</v>
      </c>
      <c r="F58" s="9">
        <f>'Stress Test Pro Forma'!E6</f>
        <v>1824346.8000000003</v>
      </c>
      <c r="G58" s="9">
        <f>'Stress Test Pro Forma'!F6</f>
        <v>1874516.3370000005</v>
      </c>
      <c r="H58" s="9">
        <f>'Stress Test Pro Forma'!G6</f>
        <v>1926065.5362675006</v>
      </c>
    </row>
    <row r="59" spans="3:8" x14ac:dyDescent="0.25">
      <c r="C59" t="s">
        <v>114</v>
      </c>
      <c r="D59" s="25">
        <f>'Stress Test Pro Forma'!C30</f>
        <v>1.228466626805703</v>
      </c>
      <c r="E59" s="25">
        <f>'Stress Test Pro Forma'!D30</f>
        <v>1.2644209713947396</v>
      </c>
      <c r="F59" s="25">
        <f>'Stress Test Pro Forma'!E30</f>
        <v>1.3247191344976845</v>
      </c>
      <c r="G59" s="25">
        <f>'Stress Test Pro Forma'!F30</f>
        <v>1.3811211238251029</v>
      </c>
      <c r="H59" s="25">
        <f>'Stress Test Pro Forma'!G30</f>
        <v>1.4214815509694512</v>
      </c>
    </row>
  </sheetData>
  <mergeCells count="2">
    <mergeCell ref="K2:O2"/>
    <mergeCell ref="R2:V2"/>
  </mergeCells>
  <phoneticPr fontId="7" type="noConversion"/>
  <conditionalFormatting sqref="J1">
    <cfRule type="expression" dxfId="7" priority="7">
      <formula>$D$4="Yes"</formula>
    </cfRule>
    <cfRule type="expression" dxfId="6" priority="8">
      <formula>$D$4="No"</formula>
    </cfRule>
  </conditionalFormatting>
  <conditionalFormatting sqref="J12">
    <cfRule type="expression" dxfId="5" priority="5">
      <formula>$D$15="Yes"</formula>
    </cfRule>
    <cfRule type="expression" dxfId="4" priority="6">
      <formula>$D$15="No"</formula>
    </cfRule>
  </conditionalFormatting>
  <conditionalFormatting sqref="J23">
    <cfRule type="expression" dxfId="3" priority="3">
      <formula>$D$26="Yes"</formula>
    </cfRule>
    <cfRule type="expression" dxfId="2" priority="4">
      <formula>$D$26="No"</formula>
    </cfRule>
  </conditionalFormatting>
  <conditionalFormatting sqref="J35">
    <cfRule type="expression" dxfId="1" priority="1">
      <formula>$D$38="Yes"</formula>
    </cfRule>
    <cfRule type="expression" dxfId="0" priority="2">
      <formula>$D$38="No"</formula>
    </cfRule>
  </conditionalFormatting>
  <dataValidations count="1">
    <dataValidation type="list" allowBlank="1" showInputMessage="1" showErrorMessage="1" sqref="D4 D15 D26 D38" xr:uid="{BC9E131D-A4F9-4F2F-BA8A-DE686CF75DCC}">
      <formula1>"Yes, No"</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Input Data</vt:lpstr>
      <vt:lpstr>Debt calculations</vt:lpstr>
      <vt:lpstr>Property Pro Forma Financials</vt:lpstr>
      <vt:lpstr>Final Analysis</vt:lpstr>
      <vt:lpstr>Stress Test Inputs</vt:lpstr>
      <vt:lpstr>Stress Test Debt Calc</vt:lpstr>
      <vt:lpstr>Stress Test Pro Forma</vt:lpstr>
      <vt:lpstr>Stress Test Financial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dc:creator>
  <cp:lastModifiedBy>Michael Shelly</cp:lastModifiedBy>
  <dcterms:created xsi:type="dcterms:W3CDTF">2015-06-05T18:17:20Z</dcterms:created>
  <dcterms:modified xsi:type="dcterms:W3CDTF">2026-01-08T17:21:22Z</dcterms:modified>
</cp:coreProperties>
</file>