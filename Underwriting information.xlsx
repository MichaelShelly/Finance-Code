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B4AABAC5-C64A-4CBF-8070-BBFD1E305B4D}" xr6:coauthVersionLast="47" xr6:coauthVersionMax="47" xr10:uidLastSave="{00000000-0000-0000-0000-000000000000}"/>
  <bookViews>
    <workbookView xWindow="-120" yWindow="-120" windowWidth="38640" windowHeight="21120" activeTab="7" xr2:uid="{00000000-000D-0000-FFFF-FFFF00000000}"/>
  </bookViews>
  <sheets>
    <sheet name="Input Data" sheetId="1" r:id="rId1"/>
    <sheet name="Debt calculations" sheetId="2" r:id="rId2"/>
    <sheet name="Property Pro Forma Financials" sheetId="3" r:id="rId3"/>
    <sheet name="Final Analysis" sheetId="4" r:id="rId4"/>
    <sheet name="Stress Test Inputs" sheetId="7" r:id="rId5"/>
    <sheet name="Stress Test Debt Calc" sheetId="6" r:id="rId6"/>
    <sheet name="Stress Test Pro Forma" sheetId="12" r:id="rId7"/>
    <sheet name="Stress Test Financial Analysi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9" l="1"/>
  <c r="N5" i="7"/>
  <c r="N4" i="7"/>
  <c r="D37" i="12"/>
  <c r="C37" i="12"/>
  <c r="B37" i="12"/>
  <c r="D36" i="12"/>
  <c r="C36" i="12"/>
  <c r="B36" i="12"/>
  <c r="B35" i="12"/>
  <c r="C29" i="12"/>
  <c r="C23" i="12"/>
  <c r="D23" i="12" s="1"/>
  <c r="E23" i="12" s="1"/>
  <c r="F23" i="12" s="1"/>
  <c r="G23" i="12" s="1"/>
  <c r="C20" i="12"/>
  <c r="D20" i="12" s="1"/>
  <c r="E20" i="12" s="1"/>
  <c r="F20" i="12" s="1"/>
  <c r="G20" i="12" s="1"/>
  <c r="C19" i="12"/>
  <c r="C21" i="12" s="1"/>
  <c r="C6" i="12"/>
  <c r="C9" i="12" s="1"/>
  <c r="G27" i="12"/>
  <c r="F27" i="12"/>
  <c r="E27" i="12"/>
  <c r="D27" i="12"/>
  <c r="C27" i="12"/>
  <c r="D23" i="9"/>
  <c r="D21" i="9"/>
  <c r="D12" i="9"/>
  <c r="D26" i="9" s="1"/>
  <c r="D11" i="9"/>
  <c r="D6" i="9"/>
  <c r="D4" i="9"/>
  <c r="D5" i="9" s="1"/>
  <c r="D3" i="9"/>
  <c r="D25" i="9" s="1"/>
  <c r="C17" i="7"/>
  <c r="B17" i="7"/>
  <c r="K12" i="7"/>
  <c r="I12" i="7"/>
  <c r="H12" i="7"/>
  <c r="F12" i="7"/>
  <c r="C12" i="7"/>
  <c r="D12" i="7"/>
  <c r="E12" i="7"/>
  <c r="B12" i="7"/>
  <c r="C8" i="7"/>
  <c r="D8" i="7"/>
  <c r="E8" i="7"/>
  <c r="H8" i="7"/>
  <c r="B8" i="7"/>
  <c r="J3" i="7"/>
  <c r="I3" i="7"/>
  <c r="G3" i="7"/>
  <c r="F3" i="7"/>
  <c r="E3" i="7"/>
  <c r="D3" i="7"/>
  <c r="C3" i="7"/>
  <c r="B3" i="7"/>
  <c r="M9" i="6"/>
  <c r="A3" i="6"/>
  <c r="D3" i="6"/>
  <c r="B3" i="6"/>
  <c r="C4" i="6"/>
  <c r="A4" i="6" s="1"/>
  <c r="B4" i="6" s="1"/>
  <c r="B35" i="3"/>
  <c r="B36" i="3"/>
  <c r="C36" i="3"/>
  <c r="D36" i="3"/>
  <c r="B37" i="3"/>
  <c r="C37" i="3"/>
  <c r="D37" i="3"/>
  <c r="E23" i="3"/>
  <c r="F23" i="3" s="1"/>
  <c r="G23" i="3" s="1"/>
  <c r="D23" i="3"/>
  <c r="C29" i="3"/>
  <c r="D23" i="4"/>
  <c r="C6" i="3"/>
  <c r="C9" i="3" s="1"/>
  <c r="D3" i="2"/>
  <c r="M9" i="2"/>
  <c r="D3" i="4"/>
  <c r="D25" i="4" s="1"/>
  <c r="B3" i="2"/>
  <c r="C23" i="3"/>
  <c r="C20" i="3"/>
  <c r="D20" i="3" s="1"/>
  <c r="E20" i="3" s="1"/>
  <c r="F20" i="3" s="1"/>
  <c r="G20" i="3" s="1"/>
  <c r="C19" i="3"/>
  <c r="C21" i="3" s="1"/>
  <c r="A3" i="2"/>
  <c r="C4" i="2"/>
  <c r="C5" i="2" s="1"/>
  <c r="C6" i="2" s="1"/>
  <c r="C7" i="2" s="1"/>
  <c r="A7" i="2" s="1"/>
  <c r="D6" i="12" l="1"/>
  <c r="C7" i="12"/>
  <c r="C8" i="12" s="1"/>
  <c r="C10" i="12" s="1"/>
  <c r="D19" i="12"/>
  <c r="G3" i="6"/>
  <c r="C5" i="6"/>
  <c r="E3" i="6"/>
  <c r="F3" i="6" s="1"/>
  <c r="D6" i="3"/>
  <c r="C7" i="3"/>
  <c r="A6" i="2"/>
  <c r="A4" i="2"/>
  <c r="D19" i="3"/>
  <c r="D11" i="4"/>
  <c r="E3" i="2"/>
  <c r="G3" i="2"/>
  <c r="C8" i="3"/>
  <c r="C10" i="3" s="1"/>
  <c r="A5" i="2"/>
  <c r="C8" i="2"/>
  <c r="A8" i="2" s="1"/>
  <c r="C13" i="12" l="1"/>
  <c r="C14" i="12"/>
  <c r="C15" i="12"/>
  <c r="C16" i="12"/>
  <c r="D9" i="12"/>
  <c r="D7" i="12"/>
  <c r="E6" i="12"/>
  <c r="D8" i="12"/>
  <c r="D10" i="12" s="1"/>
  <c r="D21" i="12"/>
  <c r="E19" i="12"/>
  <c r="C6" i="6"/>
  <c r="A5" i="6"/>
  <c r="B5" i="6" s="1"/>
  <c r="H3" i="6"/>
  <c r="I3" i="6" s="1"/>
  <c r="D4" i="6" s="1"/>
  <c r="E19" i="3"/>
  <c r="D21" i="3"/>
  <c r="D7" i="3"/>
  <c r="D9" i="3"/>
  <c r="D8" i="3"/>
  <c r="D10" i="3" s="1"/>
  <c r="E6" i="3"/>
  <c r="D4" i="4"/>
  <c r="D5" i="4" s="1"/>
  <c r="F3" i="2"/>
  <c r="C16" i="3"/>
  <c r="C15" i="3"/>
  <c r="C14" i="3"/>
  <c r="C13" i="3"/>
  <c r="C9" i="2"/>
  <c r="A9" i="2" s="1"/>
  <c r="E9" i="12" l="1"/>
  <c r="E7" i="12"/>
  <c r="F6" i="12"/>
  <c r="D16" i="12"/>
  <c r="D15" i="12"/>
  <c r="D14" i="12"/>
  <c r="D13" i="12"/>
  <c r="F19" i="12"/>
  <c r="E21" i="12"/>
  <c r="C17" i="12"/>
  <c r="C25" i="12" s="1"/>
  <c r="C30" i="12" s="1"/>
  <c r="E8" i="12"/>
  <c r="E10" i="12" s="1"/>
  <c r="A6" i="6"/>
  <c r="B6" i="6" s="1"/>
  <c r="C7" i="6"/>
  <c r="E4" i="6"/>
  <c r="F4" i="6" s="1"/>
  <c r="G4" i="6"/>
  <c r="E7" i="3"/>
  <c r="E8" i="3" s="1"/>
  <c r="E9" i="3"/>
  <c r="F6" i="3"/>
  <c r="D14" i="3"/>
  <c r="D15" i="3"/>
  <c r="D16" i="3"/>
  <c r="D13" i="3"/>
  <c r="F19" i="3"/>
  <c r="E21" i="3"/>
  <c r="C17" i="3"/>
  <c r="C25" i="3" s="1"/>
  <c r="C10" i="2"/>
  <c r="A10" i="2" s="1"/>
  <c r="E15" i="12" l="1"/>
  <c r="E13" i="12"/>
  <c r="E16" i="12"/>
  <c r="E14" i="12"/>
  <c r="F9" i="12"/>
  <c r="G6" i="12"/>
  <c r="F7" i="12"/>
  <c r="F8" i="12"/>
  <c r="F10" i="12" s="1"/>
  <c r="G19" i="12"/>
  <c r="G21" i="12" s="1"/>
  <c r="F21" i="12"/>
  <c r="D17" i="12"/>
  <c r="D25" i="12" s="1"/>
  <c r="D30" i="12" s="1"/>
  <c r="H4" i="6"/>
  <c r="I4" i="6" s="1"/>
  <c r="D5" i="6" s="1"/>
  <c r="G5" i="6" s="1"/>
  <c r="A7" i="6"/>
  <c r="B7" i="6" s="1"/>
  <c r="C8" i="6"/>
  <c r="E10" i="3"/>
  <c r="E14" i="3"/>
  <c r="E15" i="3"/>
  <c r="E16" i="3"/>
  <c r="E13" i="3"/>
  <c r="D12" i="4"/>
  <c r="D26" i="4" s="1"/>
  <c r="F21" i="3"/>
  <c r="G19" i="3"/>
  <c r="G21" i="3" s="1"/>
  <c r="D17" i="3"/>
  <c r="D25" i="3" s="1"/>
  <c r="G6" i="3"/>
  <c r="F7" i="3"/>
  <c r="F8" i="3" s="1"/>
  <c r="F10" i="3" s="1"/>
  <c r="F9" i="3"/>
  <c r="C11" i="2"/>
  <c r="A11" i="2" s="1"/>
  <c r="F15" i="12" l="1"/>
  <c r="F14" i="12"/>
  <c r="F16" i="12"/>
  <c r="F13" i="12"/>
  <c r="G7" i="12"/>
  <c r="G9" i="12"/>
  <c r="G8" i="12"/>
  <c r="G10" i="12" s="1"/>
  <c r="E17" i="12"/>
  <c r="E25" i="12" s="1"/>
  <c r="E30" i="12" s="1"/>
  <c r="E5" i="6"/>
  <c r="H5" i="6" s="1"/>
  <c r="I5" i="6" s="1"/>
  <c r="D6" i="6" s="1"/>
  <c r="A8" i="6"/>
  <c r="B8" i="6" s="1"/>
  <c r="C9" i="6"/>
  <c r="F15" i="3"/>
  <c r="F13" i="3"/>
  <c r="F14" i="3"/>
  <c r="F16" i="3"/>
  <c r="F17" i="3" s="1"/>
  <c r="F25" i="3" s="1"/>
  <c r="G7" i="3"/>
  <c r="G8" i="3" s="1"/>
  <c r="G10" i="3" s="1"/>
  <c r="G9" i="3"/>
  <c r="E17" i="3"/>
  <c r="E25" i="3" s="1"/>
  <c r="C12" i="2"/>
  <c r="A12" i="2" s="1"/>
  <c r="G15" i="12" l="1"/>
  <c r="G16" i="12"/>
  <c r="G13" i="12"/>
  <c r="G14" i="12"/>
  <c r="G17" i="12"/>
  <c r="G25" i="12" s="1"/>
  <c r="G30" i="12" s="1"/>
  <c r="F17" i="12"/>
  <c r="F25" i="12" s="1"/>
  <c r="F30" i="12" s="1"/>
  <c r="F5" i="6"/>
  <c r="G6" i="6"/>
  <c r="E6" i="6"/>
  <c r="H6" i="6" s="1"/>
  <c r="I6" i="6" s="1"/>
  <c r="D7" i="6" s="1"/>
  <c r="G7" i="6" s="1"/>
  <c r="A9" i="6"/>
  <c r="B9" i="6" s="1"/>
  <c r="C10" i="6"/>
  <c r="G14" i="3"/>
  <c r="G16" i="3"/>
  <c r="G15" i="3"/>
  <c r="G13" i="3"/>
  <c r="G17" i="3" s="1"/>
  <c r="G25" i="3" s="1"/>
  <c r="C13" i="2"/>
  <c r="A13" i="2" s="1"/>
  <c r="E7" i="6" l="1"/>
  <c r="F6" i="6"/>
  <c r="A10" i="6"/>
  <c r="B10" i="6" s="1"/>
  <c r="C11" i="6"/>
  <c r="H7" i="6"/>
  <c r="I7" i="6" s="1"/>
  <c r="D8" i="6" s="1"/>
  <c r="F7" i="6"/>
  <c r="C14" i="2"/>
  <c r="A14" i="2" s="1"/>
  <c r="A11" i="6" l="1"/>
  <c r="B11" i="6" s="1"/>
  <c r="C12" i="6"/>
  <c r="E8" i="6"/>
  <c r="F8" i="6" s="1"/>
  <c r="G8" i="6"/>
  <c r="C15" i="2"/>
  <c r="A15" i="2" s="1"/>
  <c r="H8" i="6" l="1"/>
  <c r="I8" i="6" s="1"/>
  <c r="D9" i="6" s="1"/>
  <c r="E9" i="6" s="1"/>
  <c r="A12" i="6"/>
  <c r="B12" i="6" s="1"/>
  <c r="C13" i="6"/>
  <c r="C16" i="2"/>
  <c r="A16" i="2" s="1"/>
  <c r="G9" i="6" l="1"/>
  <c r="H9" i="6" s="1"/>
  <c r="I9" i="6" s="1"/>
  <c r="D10" i="6" s="1"/>
  <c r="A13" i="6"/>
  <c r="B13" i="6" s="1"/>
  <c r="C14" i="6"/>
  <c r="F9" i="6"/>
  <c r="C17" i="2"/>
  <c r="A17" i="2" s="1"/>
  <c r="G10" i="6" l="1"/>
  <c r="E10" i="6"/>
  <c r="F10" i="6" s="1"/>
  <c r="H10" i="6"/>
  <c r="I10" i="6" s="1"/>
  <c r="D11" i="6" s="1"/>
  <c r="A14" i="6"/>
  <c r="B14" i="6" s="1"/>
  <c r="C15" i="6"/>
  <c r="G11" i="6"/>
  <c r="E11" i="6"/>
  <c r="H11" i="6" s="1"/>
  <c r="I11" i="6" s="1"/>
  <c r="D12" i="6" s="1"/>
  <c r="C18" i="2"/>
  <c r="A18" i="2" s="1"/>
  <c r="A15" i="6" l="1"/>
  <c r="B15" i="6" s="1"/>
  <c r="C16" i="6"/>
  <c r="G12" i="6"/>
  <c r="E12" i="6"/>
  <c r="F11" i="6"/>
  <c r="C19" i="2"/>
  <c r="A19" i="2" s="1"/>
  <c r="A16" i="6" l="1"/>
  <c r="B16" i="6" s="1"/>
  <c r="C17" i="6"/>
  <c r="H12" i="6"/>
  <c r="I12" i="6" s="1"/>
  <c r="D13" i="6" s="1"/>
  <c r="F12" i="6"/>
  <c r="C20" i="2"/>
  <c r="A20" i="2" s="1"/>
  <c r="A17" i="6" l="1"/>
  <c r="B17" i="6" s="1"/>
  <c r="C18" i="6"/>
  <c r="E13" i="6"/>
  <c r="F13" i="6" s="1"/>
  <c r="G13" i="6"/>
  <c r="C21" i="2"/>
  <c r="A21" i="2" s="1"/>
  <c r="A18" i="6" l="1"/>
  <c r="B18" i="6" s="1"/>
  <c r="C19" i="6"/>
  <c r="H13" i="6"/>
  <c r="I13" i="6" s="1"/>
  <c r="D14" i="6" s="1"/>
  <c r="C22" i="2"/>
  <c r="A22" i="2" s="1"/>
  <c r="A19" i="6" l="1"/>
  <c r="B19" i="6" s="1"/>
  <c r="C20" i="6"/>
  <c r="G14" i="6"/>
  <c r="E14" i="6"/>
  <c r="C23" i="2"/>
  <c r="A23" i="2" s="1"/>
  <c r="A20" i="6" l="1"/>
  <c r="B20" i="6" s="1"/>
  <c r="C21" i="6"/>
  <c r="H14" i="6"/>
  <c r="I14" i="6" s="1"/>
  <c r="D15" i="6" s="1"/>
  <c r="F14" i="6"/>
  <c r="C24" i="2"/>
  <c r="A24" i="2" s="1"/>
  <c r="A21" i="6" l="1"/>
  <c r="B21" i="6" s="1"/>
  <c r="C22" i="6"/>
  <c r="G15" i="6"/>
  <c r="E15" i="6"/>
  <c r="F15" i="6" s="1"/>
  <c r="C25" i="2"/>
  <c r="A25" i="2" s="1"/>
  <c r="A22" i="6" l="1"/>
  <c r="B22" i="6" s="1"/>
  <c r="C23" i="6"/>
  <c r="H15" i="6"/>
  <c r="I15" i="6" s="1"/>
  <c r="D16" i="6" s="1"/>
  <c r="C26" i="2"/>
  <c r="A26" i="2" s="1"/>
  <c r="A23" i="6" l="1"/>
  <c r="B23" i="6" s="1"/>
  <c r="C24" i="6"/>
  <c r="G16" i="6"/>
  <c r="E16" i="6"/>
  <c r="C27" i="2"/>
  <c r="A27" i="2" s="1"/>
  <c r="A24" i="6" l="1"/>
  <c r="B24" i="6" s="1"/>
  <c r="C25" i="6"/>
  <c r="H16" i="6"/>
  <c r="I16" i="6" s="1"/>
  <c r="D17" i="6" s="1"/>
  <c r="F16" i="6"/>
  <c r="C28" i="2"/>
  <c r="A28" i="2" s="1"/>
  <c r="A25" i="6" l="1"/>
  <c r="B25" i="6" s="1"/>
  <c r="C26" i="6"/>
  <c r="E17" i="6"/>
  <c r="G17" i="6"/>
  <c r="C29" i="2"/>
  <c r="A29" i="2" s="1"/>
  <c r="H17" i="6" l="1"/>
  <c r="I17" i="6" s="1"/>
  <c r="D18" i="6" s="1"/>
  <c r="F17" i="6"/>
  <c r="A26" i="6"/>
  <c r="B26" i="6" s="1"/>
  <c r="C27" i="6"/>
  <c r="E18" i="6"/>
  <c r="G18" i="6"/>
  <c r="C30" i="2"/>
  <c r="A30" i="2" s="1"/>
  <c r="A27" i="6" l="1"/>
  <c r="B27" i="6" s="1"/>
  <c r="C28" i="6"/>
  <c r="H18" i="6"/>
  <c r="I18" i="6" s="1"/>
  <c r="D19" i="6" s="1"/>
  <c r="F18" i="6"/>
  <c r="C31" i="2"/>
  <c r="A31" i="2" s="1"/>
  <c r="A28" i="6" l="1"/>
  <c r="B28" i="6" s="1"/>
  <c r="C29" i="6"/>
  <c r="G19" i="6"/>
  <c r="E19" i="6"/>
  <c r="H19" i="6" s="1"/>
  <c r="I19" i="6" s="1"/>
  <c r="D20" i="6" s="1"/>
  <c r="C32" i="2"/>
  <c r="A32" i="2" s="1"/>
  <c r="F19" i="6" l="1"/>
  <c r="A29" i="6"/>
  <c r="B29" i="6" s="1"/>
  <c r="C30" i="6"/>
  <c r="G20" i="6"/>
  <c r="E20" i="6"/>
  <c r="C33" i="2"/>
  <c r="A33" i="2" s="1"/>
  <c r="A30" i="6" l="1"/>
  <c r="B30" i="6" s="1"/>
  <c r="C31" i="6"/>
  <c r="H20" i="6"/>
  <c r="I20" i="6" s="1"/>
  <c r="D21" i="6" s="1"/>
  <c r="F20" i="6"/>
  <c r="C34" i="2"/>
  <c r="A34" i="2" s="1"/>
  <c r="A31" i="6" l="1"/>
  <c r="B31" i="6" s="1"/>
  <c r="C32" i="6"/>
  <c r="E21" i="6"/>
  <c r="F21" i="6" s="1"/>
  <c r="G21" i="6"/>
  <c r="C35" i="2"/>
  <c r="A35" i="2" s="1"/>
  <c r="A32" i="6" l="1"/>
  <c r="B32" i="6" s="1"/>
  <c r="C33" i="6"/>
  <c r="H21" i="6"/>
  <c r="I21" i="6" s="1"/>
  <c r="D22" i="6" s="1"/>
  <c r="C36" i="2"/>
  <c r="A36" i="2" s="1"/>
  <c r="A33" i="6" l="1"/>
  <c r="B33" i="6" s="1"/>
  <c r="C34" i="6"/>
  <c r="G22" i="6"/>
  <c r="E22" i="6"/>
  <c r="F22" i="6" s="1"/>
  <c r="C37" i="2"/>
  <c r="A37" i="2" s="1"/>
  <c r="A34" i="6" l="1"/>
  <c r="B34" i="6" s="1"/>
  <c r="C35" i="6"/>
  <c r="H22" i="6"/>
  <c r="I22" i="6" s="1"/>
  <c r="D23" i="6" s="1"/>
  <c r="C38" i="2"/>
  <c r="A38" i="2" s="1"/>
  <c r="A35" i="6" l="1"/>
  <c r="B35" i="6" s="1"/>
  <c r="C36" i="6"/>
  <c r="G23" i="6"/>
  <c r="E23" i="6"/>
  <c r="C39" i="2"/>
  <c r="A39" i="2" s="1"/>
  <c r="A36" i="6" l="1"/>
  <c r="C37" i="6"/>
  <c r="B36" i="6"/>
  <c r="H23" i="6"/>
  <c r="I23" i="6" s="1"/>
  <c r="D24" i="6" s="1"/>
  <c r="F23" i="6"/>
  <c r="C40" i="2"/>
  <c r="A40" i="2" s="1"/>
  <c r="A37" i="6" l="1"/>
  <c r="B37" i="6" s="1"/>
  <c r="C38" i="6"/>
  <c r="G24" i="6"/>
  <c r="E24" i="6"/>
  <c r="F24" i="6" s="1"/>
  <c r="C41" i="2"/>
  <c r="A41" i="2" s="1"/>
  <c r="A38" i="6" l="1"/>
  <c r="B38" i="6" s="1"/>
  <c r="C39" i="6"/>
  <c r="H24" i="6"/>
  <c r="I24" i="6" s="1"/>
  <c r="D25" i="6" s="1"/>
  <c r="C42" i="2"/>
  <c r="A42" i="2" s="1"/>
  <c r="A39" i="6" l="1"/>
  <c r="B39" i="6" s="1"/>
  <c r="C40" i="6"/>
  <c r="E25" i="6"/>
  <c r="G25" i="6"/>
  <c r="C43" i="2"/>
  <c r="A43" i="2" s="1"/>
  <c r="A40" i="6" l="1"/>
  <c r="B40" i="6" s="1"/>
  <c r="C41" i="6"/>
  <c r="H25" i="6"/>
  <c r="I25" i="6" s="1"/>
  <c r="D26" i="6" s="1"/>
  <c r="F25" i="6"/>
  <c r="C44" i="2"/>
  <c r="A44" i="2" s="1"/>
  <c r="A41" i="6" l="1"/>
  <c r="B41" i="6" s="1"/>
  <c r="C42" i="6"/>
  <c r="E26" i="6"/>
  <c r="G26" i="6"/>
  <c r="C45" i="2"/>
  <c r="A45" i="2" s="1"/>
  <c r="A42" i="6" l="1"/>
  <c r="B42" i="6" s="1"/>
  <c r="C43" i="6"/>
  <c r="H26" i="6"/>
  <c r="I26" i="6" s="1"/>
  <c r="D27" i="6" s="1"/>
  <c r="F26" i="6"/>
  <c r="C46" i="2"/>
  <c r="A46" i="2" s="1"/>
  <c r="A43" i="6" l="1"/>
  <c r="B43" i="6" s="1"/>
  <c r="C44" i="6"/>
  <c r="G27" i="6"/>
  <c r="E27" i="6"/>
  <c r="H27" i="6" s="1"/>
  <c r="I27" i="6" s="1"/>
  <c r="D28" i="6" s="1"/>
  <c r="C47" i="2"/>
  <c r="A47" i="2" s="1"/>
  <c r="F27" i="6" l="1"/>
  <c r="A44" i="6"/>
  <c r="B44" i="6" s="1"/>
  <c r="C45" i="6"/>
  <c r="G28" i="6"/>
  <c r="E28" i="6"/>
  <c r="F28" i="6" s="1"/>
  <c r="C48" i="2"/>
  <c r="A48" i="2" s="1"/>
  <c r="A45" i="6" l="1"/>
  <c r="B45" i="6" s="1"/>
  <c r="C46" i="6"/>
  <c r="H28" i="6"/>
  <c r="I28" i="6" s="1"/>
  <c r="D29" i="6" s="1"/>
  <c r="C49" i="2"/>
  <c r="A49" i="2" s="1"/>
  <c r="A46" i="6" l="1"/>
  <c r="B46" i="6" s="1"/>
  <c r="C47" i="6"/>
  <c r="E29" i="6"/>
  <c r="F29" i="6" s="1"/>
  <c r="G29" i="6"/>
  <c r="C50" i="2"/>
  <c r="A50" i="2" s="1"/>
  <c r="A47" i="6" l="1"/>
  <c r="B47" i="6" s="1"/>
  <c r="C48" i="6"/>
  <c r="H29" i="6"/>
  <c r="I29" i="6" s="1"/>
  <c r="D30" i="6" s="1"/>
  <c r="C51" i="2"/>
  <c r="A51" i="2" s="1"/>
  <c r="A48" i="6" l="1"/>
  <c r="B48" i="6" s="1"/>
  <c r="C49" i="6"/>
  <c r="E30" i="6"/>
  <c r="G30" i="6"/>
  <c r="C52" i="2"/>
  <c r="A52" i="2" s="1"/>
  <c r="A49" i="6" l="1"/>
  <c r="B49" i="6" s="1"/>
  <c r="C50" i="6"/>
  <c r="H30" i="6"/>
  <c r="I30" i="6" s="1"/>
  <c r="D31" i="6" s="1"/>
  <c r="F30" i="6"/>
  <c r="C53" i="2"/>
  <c r="A53" i="2" s="1"/>
  <c r="A50" i="6" l="1"/>
  <c r="B50" i="6" s="1"/>
  <c r="C51" i="6"/>
  <c r="G31" i="6"/>
  <c r="E31" i="6"/>
  <c r="F31" i="6" s="1"/>
  <c r="C54" i="2"/>
  <c r="A54" i="2" s="1"/>
  <c r="H31" i="6" l="1"/>
  <c r="I31" i="6" s="1"/>
  <c r="D32" i="6" s="1"/>
  <c r="E32" i="6" s="1"/>
  <c r="A51" i="6"/>
  <c r="B51" i="6" s="1"/>
  <c r="C52" i="6"/>
  <c r="C55" i="2"/>
  <c r="A55" i="2" s="1"/>
  <c r="G32" i="6" l="1"/>
  <c r="A52" i="6"/>
  <c r="B52" i="6" s="1"/>
  <c r="C53" i="6"/>
  <c r="H32" i="6"/>
  <c r="I32" i="6" s="1"/>
  <c r="D33" i="6" s="1"/>
  <c r="G33" i="6" s="1"/>
  <c r="F32" i="6"/>
  <c r="C56" i="2"/>
  <c r="A56" i="2" s="1"/>
  <c r="E33" i="6" l="1"/>
  <c r="A53" i="6"/>
  <c r="B53" i="6" s="1"/>
  <c r="C54" i="6"/>
  <c r="H33" i="6"/>
  <c r="I33" i="6" s="1"/>
  <c r="D34" i="6" s="1"/>
  <c r="F33" i="6"/>
  <c r="C57" i="2"/>
  <c r="A57" i="2" s="1"/>
  <c r="A54" i="6" l="1"/>
  <c r="B54" i="6" s="1"/>
  <c r="C55" i="6"/>
  <c r="E34" i="6"/>
  <c r="G34" i="6"/>
  <c r="C58" i="2"/>
  <c r="A58" i="2" s="1"/>
  <c r="A55" i="6" l="1"/>
  <c r="B55" i="6" s="1"/>
  <c r="C56" i="6"/>
  <c r="H34" i="6"/>
  <c r="I34" i="6" s="1"/>
  <c r="D35" i="6" s="1"/>
  <c r="F34" i="6"/>
  <c r="C59" i="2"/>
  <c r="A59" i="2" s="1"/>
  <c r="A56" i="6" l="1"/>
  <c r="B56" i="6" s="1"/>
  <c r="C57" i="6"/>
  <c r="G35" i="6"/>
  <c r="E35" i="6"/>
  <c r="F35" i="6" s="1"/>
  <c r="C60" i="2"/>
  <c r="A60" i="2" s="1"/>
  <c r="A57" i="6" l="1"/>
  <c r="B57" i="6" s="1"/>
  <c r="C58" i="6"/>
  <c r="H35" i="6"/>
  <c r="I35" i="6" s="1"/>
  <c r="D36" i="6" s="1"/>
  <c r="C61" i="2"/>
  <c r="A61" i="2" s="1"/>
  <c r="A58" i="6" l="1"/>
  <c r="B58" i="6" s="1"/>
  <c r="C59" i="6"/>
  <c r="G36" i="6"/>
  <c r="E36" i="6"/>
  <c r="C62" i="2"/>
  <c r="A62" i="2" s="1"/>
  <c r="A59" i="6" l="1"/>
  <c r="B59" i="6" s="1"/>
  <c r="C60" i="6"/>
  <c r="H36" i="6"/>
  <c r="I36" i="6" s="1"/>
  <c r="D37" i="6" s="1"/>
  <c r="F36" i="6"/>
  <c r="C63" i="2"/>
  <c r="A63" i="2" s="1"/>
  <c r="A60" i="6" l="1"/>
  <c r="B60" i="6" s="1"/>
  <c r="C61" i="6"/>
  <c r="G37" i="6"/>
  <c r="E37" i="6"/>
  <c r="C64" i="2"/>
  <c r="A64" i="2" s="1"/>
  <c r="A61" i="6" l="1"/>
  <c r="B61" i="6" s="1"/>
  <c r="C62" i="6"/>
  <c r="H37" i="6"/>
  <c r="I37" i="6" s="1"/>
  <c r="D38" i="6" s="1"/>
  <c r="F37" i="6"/>
  <c r="C65" i="2"/>
  <c r="A65" i="2" s="1"/>
  <c r="A62" i="6" l="1"/>
  <c r="B62" i="6" s="1"/>
  <c r="C63" i="6"/>
  <c r="E38" i="6"/>
  <c r="G38" i="6"/>
  <c r="C66" i="2"/>
  <c r="A66" i="2" s="1"/>
  <c r="A63" i="6" l="1"/>
  <c r="B63" i="6" s="1"/>
  <c r="C64" i="6"/>
  <c r="H38" i="6"/>
  <c r="I38" i="6" s="1"/>
  <c r="D39" i="6" s="1"/>
  <c r="F38" i="6"/>
  <c r="C67" i="2"/>
  <c r="A67" i="2" s="1"/>
  <c r="A64" i="6" l="1"/>
  <c r="B64" i="6" s="1"/>
  <c r="C65" i="6"/>
  <c r="G39" i="6"/>
  <c r="E39" i="6"/>
  <c r="C68" i="2"/>
  <c r="A68" i="2" s="1"/>
  <c r="A65" i="6" l="1"/>
  <c r="B65" i="6" s="1"/>
  <c r="C66" i="6"/>
  <c r="H39" i="6"/>
  <c r="I39" i="6" s="1"/>
  <c r="D40" i="6" s="1"/>
  <c r="F39" i="6"/>
  <c r="C69" i="2"/>
  <c r="A69" i="2" s="1"/>
  <c r="A66" i="6" l="1"/>
  <c r="B66" i="6" s="1"/>
  <c r="C67" i="6"/>
  <c r="G40" i="6"/>
  <c r="E40" i="6"/>
  <c r="H40" i="6" s="1"/>
  <c r="I40" i="6" s="1"/>
  <c r="D41" i="6" s="1"/>
  <c r="C70" i="2"/>
  <c r="A70" i="2" s="1"/>
  <c r="A67" i="6" l="1"/>
  <c r="B67" i="6" s="1"/>
  <c r="C68" i="6"/>
  <c r="F40" i="6"/>
  <c r="G41" i="6"/>
  <c r="E41" i="6"/>
  <c r="F41" i="6" s="1"/>
  <c r="C71" i="2"/>
  <c r="A71" i="2" s="1"/>
  <c r="A68" i="6" l="1"/>
  <c r="B68" i="6" s="1"/>
  <c r="C69" i="6"/>
  <c r="H41" i="6"/>
  <c r="I41" i="6" s="1"/>
  <c r="D42" i="6" s="1"/>
  <c r="C72" i="2"/>
  <c r="A72" i="2" s="1"/>
  <c r="A69" i="6" l="1"/>
  <c r="B69" i="6" s="1"/>
  <c r="C70" i="6"/>
  <c r="E42" i="6"/>
  <c r="F42" i="6" s="1"/>
  <c r="G42" i="6"/>
  <c r="C73" i="2"/>
  <c r="A73" i="2" s="1"/>
  <c r="H42" i="6" l="1"/>
  <c r="I42" i="6" s="1"/>
  <c r="D43" i="6" s="1"/>
  <c r="G43" i="6" s="1"/>
  <c r="A70" i="6"/>
  <c r="B70" i="6" s="1"/>
  <c r="C71" i="6"/>
  <c r="C74" i="2"/>
  <c r="A74" i="2" s="1"/>
  <c r="E43" i="6" l="1"/>
  <c r="A71" i="6"/>
  <c r="B71" i="6" s="1"/>
  <c r="C72" i="6"/>
  <c r="H43" i="6"/>
  <c r="I43" i="6" s="1"/>
  <c r="D44" i="6" s="1"/>
  <c r="F43" i="6"/>
  <c r="C75" i="2"/>
  <c r="A75" i="2" s="1"/>
  <c r="A72" i="6" l="1"/>
  <c r="B72" i="6" s="1"/>
  <c r="C73" i="6"/>
  <c r="G44" i="6"/>
  <c r="E44" i="6"/>
  <c r="C76" i="2"/>
  <c r="A76" i="2" s="1"/>
  <c r="A73" i="6" l="1"/>
  <c r="B73" i="6" s="1"/>
  <c r="C74" i="6"/>
  <c r="H44" i="6"/>
  <c r="I44" i="6" s="1"/>
  <c r="D45" i="6" s="1"/>
  <c r="F44" i="6"/>
  <c r="C77" i="2"/>
  <c r="A77" i="2" s="1"/>
  <c r="A74" i="6" l="1"/>
  <c r="B74" i="6" s="1"/>
  <c r="C75" i="6"/>
  <c r="E45" i="6"/>
  <c r="F45" i="6" s="1"/>
  <c r="G45" i="6"/>
  <c r="C78" i="2"/>
  <c r="A78" i="2" s="1"/>
  <c r="A75" i="6" l="1"/>
  <c r="B75" i="6" s="1"/>
  <c r="C76" i="6"/>
  <c r="H45" i="6"/>
  <c r="I45" i="6" s="1"/>
  <c r="D46" i="6" s="1"/>
  <c r="C79" i="2"/>
  <c r="A79" i="2" s="1"/>
  <c r="A76" i="6" l="1"/>
  <c r="B76" i="6" s="1"/>
  <c r="C77" i="6"/>
  <c r="E46" i="6"/>
  <c r="G46" i="6"/>
  <c r="C80" i="2"/>
  <c r="A80" i="2" s="1"/>
  <c r="A77" i="6" l="1"/>
  <c r="B77" i="6" s="1"/>
  <c r="C78" i="6"/>
  <c r="H46" i="6"/>
  <c r="I46" i="6" s="1"/>
  <c r="D47" i="6" s="1"/>
  <c r="F46" i="6"/>
  <c r="C81" i="2"/>
  <c r="A81" i="2" s="1"/>
  <c r="A78" i="6" l="1"/>
  <c r="B78" i="6" s="1"/>
  <c r="C79" i="6"/>
  <c r="G47" i="6"/>
  <c r="E47" i="6"/>
  <c r="C82" i="2"/>
  <c r="A82" i="2" s="1"/>
  <c r="A79" i="6" l="1"/>
  <c r="B79" i="6" s="1"/>
  <c r="C80" i="6"/>
  <c r="H47" i="6"/>
  <c r="I47" i="6" s="1"/>
  <c r="D48" i="6" s="1"/>
  <c r="F47" i="6"/>
  <c r="C83" i="2"/>
  <c r="A83" i="2" s="1"/>
  <c r="A80" i="6" l="1"/>
  <c r="B80" i="6" s="1"/>
  <c r="C81" i="6"/>
  <c r="G48" i="6"/>
  <c r="E48" i="6"/>
  <c r="C84" i="2"/>
  <c r="A84" i="2" s="1"/>
  <c r="A81" i="6" l="1"/>
  <c r="B81" i="6" s="1"/>
  <c r="C82" i="6"/>
  <c r="H48" i="6"/>
  <c r="I48" i="6" s="1"/>
  <c r="D49" i="6" s="1"/>
  <c r="F48" i="6"/>
  <c r="C85" i="2"/>
  <c r="A85" i="2" s="1"/>
  <c r="A82" i="6" l="1"/>
  <c r="B82" i="6" s="1"/>
  <c r="C83" i="6"/>
  <c r="G49" i="6"/>
  <c r="E49" i="6"/>
  <c r="C86" i="2"/>
  <c r="A86" i="2" s="1"/>
  <c r="A83" i="6" l="1"/>
  <c r="B83" i="6" s="1"/>
  <c r="C84" i="6"/>
  <c r="H49" i="6"/>
  <c r="I49" i="6" s="1"/>
  <c r="D50" i="6" s="1"/>
  <c r="F49" i="6"/>
  <c r="C87" i="2"/>
  <c r="A87" i="2" s="1"/>
  <c r="A84" i="6" l="1"/>
  <c r="B84" i="6" s="1"/>
  <c r="C85" i="6"/>
  <c r="E50" i="6"/>
  <c r="G50" i="6"/>
  <c r="C88" i="2"/>
  <c r="A88" i="2" s="1"/>
  <c r="A85" i="6" l="1"/>
  <c r="B85" i="6" s="1"/>
  <c r="C86" i="6"/>
  <c r="H50" i="6"/>
  <c r="I50" i="6" s="1"/>
  <c r="D51" i="6" s="1"/>
  <c r="F50" i="6"/>
  <c r="C89" i="2"/>
  <c r="A89" i="2" s="1"/>
  <c r="A86" i="6" l="1"/>
  <c r="B86" i="6" s="1"/>
  <c r="C87" i="6"/>
  <c r="E51" i="6"/>
  <c r="G51" i="6"/>
  <c r="C90" i="2"/>
  <c r="A90" i="2" s="1"/>
  <c r="A87" i="6" l="1"/>
  <c r="B87" i="6" s="1"/>
  <c r="C88" i="6"/>
  <c r="H51" i="6"/>
  <c r="I51" i="6" s="1"/>
  <c r="D52" i="6" s="1"/>
  <c r="F51" i="6"/>
  <c r="C91" i="2"/>
  <c r="A91" i="2" s="1"/>
  <c r="A88" i="6" l="1"/>
  <c r="B88" i="6" s="1"/>
  <c r="C89" i="6"/>
  <c r="G52" i="6"/>
  <c r="E52" i="6"/>
  <c r="C92" i="2"/>
  <c r="A92" i="2" s="1"/>
  <c r="A89" i="6" l="1"/>
  <c r="B89" i="6" s="1"/>
  <c r="C90" i="6"/>
  <c r="H52" i="6"/>
  <c r="I52" i="6" s="1"/>
  <c r="D53" i="6" s="1"/>
  <c r="F52" i="6"/>
  <c r="C93" i="2"/>
  <c r="A93" i="2" s="1"/>
  <c r="A90" i="6" l="1"/>
  <c r="B90" i="6" s="1"/>
  <c r="C91" i="6"/>
  <c r="G53" i="6"/>
  <c r="E53" i="6"/>
  <c r="F53" i="6" s="1"/>
  <c r="C94" i="2"/>
  <c r="A94" i="2" s="1"/>
  <c r="A91" i="6" l="1"/>
  <c r="B91" i="6" s="1"/>
  <c r="C92" i="6"/>
  <c r="H53" i="6"/>
  <c r="I53" i="6" s="1"/>
  <c r="D54" i="6" s="1"/>
  <c r="C95" i="2"/>
  <c r="A95" i="2" s="1"/>
  <c r="A92" i="6" l="1"/>
  <c r="B92" i="6" s="1"/>
  <c r="C93" i="6"/>
  <c r="E54" i="6"/>
  <c r="G54" i="6"/>
  <c r="C96" i="2"/>
  <c r="A96" i="2" s="1"/>
  <c r="A93" i="6" l="1"/>
  <c r="B93" i="6" s="1"/>
  <c r="C94" i="6"/>
  <c r="H54" i="6"/>
  <c r="I54" i="6" s="1"/>
  <c r="D55" i="6" s="1"/>
  <c r="F54" i="6"/>
  <c r="C97" i="2"/>
  <c r="A97" i="2" s="1"/>
  <c r="A94" i="6" l="1"/>
  <c r="B94" i="6" s="1"/>
  <c r="C95" i="6"/>
  <c r="E55" i="6"/>
  <c r="G55" i="6"/>
  <c r="C98" i="2"/>
  <c r="A98" i="2" s="1"/>
  <c r="A95" i="6" l="1"/>
  <c r="B95" i="6" s="1"/>
  <c r="C96" i="6"/>
  <c r="H55" i="6"/>
  <c r="I55" i="6" s="1"/>
  <c r="D56" i="6" s="1"/>
  <c r="F55" i="6"/>
  <c r="C99" i="2"/>
  <c r="A99" i="2" s="1"/>
  <c r="A96" i="6" l="1"/>
  <c r="B96" i="6" s="1"/>
  <c r="C97" i="6"/>
  <c r="E56" i="6"/>
  <c r="F56" i="6" s="1"/>
  <c r="G56" i="6"/>
  <c r="C100" i="2"/>
  <c r="A100" i="2" s="1"/>
  <c r="A97" i="6" l="1"/>
  <c r="B97" i="6" s="1"/>
  <c r="C98" i="6"/>
  <c r="H56" i="6"/>
  <c r="I56" i="6" s="1"/>
  <c r="D57" i="6" s="1"/>
  <c r="C101" i="2"/>
  <c r="A101" i="2" s="1"/>
  <c r="A98" i="6" l="1"/>
  <c r="B98" i="6" s="1"/>
  <c r="C99" i="6"/>
  <c r="G57" i="6"/>
  <c r="E57" i="6"/>
  <c r="C102" i="2"/>
  <c r="A102" i="2" s="1"/>
  <c r="A99" i="6" l="1"/>
  <c r="B99" i="6" s="1"/>
  <c r="C100" i="6"/>
  <c r="H57" i="6"/>
  <c r="I57" i="6" s="1"/>
  <c r="D58" i="6" s="1"/>
  <c r="F57" i="6"/>
  <c r="C103" i="2"/>
  <c r="A103" i="2" s="1"/>
  <c r="A100" i="6" l="1"/>
  <c r="B100" i="6" s="1"/>
  <c r="C101" i="6"/>
  <c r="E58" i="6"/>
  <c r="G58" i="6"/>
  <c r="C104" i="2"/>
  <c r="A104" i="2" s="1"/>
  <c r="A101" i="6" l="1"/>
  <c r="B101" i="6" s="1"/>
  <c r="C102" i="6"/>
  <c r="H58" i="6"/>
  <c r="I58" i="6" s="1"/>
  <c r="D59" i="6" s="1"/>
  <c r="F58" i="6"/>
  <c r="C105" i="2"/>
  <c r="A105" i="2" s="1"/>
  <c r="A102" i="6" l="1"/>
  <c r="B102" i="6" s="1"/>
  <c r="C103" i="6"/>
  <c r="E59" i="6"/>
  <c r="G59" i="6"/>
  <c r="C106" i="2"/>
  <c r="A106" i="2" s="1"/>
  <c r="A103" i="6" l="1"/>
  <c r="B103" i="6" s="1"/>
  <c r="C104" i="6"/>
  <c r="H59" i="6"/>
  <c r="I59" i="6" s="1"/>
  <c r="D60" i="6" s="1"/>
  <c r="F59" i="6"/>
  <c r="C107" i="2"/>
  <c r="A107" i="2" s="1"/>
  <c r="A104" i="6" l="1"/>
  <c r="B104" i="6" s="1"/>
  <c r="C105" i="6"/>
  <c r="G60" i="6"/>
  <c r="E60" i="6"/>
  <c r="F60" i="6" s="1"/>
  <c r="C108" i="2"/>
  <c r="A108" i="2" s="1"/>
  <c r="A105" i="6" l="1"/>
  <c r="B105" i="6" s="1"/>
  <c r="C106" i="6"/>
  <c r="H60" i="6"/>
  <c r="I60" i="6" s="1"/>
  <c r="D61" i="6" s="1"/>
  <c r="C109" i="2"/>
  <c r="A109" i="2" s="1"/>
  <c r="A106" i="6" l="1"/>
  <c r="B106" i="6" s="1"/>
  <c r="C107" i="6"/>
  <c r="G61" i="6"/>
  <c r="E61" i="6"/>
  <c r="F61" i="6" s="1"/>
  <c r="C110" i="2"/>
  <c r="A110" i="2" s="1"/>
  <c r="A107" i="6" l="1"/>
  <c r="B107" i="6" s="1"/>
  <c r="C108" i="6"/>
  <c r="H61" i="6"/>
  <c r="I61" i="6" s="1"/>
  <c r="D62" i="6" s="1"/>
  <c r="C111" i="2"/>
  <c r="A111" i="2" s="1"/>
  <c r="A108" i="6" l="1"/>
  <c r="B108" i="6" s="1"/>
  <c r="C109" i="6"/>
  <c r="E62" i="6"/>
  <c r="G62" i="6"/>
  <c r="C112" i="2"/>
  <c r="A112" i="2" s="1"/>
  <c r="A109" i="6" l="1"/>
  <c r="B109" i="6" s="1"/>
  <c r="C110" i="6"/>
  <c r="H62" i="6"/>
  <c r="I62" i="6" s="1"/>
  <c r="D63" i="6" s="1"/>
  <c r="F62" i="6"/>
  <c r="C113" i="2"/>
  <c r="A113" i="2" s="1"/>
  <c r="A110" i="6" l="1"/>
  <c r="B110" i="6" s="1"/>
  <c r="C111" i="6"/>
  <c r="G63" i="6"/>
  <c r="E63" i="6"/>
  <c r="C114" i="2"/>
  <c r="A114" i="2" s="1"/>
  <c r="A111" i="6" l="1"/>
  <c r="B111" i="6" s="1"/>
  <c r="C112" i="6"/>
  <c r="H63" i="6"/>
  <c r="I63" i="6" s="1"/>
  <c r="D64" i="6" s="1"/>
  <c r="F63" i="6"/>
  <c r="C115" i="2"/>
  <c r="A115" i="2" s="1"/>
  <c r="A112" i="6" l="1"/>
  <c r="B112" i="6" s="1"/>
  <c r="C113" i="6"/>
  <c r="G64" i="6"/>
  <c r="E64" i="6"/>
  <c r="C116" i="2"/>
  <c r="A116" i="2" s="1"/>
  <c r="A113" i="6" l="1"/>
  <c r="B113" i="6" s="1"/>
  <c r="C114" i="6"/>
  <c r="H64" i="6"/>
  <c r="I64" i="6" s="1"/>
  <c r="D65" i="6" s="1"/>
  <c r="F64" i="6"/>
  <c r="C117" i="2"/>
  <c r="A117" i="2" s="1"/>
  <c r="A114" i="6" l="1"/>
  <c r="B114" i="6" s="1"/>
  <c r="C115" i="6"/>
  <c r="E65" i="6"/>
  <c r="G65" i="6"/>
  <c r="C118" i="2"/>
  <c r="A118" i="2" s="1"/>
  <c r="A115" i="6" l="1"/>
  <c r="B115" i="6" s="1"/>
  <c r="C116" i="6"/>
  <c r="H65" i="6"/>
  <c r="I65" i="6" s="1"/>
  <c r="D66" i="6" s="1"/>
  <c r="F65" i="6"/>
  <c r="C119" i="2"/>
  <c r="A119" i="2" s="1"/>
  <c r="A116" i="6" l="1"/>
  <c r="B116" i="6" s="1"/>
  <c r="C117" i="6"/>
  <c r="E66" i="6"/>
  <c r="G66" i="6"/>
  <c r="C120" i="2"/>
  <c r="A120" i="2" s="1"/>
  <c r="A117" i="6" l="1"/>
  <c r="B117" i="6" s="1"/>
  <c r="C118" i="6"/>
  <c r="H66" i="6"/>
  <c r="I66" i="6" s="1"/>
  <c r="D67" i="6" s="1"/>
  <c r="F66" i="6"/>
  <c r="C121" i="2"/>
  <c r="A121" i="2" s="1"/>
  <c r="A118" i="6" l="1"/>
  <c r="B118" i="6" s="1"/>
  <c r="C119" i="6"/>
  <c r="G67" i="6"/>
  <c r="E67" i="6"/>
  <c r="C122" i="2"/>
  <c r="A122" i="2" s="1"/>
  <c r="A119" i="6" l="1"/>
  <c r="B119" i="6" s="1"/>
  <c r="C120" i="6"/>
  <c r="H67" i="6"/>
  <c r="I67" i="6" s="1"/>
  <c r="D68" i="6" s="1"/>
  <c r="F67" i="6"/>
  <c r="C123" i="2"/>
  <c r="A123" i="2" s="1"/>
  <c r="A120" i="6" l="1"/>
  <c r="B120" i="6" s="1"/>
  <c r="C121" i="6"/>
  <c r="G68" i="6"/>
  <c r="E68" i="6"/>
  <c r="C124" i="2"/>
  <c r="A124" i="2" s="1"/>
  <c r="A121" i="6" l="1"/>
  <c r="B121" i="6" s="1"/>
  <c r="C122" i="6"/>
  <c r="H68" i="6"/>
  <c r="I68" i="6" s="1"/>
  <c r="D69" i="6" s="1"/>
  <c r="F68" i="6"/>
  <c r="C125" i="2"/>
  <c r="A125" i="2" s="1"/>
  <c r="A122" i="6" l="1"/>
  <c r="B122" i="6" s="1"/>
  <c r="C123" i="6"/>
  <c r="G69" i="6"/>
  <c r="E69" i="6"/>
  <c r="F69" i="6" s="1"/>
  <c r="C126" i="2"/>
  <c r="A126" i="2" s="1"/>
  <c r="G123" i="6" l="1"/>
  <c r="A123" i="6"/>
  <c r="B123" i="6" s="1"/>
  <c r="C124" i="6"/>
  <c r="H69" i="6"/>
  <c r="I69" i="6" s="1"/>
  <c r="D70" i="6" s="1"/>
  <c r="C127" i="2"/>
  <c r="A127" i="2" s="1"/>
  <c r="G124" i="6" l="1"/>
  <c r="A124" i="6"/>
  <c r="B124" i="6" s="1"/>
  <c r="C125" i="6"/>
  <c r="E70" i="6"/>
  <c r="F70" i="6" s="1"/>
  <c r="G70" i="6"/>
  <c r="C128" i="2"/>
  <c r="A128" i="2" s="1"/>
  <c r="A125" i="6" l="1"/>
  <c r="B125" i="6" s="1"/>
  <c r="G125" i="6"/>
  <c r="C126" i="6"/>
  <c r="H70" i="6"/>
  <c r="I70" i="6" s="1"/>
  <c r="D71" i="6" s="1"/>
  <c r="C129" i="2"/>
  <c r="A129" i="2" s="1"/>
  <c r="G126" i="6" l="1"/>
  <c r="A126" i="6"/>
  <c r="B126" i="6" s="1"/>
  <c r="C127" i="6"/>
  <c r="G71" i="6"/>
  <c r="E71" i="6"/>
  <c r="C130" i="2"/>
  <c r="A130" i="2" s="1"/>
  <c r="G127" i="6" l="1"/>
  <c r="A127" i="6"/>
  <c r="B127" i="6" s="1"/>
  <c r="C128" i="6"/>
  <c r="H71" i="6"/>
  <c r="I71" i="6" s="1"/>
  <c r="D72" i="6" s="1"/>
  <c r="F71" i="6"/>
  <c r="C131" i="2"/>
  <c r="A131" i="2" s="1"/>
  <c r="G128" i="6" l="1"/>
  <c r="A128" i="6"/>
  <c r="B128" i="6" s="1"/>
  <c r="C129" i="6"/>
  <c r="E72" i="6"/>
  <c r="G72" i="6"/>
  <c r="C132" i="2"/>
  <c r="A132" i="2" s="1"/>
  <c r="G129" i="6" l="1"/>
  <c r="A129" i="6"/>
  <c r="B129" i="6" s="1"/>
  <c r="C130" i="6"/>
  <c r="H72" i="6"/>
  <c r="I72" i="6" s="1"/>
  <c r="D73" i="6" s="1"/>
  <c r="F72" i="6"/>
  <c r="C133" i="2"/>
  <c r="A133" i="2" s="1"/>
  <c r="G130" i="6" l="1"/>
  <c r="A130" i="6"/>
  <c r="B130" i="6" s="1"/>
  <c r="C131" i="6"/>
  <c r="E73" i="6"/>
  <c r="G73" i="6"/>
  <c r="C134" i="2"/>
  <c r="A134" i="2" s="1"/>
  <c r="G131" i="6" l="1"/>
  <c r="A131" i="6"/>
  <c r="B131" i="6" s="1"/>
  <c r="C132" i="6"/>
  <c r="H73" i="6"/>
  <c r="I73" i="6" s="1"/>
  <c r="D74" i="6" s="1"/>
  <c r="F73" i="6"/>
  <c r="C135" i="2"/>
  <c r="A135" i="2" s="1"/>
  <c r="G132" i="6" l="1"/>
  <c r="A132" i="6"/>
  <c r="B132" i="6" s="1"/>
  <c r="C133" i="6"/>
  <c r="E74" i="6"/>
  <c r="G74" i="6"/>
  <c r="C136" i="2"/>
  <c r="A136" i="2" s="1"/>
  <c r="A133" i="6" l="1"/>
  <c r="B133" i="6" s="1"/>
  <c r="G133" i="6"/>
  <c r="C134" i="6"/>
  <c r="H74" i="6"/>
  <c r="I74" i="6" s="1"/>
  <c r="D75" i="6" s="1"/>
  <c r="F74" i="6"/>
  <c r="C137" i="2"/>
  <c r="A137" i="2" s="1"/>
  <c r="A134" i="6" l="1"/>
  <c r="B134" i="6" s="1"/>
  <c r="G134" i="6"/>
  <c r="C135" i="6"/>
  <c r="G75" i="6"/>
  <c r="E75" i="6"/>
  <c r="C138" i="2"/>
  <c r="A138" i="2" s="1"/>
  <c r="A135" i="6" l="1"/>
  <c r="B135" i="6" s="1"/>
  <c r="G135" i="6"/>
  <c r="C136" i="6"/>
  <c r="H75" i="6"/>
  <c r="I75" i="6" s="1"/>
  <c r="D76" i="6" s="1"/>
  <c r="F75" i="6"/>
  <c r="C139" i="2"/>
  <c r="A139" i="2" s="1"/>
  <c r="A136" i="6" l="1"/>
  <c r="B136" i="6" s="1"/>
  <c r="G136" i="6"/>
  <c r="C137" i="6"/>
  <c r="E76" i="6"/>
  <c r="F76" i="6" s="1"/>
  <c r="G76" i="6"/>
  <c r="C140" i="2"/>
  <c r="A140" i="2" s="1"/>
  <c r="G137" i="6" l="1"/>
  <c r="A137" i="6"/>
  <c r="B137" i="6" s="1"/>
  <c r="C138" i="6"/>
  <c r="H76" i="6"/>
  <c r="I76" i="6" s="1"/>
  <c r="D77" i="6" s="1"/>
  <c r="C141" i="2"/>
  <c r="A141" i="2" s="1"/>
  <c r="G138" i="6" l="1"/>
  <c r="A138" i="6"/>
  <c r="B138" i="6" s="1"/>
  <c r="C139" i="6"/>
  <c r="G77" i="6"/>
  <c r="E77" i="6"/>
  <c r="C142" i="2"/>
  <c r="A142" i="2" s="1"/>
  <c r="G139" i="6" l="1"/>
  <c r="A139" i="6"/>
  <c r="B139" i="6" s="1"/>
  <c r="C140" i="6"/>
  <c r="H77" i="6"/>
  <c r="I77" i="6" s="1"/>
  <c r="D78" i="6" s="1"/>
  <c r="F77" i="6"/>
  <c r="C143" i="2"/>
  <c r="A143" i="2" s="1"/>
  <c r="G140" i="6" l="1"/>
  <c r="A140" i="6"/>
  <c r="B140" i="6" s="1"/>
  <c r="C141" i="6"/>
  <c r="E78" i="6"/>
  <c r="G78" i="6"/>
  <c r="C144" i="2"/>
  <c r="A144" i="2" s="1"/>
  <c r="A141" i="6" l="1"/>
  <c r="B141" i="6" s="1"/>
  <c r="G141" i="6"/>
  <c r="C142" i="6"/>
  <c r="H78" i="6"/>
  <c r="I78" i="6" s="1"/>
  <c r="D79" i="6" s="1"/>
  <c r="F78" i="6"/>
  <c r="C145" i="2"/>
  <c r="A145" i="2" s="1"/>
  <c r="A142" i="6" l="1"/>
  <c r="B142" i="6" s="1"/>
  <c r="G142" i="6"/>
  <c r="C143" i="6"/>
  <c r="G79" i="6"/>
  <c r="E79" i="6"/>
  <c r="C146" i="2"/>
  <c r="A146" i="2" s="1"/>
  <c r="A143" i="6" l="1"/>
  <c r="B143" i="6" s="1"/>
  <c r="G143" i="6"/>
  <c r="C144" i="6"/>
  <c r="H79" i="6"/>
  <c r="I79" i="6" s="1"/>
  <c r="D80" i="6" s="1"/>
  <c r="F79" i="6"/>
  <c r="C147" i="2"/>
  <c r="A147" i="2" s="1"/>
  <c r="G144" i="6" l="1"/>
  <c r="A144" i="6"/>
  <c r="B144" i="6" s="1"/>
  <c r="C145" i="6"/>
  <c r="G80" i="6"/>
  <c r="E80" i="6"/>
  <c r="C148" i="2"/>
  <c r="A148" i="2" s="1"/>
  <c r="G145" i="6" l="1"/>
  <c r="A145" i="6"/>
  <c r="B145" i="6" s="1"/>
  <c r="C146" i="6"/>
  <c r="H80" i="6"/>
  <c r="I80" i="6" s="1"/>
  <c r="D81" i="6" s="1"/>
  <c r="F80" i="6"/>
  <c r="C149" i="2"/>
  <c r="A149" i="2" s="1"/>
  <c r="G146" i="6" l="1"/>
  <c r="A146" i="6"/>
  <c r="B146" i="6" s="1"/>
  <c r="C147" i="6"/>
  <c r="E81" i="6"/>
  <c r="F81" i="6" s="1"/>
  <c r="G81" i="6"/>
  <c r="C150" i="2"/>
  <c r="A150" i="2" s="1"/>
  <c r="A147" i="6" l="1"/>
  <c r="B147" i="6" s="1"/>
  <c r="G147" i="6"/>
  <c r="C148" i="6"/>
  <c r="H81" i="6"/>
  <c r="I81" i="6" s="1"/>
  <c r="D82" i="6" s="1"/>
  <c r="C151" i="2"/>
  <c r="A151" i="2" s="1"/>
  <c r="G148" i="6" l="1"/>
  <c r="A148" i="6"/>
  <c r="B148" i="6" s="1"/>
  <c r="C149" i="6"/>
  <c r="E82" i="6"/>
  <c r="F82" i="6" s="1"/>
  <c r="G82" i="6"/>
  <c r="C152" i="2"/>
  <c r="A152" i="2" s="1"/>
  <c r="A149" i="6" l="1"/>
  <c r="B149" i="6" s="1"/>
  <c r="G149" i="6"/>
  <c r="C150" i="6"/>
  <c r="H82" i="6"/>
  <c r="I82" i="6" s="1"/>
  <c r="D83" i="6" s="1"/>
  <c r="C153" i="2"/>
  <c r="A153" i="2" s="1"/>
  <c r="A150" i="6" l="1"/>
  <c r="B150" i="6" s="1"/>
  <c r="G150" i="6"/>
  <c r="C151" i="6"/>
  <c r="G83" i="6"/>
  <c r="E83" i="6"/>
  <c r="C154" i="2"/>
  <c r="A154" i="2" s="1"/>
  <c r="G151" i="6" l="1"/>
  <c r="A151" i="6"/>
  <c r="B151" i="6" s="1"/>
  <c r="C152" i="6"/>
  <c r="H83" i="6"/>
  <c r="I83" i="6" s="1"/>
  <c r="D84" i="6" s="1"/>
  <c r="F83" i="6"/>
  <c r="C155" i="2"/>
  <c r="A155" i="2" s="1"/>
  <c r="G152" i="6" l="1"/>
  <c r="A152" i="6"/>
  <c r="B152" i="6" s="1"/>
  <c r="C153" i="6"/>
  <c r="E84" i="6"/>
  <c r="G84" i="6"/>
  <c r="C156" i="2"/>
  <c r="A156" i="2" s="1"/>
  <c r="G153" i="6" l="1"/>
  <c r="A153" i="6"/>
  <c r="B153" i="6" s="1"/>
  <c r="C154" i="6"/>
  <c r="H84" i="6"/>
  <c r="I84" i="6" s="1"/>
  <c r="D85" i="6" s="1"/>
  <c r="F84" i="6"/>
  <c r="C157" i="2"/>
  <c r="A157" i="2" s="1"/>
  <c r="G154" i="6" l="1"/>
  <c r="A154" i="6"/>
  <c r="B154" i="6" s="1"/>
  <c r="C155" i="6"/>
  <c r="G85" i="6"/>
  <c r="E85" i="6"/>
  <c r="C158" i="2"/>
  <c r="A158" i="2" s="1"/>
  <c r="G155" i="6" l="1"/>
  <c r="A155" i="6"/>
  <c r="B155" i="6" s="1"/>
  <c r="C156" i="6"/>
  <c r="H85" i="6"/>
  <c r="I85" i="6" s="1"/>
  <c r="D86" i="6" s="1"/>
  <c r="F85" i="6"/>
  <c r="C159" i="2"/>
  <c r="A159" i="2" s="1"/>
  <c r="G156" i="6" l="1"/>
  <c r="A156" i="6"/>
  <c r="B156" i="6" s="1"/>
  <c r="C157" i="6"/>
  <c r="E86" i="6"/>
  <c r="F86" i="6" s="1"/>
  <c r="G86" i="6"/>
  <c r="C160" i="2"/>
  <c r="A160" i="2" s="1"/>
  <c r="H86" i="6" l="1"/>
  <c r="I86" i="6" s="1"/>
  <c r="D87" i="6" s="1"/>
  <c r="A157" i="6"/>
  <c r="B157" i="6" s="1"/>
  <c r="G157" i="6"/>
  <c r="C158" i="6"/>
  <c r="G87" i="6"/>
  <c r="E87" i="6"/>
  <c r="C161" i="2"/>
  <c r="A161" i="2" s="1"/>
  <c r="A158" i="6" l="1"/>
  <c r="B158" i="6" s="1"/>
  <c r="G158" i="6"/>
  <c r="C159" i="6"/>
  <c r="H87" i="6"/>
  <c r="I87" i="6" s="1"/>
  <c r="D88" i="6" s="1"/>
  <c r="F87" i="6"/>
  <c r="C162" i="2"/>
  <c r="A162" i="2" s="1"/>
  <c r="G159" i="6" l="1"/>
  <c r="A159" i="6"/>
  <c r="B159" i="6" s="1"/>
  <c r="C160" i="6"/>
  <c r="E88" i="6"/>
  <c r="F88" i="6" s="1"/>
  <c r="G88" i="6"/>
  <c r="C163" i="2"/>
  <c r="A163" i="2" s="1"/>
  <c r="H88" i="6" l="1"/>
  <c r="I88" i="6" s="1"/>
  <c r="D89" i="6" s="1"/>
  <c r="E89" i="6" s="1"/>
  <c r="G160" i="6"/>
  <c r="A160" i="6"/>
  <c r="B160" i="6" s="1"/>
  <c r="C161" i="6"/>
  <c r="C164" i="2"/>
  <c r="A164" i="2" s="1"/>
  <c r="G89" i="6" l="1"/>
  <c r="G161" i="6"/>
  <c r="A161" i="6"/>
  <c r="B161" i="6" s="1"/>
  <c r="C162" i="6"/>
  <c r="H89" i="6"/>
  <c r="I89" i="6" s="1"/>
  <c r="D90" i="6" s="1"/>
  <c r="F89" i="6"/>
  <c r="C165" i="2"/>
  <c r="A165" i="2" s="1"/>
  <c r="G162" i="6" l="1"/>
  <c r="A162" i="6"/>
  <c r="B162" i="6" s="1"/>
  <c r="C163" i="6"/>
  <c r="E90" i="6"/>
  <c r="G90" i="6"/>
  <c r="C166" i="2"/>
  <c r="A166" i="2" s="1"/>
  <c r="G163" i="6" l="1"/>
  <c r="A163" i="6"/>
  <c r="B163" i="6" s="1"/>
  <c r="C164" i="6"/>
  <c r="H90" i="6"/>
  <c r="I90" i="6" s="1"/>
  <c r="D91" i="6" s="1"/>
  <c r="F90" i="6"/>
  <c r="C167" i="2"/>
  <c r="A167" i="2" s="1"/>
  <c r="G164" i="6" l="1"/>
  <c r="A164" i="6"/>
  <c r="B164" i="6" s="1"/>
  <c r="C165" i="6"/>
  <c r="G91" i="6"/>
  <c r="E91" i="6"/>
  <c r="C168" i="2"/>
  <c r="A168" i="2" s="1"/>
  <c r="A165" i="6" l="1"/>
  <c r="B165" i="6" s="1"/>
  <c r="G165" i="6"/>
  <c r="C166" i="6"/>
  <c r="H91" i="6"/>
  <c r="I91" i="6" s="1"/>
  <c r="D92" i="6" s="1"/>
  <c r="F91" i="6"/>
  <c r="C169" i="2"/>
  <c r="A169" i="2" s="1"/>
  <c r="A166" i="6" l="1"/>
  <c r="B166" i="6" s="1"/>
  <c r="G166" i="6"/>
  <c r="C167" i="6"/>
  <c r="G92" i="6"/>
  <c r="E92" i="6"/>
  <c r="C170" i="2"/>
  <c r="A170" i="2" s="1"/>
  <c r="G167" i="6" l="1"/>
  <c r="A167" i="6"/>
  <c r="B167" i="6" s="1"/>
  <c r="C168" i="6"/>
  <c r="H92" i="6"/>
  <c r="I92" i="6" s="1"/>
  <c r="D93" i="6" s="1"/>
  <c r="F92" i="6"/>
  <c r="C171" i="2"/>
  <c r="A171" i="2" s="1"/>
  <c r="G168" i="6" l="1"/>
  <c r="A168" i="6"/>
  <c r="B168" i="6" s="1"/>
  <c r="C169" i="6"/>
  <c r="E93" i="6"/>
  <c r="G93" i="6"/>
  <c r="C172" i="2"/>
  <c r="A172" i="2" s="1"/>
  <c r="G169" i="6" l="1"/>
  <c r="A169" i="6"/>
  <c r="B169" i="6" s="1"/>
  <c r="C170" i="6"/>
  <c r="H93" i="6"/>
  <c r="I93" i="6" s="1"/>
  <c r="D94" i="6" s="1"/>
  <c r="F93" i="6"/>
  <c r="C173" i="2"/>
  <c r="A173" i="2" s="1"/>
  <c r="G170" i="6" l="1"/>
  <c r="A170" i="6"/>
  <c r="B170" i="6" s="1"/>
  <c r="C171" i="6"/>
  <c r="E94" i="6"/>
  <c r="G94" i="6"/>
  <c r="C174" i="2"/>
  <c r="A174" i="2" s="1"/>
  <c r="G171" i="6" l="1"/>
  <c r="A171" i="6"/>
  <c r="B171" i="6" s="1"/>
  <c r="C172" i="6"/>
  <c r="H94" i="6"/>
  <c r="I94" i="6" s="1"/>
  <c r="D95" i="6" s="1"/>
  <c r="F94" i="6"/>
  <c r="C175" i="2"/>
  <c r="A175" i="2" s="1"/>
  <c r="G172" i="6" l="1"/>
  <c r="A172" i="6"/>
  <c r="B172" i="6" s="1"/>
  <c r="C173" i="6"/>
  <c r="E95" i="6"/>
  <c r="G95" i="6"/>
  <c r="C176" i="2"/>
  <c r="A176" i="2" s="1"/>
  <c r="A173" i="6" l="1"/>
  <c r="B173" i="6" s="1"/>
  <c r="G173" i="6"/>
  <c r="C174" i="6"/>
  <c r="H95" i="6"/>
  <c r="I95" i="6" s="1"/>
  <c r="D96" i="6" s="1"/>
  <c r="F95" i="6"/>
  <c r="C177" i="2"/>
  <c r="A177" i="2" s="1"/>
  <c r="A174" i="6" l="1"/>
  <c r="B174" i="6" s="1"/>
  <c r="G174" i="6"/>
  <c r="C175" i="6"/>
  <c r="G96" i="6"/>
  <c r="E96" i="6"/>
  <c r="F96" i="6" s="1"/>
  <c r="C178" i="2"/>
  <c r="A178" i="2" s="1"/>
  <c r="G175" i="6" l="1"/>
  <c r="A175" i="6"/>
  <c r="B175" i="6" s="1"/>
  <c r="C176" i="6"/>
  <c r="H96" i="6"/>
  <c r="I96" i="6" s="1"/>
  <c r="D97" i="6" s="1"/>
  <c r="C179" i="2"/>
  <c r="A179" i="2" s="1"/>
  <c r="G176" i="6" l="1"/>
  <c r="A176" i="6"/>
  <c r="B176" i="6" s="1"/>
  <c r="C177" i="6"/>
  <c r="G97" i="6"/>
  <c r="E97" i="6"/>
  <c r="C180" i="2"/>
  <c r="A180" i="2" s="1"/>
  <c r="G177" i="6" l="1"/>
  <c r="A177" i="6"/>
  <c r="B177" i="6" s="1"/>
  <c r="C178" i="6"/>
  <c r="H97" i="6"/>
  <c r="I97" i="6" s="1"/>
  <c r="D98" i="6" s="1"/>
  <c r="F97" i="6"/>
  <c r="C181" i="2"/>
  <c r="A181" i="2" s="1"/>
  <c r="G178" i="6" l="1"/>
  <c r="A178" i="6"/>
  <c r="B178" i="6" s="1"/>
  <c r="C179" i="6"/>
  <c r="E98" i="6"/>
  <c r="F98" i="6" s="1"/>
  <c r="G98" i="6"/>
  <c r="C182" i="2"/>
  <c r="A182" i="2" s="1"/>
  <c r="A179" i="6" l="1"/>
  <c r="B179" i="6" s="1"/>
  <c r="G179" i="6"/>
  <c r="C180" i="6"/>
  <c r="H98" i="6"/>
  <c r="I98" i="6" s="1"/>
  <c r="D99" i="6" s="1"/>
  <c r="C183" i="2"/>
  <c r="A183" i="2" s="1"/>
  <c r="G180" i="6" l="1"/>
  <c r="A180" i="6"/>
  <c r="B180" i="6" s="1"/>
  <c r="C181" i="6"/>
  <c r="G99" i="6"/>
  <c r="E99" i="6"/>
  <c r="C184" i="2"/>
  <c r="A184" i="2" s="1"/>
  <c r="A181" i="6" l="1"/>
  <c r="B181" i="6" s="1"/>
  <c r="G181" i="6"/>
  <c r="C182" i="6"/>
  <c r="H99" i="6"/>
  <c r="I99" i="6" s="1"/>
  <c r="D100" i="6" s="1"/>
  <c r="F99" i="6"/>
  <c r="C185" i="2"/>
  <c r="A185" i="2" s="1"/>
  <c r="G182" i="6" l="1"/>
  <c r="A182" i="6"/>
  <c r="B182" i="6" s="1"/>
  <c r="C183" i="6"/>
  <c r="G100" i="6"/>
  <c r="E100" i="6"/>
  <c r="F100" i="6" s="1"/>
  <c r="C186" i="2"/>
  <c r="A186" i="2" s="1"/>
  <c r="G183" i="6" l="1"/>
  <c r="A183" i="6"/>
  <c r="B183" i="6" s="1"/>
  <c r="C184" i="6"/>
  <c r="H100" i="6"/>
  <c r="I100" i="6" s="1"/>
  <c r="D101" i="6" s="1"/>
  <c r="C187" i="2"/>
  <c r="A187" i="2" s="1"/>
  <c r="G184" i="6" l="1"/>
  <c r="A184" i="6"/>
  <c r="B184" i="6" s="1"/>
  <c r="C185" i="6"/>
  <c r="G101" i="6"/>
  <c r="E101" i="6"/>
  <c r="C188" i="2"/>
  <c r="A188" i="2" s="1"/>
  <c r="G185" i="6" l="1"/>
  <c r="A185" i="6"/>
  <c r="B185" i="6" s="1"/>
  <c r="C186" i="6"/>
  <c r="H101" i="6"/>
  <c r="I101" i="6" s="1"/>
  <c r="D102" i="6" s="1"/>
  <c r="F101" i="6"/>
  <c r="C189" i="2"/>
  <c r="A189" i="2" s="1"/>
  <c r="G186" i="6" l="1"/>
  <c r="A186" i="6"/>
  <c r="B186" i="6" s="1"/>
  <c r="C187" i="6"/>
  <c r="E102" i="6"/>
  <c r="H102" i="6" s="1"/>
  <c r="I102" i="6" s="1"/>
  <c r="D103" i="6" s="1"/>
  <c r="G102" i="6"/>
  <c r="C190" i="2"/>
  <c r="A190" i="2" s="1"/>
  <c r="G187" i="6" l="1"/>
  <c r="A187" i="6"/>
  <c r="B187" i="6" s="1"/>
  <c r="C188" i="6"/>
  <c r="F102" i="6"/>
  <c r="G103" i="6"/>
  <c r="E103" i="6"/>
  <c r="H103" i="6" s="1"/>
  <c r="I103" i="6" s="1"/>
  <c r="D104" i="6" s="1"/>
  <c r="C191" i="2"/>
  <c r="A191" i="2" s="1"/>
  <c r="G188" i="6" l="1"/>
  <c r="A188" i="6"/>
  <c r="B188" i="6" s="1"/>
  <c r="C189" i="6"/>
  <c r="G104" i="6"/>
  <c r="E104" i="6"/>
  <c r="F103" i="6"/>
  <c r="C192" i="2"/>
  <c r="A192" i="2" s="1"/>
  <c r="A189" i="6" l="1"/>
  <c r="B189" i="6" s="1"/>
  <c r="G189" i="6"/>
  <c r="C190" i="6"/>
  <c r="H104" i="6"/>
  <c r="I104" i="6" s="1"/>
  <c r="D105" i="6" s="1"/>
  <c r="F104" i="6"/>
  <c r="C193" i="2"/>
  <c r="A193" i="2" s="1"/>
  <c r="A190" i="6" l="1"/>
  <c r="B190" i="6" s="1"/>
  <c r="G190" i="6"/>
  <c r="C191" i="6"/>
  <c r="E105" i="6"/>
  <c r="G105" i="6"/>
  <c r="C194" i="2"/>
  <c r="A194" i="2" s="1"/>
  <c r="G191" i="6" l="1"/>
  <c r="A191" i="6"/>
  <c r="B191" i="6" s="1"/>
  <c r="C192" i="6"/>
  <c r="H105" i="6"/>
  <c r="I105" i="6" s="1"/>
  <c r="D106" i="6" s="1"/>
  <c r="F105" i="6"/>
  <c r="C195" i="2"/>
  <c r="A195" i="2" s="1"/>
  <c r="G192" i="6" l="1"/>
  <c r="A192" i="6"/>
  <c r="B192" i="6" s="1"/>
  <c r="C193" i="6"/>
  <c r="E106" i="6"/>
  <c r="F106" i="6" s="1"/>
  <c r="G106" i="6"/>
  <c r="C196" i="2"/>
  <c r="A196" i="2" s="1"/>
  <c r="G193" i="6" l="1"/>
  <c r="A193" i="6"/>
  <c r="B193" i="6" s="1"/>
  <c r="C194" i="6"/>
  <c r="H106" i="6"/>
  <c r="I106" i="6" s="1"/>
  <c r="D107" i="6" s="1"/>
  <c r="C197" i="2"/>
  <c r="A197" i="2" s="1"/>
  <c r="G194" i="6" l="1"/>
  <c r="A194" i="6"/>
  <c r="B194" i="6" s="1"/>
  <c r="C195" i="6"/>
  <c r="G107" i="6"/>
  <c r="E107" i="6"/>
  <c r="F107" i="6" s="1"/>
  <c r="C198" i="2"/>
  <c r="A198" i="2" s="1"/>
  <c r="G195" i="6" l="1"/>
  <c r="A195" i="6"/>
  <c r="B195" i="6" s="1"/>
  <c r="C196" i="6"/>
  <c r="H107" i="6"/>
  <c r="I107" i="6" s="1"/>
  <c r="D108" i="6" s="1"/>
  <c r="C199" i="2"/>
  <c r="A199" i="2" s="1"/>
  <c r="G196" i="6" l="1"/>
  <c r="A196" i="6"/>
  <c r="B196" i="6" s="1"/>
  <c r="C197" i="6"/>
  <c r="G108" i="6"/>
  <c r="E108" i="6"/>
  <c r="C200" i="2"/>
  <c r="A200" i="2" s="1"/>
  <c r="A197" i="6" l="1"/>
  <c r="B197" i="6" s="1"/>
  <c r="G197" i="6"/>
  <c r="C198" i="6"/>
  <c r="H108" i="6"/>
  <c r="I108" i="6" s="1"/>
  <c r="D109" i="6" s="1"/>
  <c r="F108" i="6"/>
  <c r="C201" i="2"/>
  <c r="A201" i="2" s="1"/>
  <c r="A198" i="6" l="1"/>
  <c r="B198" i="6" s="1"/>
  <c r="G198" i="6"/>
  <c r="C199" i="6"/>
  <c r="G109" i="6"/>
  <c r="E109" i="6"/>
  <c r="C202" i="2"/>
  <c r="A202" i="2" s="1"/>
  <c r="G199" i="6" l="1"/>
  <c r="A199" i="6"/>
  <c r="B199" i="6" s="1"/>
  <c r="C200" i="6"/>
  <c r="H109" i="6"/>
  <c r="I109" i="6" s="1"/>
  <c r="D110" i="6" s="1"/>
  <c r="F109" i="6"/>
  <c r="C203" i="2"/>
  <c r="A203" i="2" s="1"/>
  <c r="G200" i="6" l="1"/>
  <c r="A200" i="6"/>
  <c r="B200" i="6" s="1"/>
  <c r="C201" i="6"/>
  <c r="E110" i="6"/>
  <c r="G110" i="6"/>
  <c r="C204" i="2"/>
  <c r="A204" i="2" s="1"/>
  <c r="G201" i="6" l="1"/>
  <c r="A201" i="6"/>
  <c r="B201" i="6" s="1"/>
  <c r="C202" i="6"/>
  <c r="H110" i="6"/>
  <c r="I110" i="6" s="1"/>
  <c r="D111" i="6" s="1"/>
  <c r="F110" i="6"/>
  <c r="C205" i="2"/>
  <c r="A205" i="2" s="1"/>
  <c r="G202" i="6" l="1"/>
  <c r="A202" i="6"/>
  <c r="B202" i="6" s="1"/>
  <c r="C203" i="6"/>
  <c r="G111" i="6"/>
  <c r="E111" i="6"/>
  <c r="F111" i="6" s="1"/>
  <c r="C206" i="2"/>
  <c r="A206" i="2" s="1"/>
  <c r="G203" i="6" l="1"/>
  <c r="A203" i="6"/>
  <c r="B203" i="6" s="1"/>
  <c r="C204" i="6"/>
  <c r="H111" i="6"/>
  <c r="I111" i="6" s="1"/>
  <c r="D112" i="6" s="1"/>
  <c r="C207" i="2"/>
  <c r="A207" i="2" s="1"/>
  <c r="G204" i="6" l="1"/>
  <c r="A204" i="6"/>
  <c r="B204" i="6" s="1"/>
  <c r="C205" i="6"/>
  <c r="E112" i="6"/>
  <c r="G112" i="6"/>
  <c r="C208" i="2"/>
  <c r="A208" i="2" s="1"/>
  <c r="A205" i="6" l="1"/>
  <c r="B205" i="6" s="1"/>
  <c r="G205" i="6"/>
  <c r="C206" i="6"/>
  <c r="H112" i="6"/>
  <c r="I112" i="6" s="1"/>
  <c r="D113" i="6" s="1"/>
  <c r="F112" i="6"/>
  <c r="C209" i="2"/>
  <c r="A209" i="2" s="1"/>
  <c r="A206" i="6" l="1"/>
  <c r="B206" i="6" s="1"/>
  <c r="G206" i="6"/>
  <c r="C207" i="6"/>
  <c r="G113" i="6"/>
  <c r="E113" i="6"/>
  <c r="F113" i="6" s="1"/>
  <c r="C210" i="2"/>
  <c r="A210" i="2" s="1"/>
  <c r="G207" i="6" l="1"/>
  <c r="A207" i="6"/>
  <c r="B207" i="6" s="1"/>
  <c r="C208" i="6"/>
  <c r="H113" i="6"/>
  <c r="I113" i="6" s="1"/>
  <c r="D114" i="6" s="1"/>
  <c r="C211" i="2"/>
  <c r="A211" i="2" s="1"/>
  <c r="G208" i="6" l="1"/>
  <c r="A208" i="6"/>
  <c r="B208" i="6" s="1"/>
  <c r="C209" i="6"/>
  <c r="E114" i="6"/>
  <c r="G114" i="6"/>
  <c r="C212" i="2"/>
  <c r="A212" i="2" s="1"/>
  <c r="G209" i="6" l="1"/>
  <c r="A209" i="6"/>
  <c r="B209" i="6" s="1"/>
  <c r="C210" i="6"/>
  <c r="H114" i="6"/>
  <c r="I114" i="6" s="1"/>
  <c r="D115" i="6" s="1"/>
  <c r="F114" i="6"/>
  <c r="C213" i="2"/>
  <c r="A213" i="2" s="1"/>
  <c r="G210" i="6" l="1"/>
  <c r="A210" i="6"/>
  <c r="B210" i="6" s="1"/>
  <c r="C211" i="6"/>
  <c r="E115" i="6"/>
  <c r="G115" i="6"/>
  <c r="C214" i="2"/>
  <c r="A214" i="2" s="1"/>
  <c r="G211" i="6" l="1"/>
  <c r="A211" i="6"/>
  <c r="B211" i="6" s="1"/>
  <c r="C212" i="6"/>
  <c r="H115" i="6"/>
  <c r="I115" i="6" s="1"/>
  <c r="D116" i="6" s="1"/>
  <c r="F115" i="6"/>
  <c r="C215" i="2"/>
  <c r="A215" i="2" s="1"/>
  <c r="G212" i="6" l="1"/>
  <c r="A212" i="6"/>
  <c r="B212" i="6" s="1"/>
  <c r="C213" i="6"/>
  <c r="G116" i="6"/>
  <c r="E116" i="6"/>
  <c r="C216" i="2"/>
  <c r="A216" i="2" s="1"/>
  <c r="A213" i="6" l="1"/>
  <c r="B213" i="6" s="1"/>
  <c r="G213" i="6"/>
  <c r="C214" i="6"/>
  <c r="H116" i="6"/>
  <c r="I116" i="6" s="1"/>
  <c r="D117" i="6" s="1"/>
  <c r="F116" i="6"/>
  <c r="C217" i="2"/>
  <c r="A217" i="2" s="1"/>
  <c r="A214" i="6" l="1"/>
  <c r="B214" i="6" s="1"/>
  <c r="G214" i="6"/>
  <c r="C215" i="6"/>
  <c r="G117" i="6"/>
  <c r="E117" i="6"/>
  <c r="C218" i="2"/>
  <c r="A218" i="2" s="1"/>
  <c r="G215" i="6" l="1"/>
  <c r="A215" i="6"/>
  <c r="B215" i="6" s="1"/>
  <c r="C216" i="6"/>
  <c r="H117" i="6"/>
  <c r="I117" i="6" s="1"/>
  <c r="D118" i="6" s="1"/>
  <c r="F117" i="6"/>
  <c r="C219" i="2"/>
  <c r="A219" i="2" s="1"/>
  <c r="G216" i="6" l="1"/>
  <c r="A216" i="6"/>
  <c r="B216" i="6" s="1"/>
  <c r="C217" i="6"/>
  <c r="E118" i="6"/>
  <c r="G118" i="6"/>
  <c r="C220" i="2"/>
  <c r="A220" i="2" s="1"/>
  <c r="G217" i="6" l="1"/>
  <c r="A217" i="6"/>
  <c r="B217" i="6" s="1"/>
  <c r="C218" i="6"/>
  <c r="H118" i="6"/>
  <c r="I118" i="6" s="1"/>
  <c r="D119" i="6" s="1"/>
  <c r="F118" i="6"/>
  <c r="C221" i="2"/>
  <c r="A221" i="2" s="1"/>
  <c r="G218" i="6" l="1"/>
  <c r="A218" i="6"/>
  <c r="B218" i="6" s="1"/>
  <c r="C219" i="6"/>
  <c r="E119" i="6"/>
  <c r="G119" i="6"/>
  <c r="C222" i="2"/>
  <c r="A222" i="2" s="1"/>
  <c r="G219" i="6" l="1"/>
  <c r="A219" i="6"/>
  <c r="B219" i="6" s="1"/>
  <c r="C220" i="6"/>
  <c r="H119" i="6"/>
  <c r="I119" i="6" s="1"/>
  <c r="D120" i="6" s="1"/>
  <c r="F119" i="6"/>
  <c r="C223" i="2"/>
  <c r="A223" i="2" s="1"/>
  <c r="G220" i="6" l="1"/>
  <c r="A220" i="6"/>
  <c r="B220" i="6" s="1"/>
  <c r="C221" i="6"/>
  <c r="G120" i="6"/>
  <c r="E120" i="6"/>
  <c r="C224" i="2"/>
  <c r="A224" i="2" s="1"/>
  <c r="A221" i="6" l="1"/>
  <c r="B221" i="6" s="1"/>
  <c r="G221" i="6"/>
  <c r="C222" i="6"/>
  <c r="H120" i="6"/>
  <c r="I120" i="6" s="1"/>
  <c r="D121" i="6" s="1"/>
  <c r="F120" i="6"/>
  <c r="C225" i="2"/>
  <c r="A225" i="2" s="1"/>
  <c r="G222" i="6" l="1"/>
  <c r="A222" i="6"/>
  <c r="B222" i="6" s="1"/>
  <c r="C223" i="6"/>
  <c r="G121" i="6"/>
  <c r="E121" i="6"/>
  <c r="F121" i="6" s="1"/>
  <c r="C226" i="2"/>
  <c r="A226" i="2" s="1"/>
  <c r="G223" i="6" l="1"/>
  <c r="A223" i="6"/>
  <c r="B223" i="6" s="1"/>
  <c r="C224" i="6"/>
  <c r="H121" i="6"/>
  <c r="I121" i="6" s="1"/>
  <c r="D122" i="6" s="1"/>
  <c r="C227" i="2"/>
  <c r="A227" i="2" s="1"/>
  <c r="G224" i="6" l="1"/>
  <c r="A224" i="6"/>
  <c r="B224" i="6" s="1"/>
  <c r="C225" i="6"/>
  <c r="E122" i="6"/>
  <c r="M10" i="6" s="1"/>
  <c r="G122" i="6"/>
  <c r="C228" i="2"/>
  <c r="A228" i="2" s="1"/>
  <c r="G225" i="6" l="1"/>
  <c r="A225" i="6"/>
  <c r="B225" i="6" s="1"/>
  <c r="C226" i="6"/>
  <c r="H122" i="6"/>
  <c r="I122" i="6" s="1"/>
  <c r="D123" i="6" s="1"/>
  <c r="E123" i="6" s="1"/>
  <c r="F122" i="6"/>
  <c r="C229" i="2"/>
  <c r="A229" i="2" s="1"/>
  <c r="G226" i="6" l="1"/>
  <c r="A226" i="6"/>
  <c r="B226" i="6" s="1"/>
  <c r="C227" i="6"/>
  <c r="H123" i="6"/>
  <c r="I123" i="6" s="1"/>
  <c r="D124" i="6" s="1"/>
  <c r="E124" i="6" s="1"/>
  <c r="C230" i="2"/>
  <c r="A230" i="2" s="1"/>
  <c r="G227" i="6" l="1"/>
  <c r="A227" i="6"/>
  <c r="B227" i="6" s="1"/>
  <c r="C228" i="6"/>
  <c r="H124" i="6"/>
  <c r="I124" i="6" s="1"/>
  <c r="D125" i="6" s="1"/>
  <c r="E125" i="6" s="1"/>
  <c r="F123" i="6"/>
  <c r="C231" i="2"/>
  <c r="A231" i="2" s="1"/>
  <c r="G228" i="6" l="1"/>
  <c r="A228" i="6"/>
  <c r="B228" i="6" s="1"/>
  <c r="C229" i="6"/>
  <c r="H125" i="6"/>
  <c r="I125" i="6" s="1"/>
  <c r="D126" i="6" s="1"/>
  <c r="E126" i="6" s="1"/>
  <c r="F124" i="6"/>
  <c r="C232" i="2"/>
  <c r="A232" i="2" s="1"/>
  <c r="A229" i="6" l="1"/>
  <c r="B229" i="6" s="1"/>
  <c r="G229" i="6"/>
  <c r="C230" i="6"/>
  <c r="H126" i="6"/>
  <c r="I126" i="6" s="1"/>
  <c r="D127" i="6" s="1"/>
  <c r="E127" i="6" s="1"/>
  <c r="F126" i="6"/>
  <c r="F125" i="6"/>
  <c r="C233" i="2"/>
  <c r="A233" i="2" s="1"/>
  <c r="A230" i="6" l="1"/>
  <c r="B230" i="6" s="1"/>
  <c r="G230" i="6"/>
  <c r="C231" i="6"/>
  <c r="H127" i="6"/>
  <c r="I127" i="6" s="1"/>
  <c r="D128" i="6" s="1"/>
  <c r="E128" i="6" s="1"/>
  <c r="C234" i="2"/>
  <c r="A234" i="2" s="1"/>
  <c r="G231" i="6" l="1"/>
  <c r="A231" i="6"/>
  <c r="B231" i="6" s="1"/>
  <c r="C232" i="6"/>
  <c r="H128" i="6"/>
  <c r="I128" i="6" s="1"/>
  <c r="D129" i="6" s="1"/>
  <c r="E129" i="6" s="1"/>
  <c r="F127" i="6"/>
  <c r="C235" i="2"/>
  <c r="A235" i="2" s="1"/>
  <c r="G232" i="6" l="1"/>
  <c r="A232" i="6"/>
  <c r="B232" i="6" s="1"/>
  <c r="C233" i="6"/>
  <c r="H129" i="6"/>
  <c r="I129" i="6" s="1"/>
  <c r="D130" i="6" s="1"/>
  <c r="E130" i="6" s="1"/>
  <c r="F128" i="6"/>
  <c r="C236" i="2"/>
  <c r="A236" i="2" s="1"/>
  <c r="G233" i="6" l="1"/>
  <c r="A233" i="6"/>
  <c r="B233" i="6" s="1"/>
  <c r="C234" i="6"/>
  <c r="H130" i="6"/>
  <c r="I130" i="6"/>
  <c r="D131" i="6" s="1"/>
  <c r="E131" i="6" s="1"/>
  <c r="F129" i="6"/>
  <c r="C237" i="2"/>
  <c r="A237" i="2" s="1"/>
  <c r="G234" i="6" l="1"/>
  <c r="A234" i="6"/>
  <c r="B234" i="6" s="1"/>
  <c r="C235" i="6"/>
  <c r="H131" i="6"/>
  <c r="I131" i="6" s="1"/>
  <c r="D132" i="6" s="1"/>
  <c r="E132" i="6" s="1"/>
  <c r="F130" i="6"/>
  <c r="C238" i="2"/>
  <c r="A238" i="2" s="1"/>
  <c r="G235" i="6" l="1"/>
  <c r="A235" i="6"/>
  <c r="B235" i="6" s="1"/>
  <c r="C236" i="6"/>
  <c r="H132" i="6"/>
  <c r="I132" i="6" s="1"/>
  <c r="D133" i="6" s="1"/>
  <c r="E133" i="6" s="1"/>
  <c r="F131" i="6"/>
  <c r="C239" i="2"/>
  <c r="A239" i="2" s="1"/>
  <c r="G236" i="6" l="1"/>
  <c r="A236" i="6"/>
  <c r="B236" i="6" s="1"/>
  <c r="C237" i="6"/>
  <c r="H133" i="6"/>
  <c r="I133" i="6" s="1"/>
  <c r="D134" i="6" s="1"/>
  <c r="E134" i="6" s="1"/>
  <c r="F132" i="6"/>
  <c r="C240" i="2"/>
  <c r="A240" i="2" s="1"/>
  <c r="A237" i="6" l="1"/>
  <c r="B237" i="6" s="1"/>
  <c r="G237" i="6"/>
  <c r="C238" i="6"/>
  <c r="H134" i="6"/>
  <c r="I134" i="6" s="1"/>
  <c r="D135" i="6" s="1"/>
  <c r="E135" i="6" s="1"/>
  <c r="F133" i="6"/>
  <c r="C241" i="2"/>
  <c r="A241" i="2" s="1"/>
  <c r="A238" i="6" l="1"/>
  <c r="B238" i="6" s="1"/>
  <c r="G238" i="6"/>
  <c r="C239" i="6"/>
  <c r="H135" i="6"/>
  <c r="I135" i="6" s="1"/>
  <c r="D136" i="6" s="1"/>
  <c r="E136" i="6" s="1"/>
  <c r="F134" i="6"/>
  <c r="C242" i="2"/>
  <c r="A242" i="2" s="1"/>
  <c r="G239" i="6" l="1"/>
  <c r="A239" i="6"/>
  <c r="B239" i="6" s="1"/>
  <c r="C240" i="6"/>
  <c r="H136" i="6"/>
  <c r="I136" i="6" s="1"/>
  <c r="D137" i="6" s="1"/>
  <c r="E137" i="6" s="1"/>
  <c r="F135" i="6"/>
  <c r="C243" i="2"/>
  <c r="A243" i="2" s="1"/>
  <c r="G240" i="6" l="1"/>
  <c r="A240" i="6"/>
  <c r="B240" i="6" s="1"/>
  <c r="C241" i="6"/>
  <c r="H137" i="6"/>
  <c r="I137" i="6" s="1"/>
  <c r="D138" i="6" s="1"/>
  <c r="E138" i="6" s="1"/>
  <c r="F137" i="6"/>
  <c r="F136" i="6"/>
  <c r="C244" i="2"/>
  <c r="A244" i="2" s="1"/>
  <c r="G241" i="6" l="1"/>
  <c r="A241" i="6"/>
  <c r="B241" i="6" s="1"/>
  <c r="C242" i="6"/>
  <c r="H138" i="6"/>
  <c r="I138" i="6" s="1"/>
  <c r="D139" i="6" s="1"/>
  <c r="E139" i="6" s="1"/>
  <c r="C245" i="2"/>
  <c r="A245" i="2" s="1"/>
  <c r="G242" i="6" l="1"/>
  <c r="A242" i="6"/>
  <c r="B242" i="6" s="1"/>
  <c r="C243" i="6"/>
  <c r="H139" i="6"/>
  <c r="I139" i="6" s="1"/>
  <c r="D140" i="6" s="1"/>
  <c r="E140" i="6" s="1"/>
  <c r="F139" i="6"/>
  <c r="F138" i="6"/>
  <c r="C246" i="2"/>
  <c r="A246" i="2" s="1"/>
  <c r="G243" i="6" l="1"/>
  <c r="A243" i="6"/>
  <c r="B243" i="6" s="1"/>
  <c r="C244" i="6"/>
  <c r="H140" i="6"/>
  <c r="I140" i="6" s="1"/>
  <c r="D141" i="6" s="1"/>
  <c r="E141" i="6" s="1"/>
  <c r="C247" i="2"/>
  <c r="A247" i="2" s="1"/>
  <c r="G244" i="6" l="1"/>
  <c r="A244" i="6"/>
  <c r="B244" i="6" s="1"/>
  <c r="C245" i="6"/>
  <c r="H141" i="6"/>
  <c r="I141" i="6" s="1"/>
  <c r="D142" i="6" s="1"/>
  <c r="E142" i="6" s="1"/>
  <c r="F141" i="6"/>
  <c r="F140" i="6"/>
  <c r="C248" i="2"/>
  <c r="A248" i="2" s="1"/>
  <c r="A245" i="6" l="1"/>
  <c r="B245" i="6" s="1"/>
  <c r="G245" i="6"/>
  <c r="C246" i="6"/>
  <c r="H142" i="6"/>
  <c r="I142" i="6"/>
  <c r="D143" i="6" s="1"/>
  <c r="E143" i="6" s="1"/>
  <c r="F142" i="6"/>
  <c r="C249" i="2"/>
  <c r="A249" i="2" s="1"/>
  <c r="A246" i="6" l="1"/>
  <c r="B246" i="6" s="1"/>
  <c r="G246" i="6"/>
  <c r="C247" i="6"/>
  <c r="H143" i="6"/>
  <c r="I143" i="6" s="1"/>
  <c r="D144" i="6" s="1"/>
  <c r="E144" i="6" s="1"/>
  <c r="C250" i="2"/>
  <c r="A250" i="2" s="1"/>
  <c r="G247" i="6" l="1"/>
  <c r="A247" i="6"/>
  <c r="B247" i="6" s="1"/>
  <c r="C248" i="6"/>
  <c r="H144" i="6"/>
  <c r="I144" i="6" s="1"/>
  <c r="D145" i="6" s="1"/>
  <c r="E145" i="6" s="1"/>
  <c r="F143" i="6"/>
  <c r="C251" i="2"/>
  <c r="A251" i="2" s="1"/>
  <c r="G248" i="6" l="1"/>
  <c r="A248" i="6"/>
  <c r="B248" i="6" s="1"/>
  <c r="C249" i="6"/>
  <c r="H145" i="6"/>
  <c r="I145" i="6"/>
  <c r="D146" i="6" s="1"/>
  <c r="E146" i="6" s="1"/>
  <c r="F145" i="6"/>
  <c r="F144" i="6"/>
  <c r="C252" i="2"/>
  <c r="A252" i="2" s="1"/>
  <c r="G249" i="6" l="1"/>
  <c r="A249" i="6"/>
  <c r="B249" i="6" s="1"/>
  <c r="C250" i="6"/>
  <c r="H146" i="6"/>
  <c r="I146" i="6" s="1"/>
  <c r="D147" i="6" s="1"/>
  <c r="E147" i="6" s="1"/>
  <c r="C253" i="2"/>
  <c r="A253" i="2" s="1"/>
  <c r="G250" i="6" l="1"/>
  <c r="A250" i="6"/>
  <c r="B250" i="6" s="1"/>
  <c r="C251" i="6"/>
  <c r="H147" i="6"/>
  <c r="I147" i="6" s="1"/>
  <c r="D148" i="6" s="1"/>
  <c r="E148" i="6" s="1"/>
  <c r="F146" i="6"/>
  <c r="C254" i="2"/>
  <c r="A254" i="2" s="1"/>
  <c r="G251" i="6" l="1"/>
  <c r="A251" i="6"/>
  <c r="B251" i="6" s="1"/>
  <c r="C252" i="6"/>
  <c r="H148" i="6"/>
  <c r="I148" i="6" s="1"/>
  <c r="D149" i="6" s="1"/>
  <c r="E149" i="6" s="1"/>
  <c r="F147" i="6"/>
  <c r="C255" i="2"/>
  <c r="A255" i="2" s="1"/>
  <c r="G252" i="6" l="1"/>
  <c r="A252" i="6"/>
  <c r="B252" i="6" s="1"/>
  <c r="C253" i="6"/>
  <c r="H149" i="6"/>
  <c r="I149" i="6" s="1"/>
  <c r="D150" i="6" s="1"/>
  <c r="E150" i="6" s="1"/>
  <c r="F148" i="6"/>
  <c r="C256" i="2"/>
  <c r="A256" i="2" s="1"/>
  <c r="A253" i="6" l="1"/>
  <c r="B253" i="6" s="1"/>
  <c r="G253" i="6"/>
  <c r="C254" i="6"/>
  <c r="H150" i="6"/>
  <c r="I150" i="6" s="1"/>
  <c r="D151" i="6" s="1"/>
  <c r="E151" i="6" s="1"/>
  <c r="F149" i="6"/>
  <c r="C257" i="2"/>
  <c r="A257" i="2" s="1"/>
  <c r="G254" i="6" l="1"/>
  <c r="A254" i="6"/>
  <c r="B254" i="6" s="1"/>
  <c r="C255" i="6"/>
  <c r="H151" i="6"/>
  <c r="I151" i="6" s="1"/>
  <c r="D152" i="6" s="1"/>
  <c r="E152" i="6" s="1"/>
  <c r="F150" i="6"/>
  <c r="C258" i="2"/>
  <c r="A258" i="2" s="1"/>
  <c r="G255" i="6" l="1"/>
  <c r="A255" i="6"/>
  <c r="B255" i="6" s="1"/>
  <c r="C256" i="6"/>
  <c r="H152" i="6"/>
  <c r="I152" i="6" s="1"/>
  <c r="D153" i="6" s="1"/>
  <c r="E153" i="6" s="1"/>
  <c r="F151" i="6"/>
  <c r="C259" i="2"/>
  <c r="A259" i="2" s="1"/>
  <c r="G256" i="6" l="1"/>
  <c r="A256" i="6"/>
  <c r="B256" i="6" s="1"/>
  <c r="C257" i="6"/>
  <c r="H153" i="6"/>
  <c r="I153" i="6" s="1"/>
  <c r="D154" i="6" s="1"/>
  <c r="E154" i="6" s="1"/>
  <c r="F153" i="6"/>
  <c r="F152" i="6"/>
  <c r="C260" i="2"/>
  <c r="A260" i="2" s="1"/>
  <c r="G257" i="6" l="1"/>
  <c r="A257" i="6"/>
  <c r="B257" i="6" s="1"/>
  <c r="C258" i="6"/>
  <c r="H154" i="6"/>
  <c r="I154" i="6" s="1"/>
  <c r="D155" i="6" s="1"/>
  <c r="E155" i="6" s="1"/>
  <c r="C261" i="2"/>
  <c r="A261" i="2" s="1"/>
  <c r="G258" i="6" l="1"/>
  <c r="A258" i="6"/>
  <c r="B258" i="6" s="1"/>
  <c r="C259" i="6"/>
  <c r="F154" i="6"/>
  <c r="H155" i="6"/>
  <c r="I155" i="6" s="1"/>
  <c r="D156" i="6" s="1"/>
  <c r="E156" i="6" s="1"/>
  <c r="C262" i="2"/>
  <c r="A262" i="2" s="1"/>
  <c r="G259" i="6" l="1"/>
  <c r="A259" i="6"/>
  <c r="B259" i="6" s="1"/>
  <c r="C260" i="6"/>
  <c r="H156" i="6"/>
  <c r="I156" i="6" s="1"/>
  <c r="D157" i="6" s="1"/>
  <c r="E157" i="6" s="1"/>
  <c r="F156" i="6"/>
  <c r="F155" i="6"/>
  <c r="C263" i="2"/>
  <c r="A263" i="2" s="1"/>
  <c r="G260" i="6" l="1"/>
  <c r="A260" i="6"/>
  <c r="B260" i="6" s="1"/>
  <c r="C261" i="6"/>
  <c r="H157" i="6"/>
  <c r="I157" i="6" s="1"/>
  <c r="D158" i="6" s="1"/>
  <c r="E158" i="6" s="1"/>
  <c r="C264" i="2"/>
  <c r="A264" i="2" s="1"/>
  <c r="A261" i="6" l="1"/>
  <c r="B261" i="6" s="1"/>
  <c r="G261" i="6"/>
  <c r="C262" i="6"/>
  <c r="H158" i="6"/>
  <c r="I158" i="6" s="1"/>
  <c r="D159" i="6" s="1"/>
  <c r="E159" i="6" s="1"/>
  <c r="F157" i="6"/>
  <c r="C265" i="2"/>
  <c r="A265" i="2" s="1"/>
  <c r="A262" i="6" l="1"/>
  <c r="B262" i="6" s="1"/>
  <c r="G262" i="6"/>
  <c r="C263" i="6"/>
  <c r="H159" i="6"/>
  <c r="I159" i="6" s="1"/>
  <c r="D160" i="6" s="1"/>
  <c r="E160" i="6" s="1"/>
  <c r="F158" i="6"/>
  <c r="C266" i="2"/>
  <c r="A266" i="2" s="1"/>
  <c r="G263" i="6" l="1"/>
  <c r="A263" i="6"/>
  <c r="B263" i="6" s="1"/>
  <c r="C264" i="6"/>
  <c r="H160" i="6"/>
  <c r="I160" i="6" s="1"/>
  <c r="D161" i="6" s="1"/>
  <c r="E161" i="6" s="1"/>
  <c r="F159" i="6"/>
  <c r="C267" i="2"/>
  <c r="A267" i="2" s="1"/>
  <c r="G264" i="6" l="1"/>
  <c r="A264" i="6"/>
  <c r="B264" i="6" s="1"/>
  <c r="C265" i="6"/>
  <c r="H161" i="6"/>
  <c r="I161" i="6" s="1"/>
  <c r="D162" i="6" s="1"/>
  <c r="E162" i="6" s="1"/>
  <c r="F160" i="6"/>
  <c r="C268" i="2"/>
  <c r="A268" i="2" s="1"/>
  <c r="G265" i="6" l="1"/>
  <c r="A265" i="6"/>
  <c r="B265" i="6" s="1"/>
  <c r="C266" i="6"/>
  <c r="H162" i="6"/>
  <c r="I162" i="6" s="1"/>
  <c r="D163" i="6" s="1"/>
  <c r="E163" i="6" s="1"/>
  <c r="F161" i="6"/>
  <c r="C269" i="2"/>
  <c r="A269" i="2" s="1"/>
  <c r="G266" i="6" l="1"/>
  <c r="A266" i="6"/>
  <c r="B266" i="6" s="1"/>
  <c r="C267" i="6"/>
  <c r="H163" i="6"/>
  <c r="I163" i="6" s="1"/>
  <c r="D164" i="6" s="1"/>
  <c r="E164" i="6" s="1"/>
  <c r="F162" i="6"/>
  <c r="C270" i="2"/>
  <c r="A270" i="2" s="1"/>
  <c r="G267" i="6" l="1"/>
  <c r="A267" i="6"/>
  <c r="B267" i="6" s="1"/>
  <c r="C268" i="6"/>
  <c r="H164" i="6"/>
  <c r="I164" i="6" s="1"/>
  <c r="D165" i="6" s="1"/>
  <c r="E165" i="6" s="1"/>
  <c r="F163" i="6"/>
  <c r="C271" i="2"/>
  <c r="A271" i="2" s="1"/>
  <c r="G268" i="6" l="1"/>
  <c r="A268" i="6"/>
  <c r="B268" i="6" s="1"/>
  <c r="C269" i="6"/>
  <c r="H165" i="6"/>
  <c r="I165" i="6" s="1"/>
  <c r="D166" i="6" s="1"/>
  <c r="E166" i="6" s="1"/>
  <c r="F164" i="6"/>
  <c r="C272" i="2"/>
  <c r="A272" i="2" s="1"/>
  <c r="A269" i="6" l="1"/>
  <c r="B269" i="6" s="1"/>
  <c r="G269" i="6"/>
  <c r="C270" i="6"/>
  <c r="H166" i="6"/>
  <c r="I166" i="6" s="1"/>
  <c r="D167" i="6" s="1"/>
  <c r="E167" i="6" s="1"/>
  <c r="F165" i="6"/>
  <c r="C273" i="2"/>
  <c r="A273" i="2" s="1"/>
  <c r="G270" i="6" l="1"/>
  <c r="A270" i="6"/>
  <c r="B270" i="6" s="1"/>
  <c r="C271" i="6"/>
  <c r="H167" i="6"/>
  <c r="I167" i="6" s="1"/>
  <c r="D168" i="6" s="1"/>
  <c r="E168" i="6" s="1"/>
  <c r="F166" i="6"/>
  <c r="C274" i="2"/>
  <c r="A274" i="2" s="1"/>
  <c r="G271" i="6" l="1"/>
  <c r="A271" i="6"/>
  <c r="B271" i="6" s="1"/>
  <c r="C272" i="6"/>
  <c r="H168" i="6"/>
  <c r="I168" i="6" s="1"/>
  <c r="D169" i="6" s="1"/>
  <c r="E169" i="6" s="1"/>
  <c r="F167" i="6"/>
  <c r="C275" i="2"/>
  <c r="A275" i="2" s="1"/>
  <c r="G272" i="6" l="1"/>
  <c r="A272" i="6"/>
  <c r="B272" i="6" s="1"/>
  <c r="C273" i="6"/>
  <c r="F168" i="6"/>
  <c r="H169" i="6"/>
  <c r="I169" i="6" s="1"/>
  <c r="D170" i="6" s="1"/>
  <c r="E170" i="6" s="1"/>
  <c r="F169" i="6"/>
  <c r="C276" i="2"/>
  <c r="A276" i="2" s="1"/>
  <c r="G273" i="6" l="1"/>
  <c r="A273" i="6"/>
  <c r="B273" i="6" s="1"/>
  <c r="C274" i="6"/>
  <c r="H170" i="6"/>
  <c r="I170" i="6" s="1"/>
  <c r="D171" i="6" s="1"/>
  <c r="E171" i="6" s="1"/>
  <c r="C277" i="2"/>
  <c r="A277" i="2" s="1"/>
  <c r="G274" i="6" l="1"/>
  <c r="A274" i="6"/>
  <c r="B274" i="6" s="1"/>
  <c r="C275" i="6"/>
  <c r="H171" i="6"/>
  <c r="I171" i="6" s="1"/>
  <c r="D172" i="6" s="1"/>
  <c r="E172" i="6" s="1"/>
  <c r="F170" i="6"/>
  <c r="C278" i="2"/>
  <c r="A278" i="2" s="1"/>
  <c r="G275" i="6" l="1"/>
  <c r="A275" i="6"/>
  <c r="B275" i="6" s="1"/>
  <c r="C276" i="6"/>
  <c r="H172" i="6"/>
  <c r="I172" i="6" s="1"/>
  <c r="D173" i="6" s="1"/>
  <c r="E173" i="6" s="1"/>
  <c r="F171" i="6"/>
  <c r="C279" i="2"/>
  <c r="A279" i="2" s="1"/>
  <c r="A276" i="6" l="1"/>
  <c r="B276" i="6" s="1"/>
  <c r="G276" i="6"/>
  <c r="C277" i="6"/>
  <c r="H173" i="6"/>
  <c r="I173" i="6" s="1"/>
  <c r="D174" i="6" s="1"/>
  <c r="E174" i="6" s="1"/>
  <c r="F173" i="6"/>
  <c r="F172" i="6"/>
  <c r="C280" i="2"/>
  <c r="A280" i="2" s="1"/>
  <c r="A277" i="6" l="1"/>
  <c r="B277" i="6" s="1"/>
  <c r="G277" i="6"/>
  <c r="C278" i="6"/>
  <c r="H174" i="6"/>
  <c r="I174" i="6" s="1"/>
  <c r="D175" i="6" s="1"/>
  <c r="E175" i="6" s="1"/>
  <c r="C281" i="2"/>
  <c r="A281" i="2" s="1"/>
  <c r="A278" i="6" l="1"/>
  <c r="B278" i="6" s="1"/>
  <c r="G278" i="6"/>
  <c r="C279" i="6"/>
  <c r="H175" i="6"/>
  <c r="I175" i="6"/>
  <c r="D176" i="6" s="1"/>
  <c r="E176" i="6" s="1"/>
  <c r="F174" i="6"/>
  <c r="C282" i="2"/>
  <c r="A282" i="2" s="1"/>
  <c r="G279" i="6" l="1"/>
  <c r="A279" i="6"/>
  <c r="B279" i="6" s="1"/>
  <c r="C280" i="6"/>
  <c r="H176" i="6"/>
  <c r="I176" i="6" s="1"/>
  <c r="D177" i="6" s="1"/>
  <c r="E177" i="6" s="1"/>
  <c r="F175" i="6"/>
  <c r="C283" i="2"/>
  <c r="A283" i="2" s="1"/>
  <c r="G280" i="6" l="1"/>
  <c r="A280" i="6"/>
  <c r="B280" i="6" s="1"/>
  <c r="C281" i="6"/>
  <c r="F176" i="6"/>
  <c r="H177" i="6"/>
  <c r="I177" i="6" s="1"/>
  <c r="D178" i="6" s="1"/>
  <c r="E178" i="6" s="1"/>
  <c r="C284" i="2"/>
  <c r="A284" i="2" s="1"/>
  <c r="G281" i="6" l="1"/>
  <c r="A281" i="6"/>
  <c r="B281" i="6" s="1"/>
  <c r="C282" i="6"/>
  <c r="H178" i="6"/>
  <c r="I178" i="6"/>
  <c r="D179" i="6" s="1"/>
  <c r="E179" i="6" s="1"/>
  <c r="F177" i="6"/>
  <c r="C285" i="2"/>
  <c r="A285" i="2" s="1"/>
  <c r="G282" i="6" l="1"/>
  <c r="A282" i="6"/>
  <c r="B282" i="6" s="1"/>
  <c r="C283" i="6"/>
  <c r="H179" i="6"/>
  <c r="I179" i="6" s="1"/>
  <c r="D180" i="6" s="1"/>
  <c r="E180" i="6" s="1"/>
  <c r="F178" i="6"/>
  <c r="C286" i="2"/>
  <c r="A286" i="2" s="1"/>
  <c r="G283" i="6" l="1"/>
  <c r="A283" i="6"/>
  <c r="B283" i="6" s="1"/>
  <c r="C284" i="6"/>
  <c r="H180" i="6"/>
  <c r="I180" i="6" s="1"/>
  <c r="D181" i="6" s="1"/>
  <c r="E181" i="6" s="1"/>
  <c r="F179" i="6"/>
  <c r="C287" i="2"/>
  <c r="A287" i="2" s="1"/>
  <c r="G284" i="6" l="1"/>
  <c r="A284" i="6"/>
  <c r="B284" i="6" s="1"/>
  <c r="C285" i="6"/>
  <c r="H181" i="6"/>
  <c r="I181" i="6" s="1"/>
  <c r="D182" i="6" s="1"/>
  <c r="E182" i="6" s="1"/>
  <c r="F180" i="6"/>
  <c r="C288" i="2"/>
  <c r="A288" i="2" s="1"/>
  <c r="A285" i="6" l="1"/>
  <c r="B285" i="6" s="1"/>
  <c r="G285" i="6"/>
  <c r="C286" i="6"/>
  <c r="H182" i="6"/>
  <c r="I182" i="6" s="1"/>
  <c r="D183" i="6" s="1"/>
  <c r="E183" i="6" s="1"/>
  <c r="F181" i="6"/>
  <c r="C289" i="2"/>
  <c r="A289" i="2" s="1"/>
  <c r="A286" i="6" l="1"/>
  <c r="B286" i="6" s="1"/>
  <c r="G286" i="6"/>
  <c r="C287" i="6"/>
  <c r="H183" i="6"/>
  <c r="I183" i="6" s="1"/>
  <c r="D184" i="6" s="1"/>
  <c r="E184" i="6" s="1"/>
  <c r="F182" i="6"/>
  <c r="C290" i="2"/>
  <c r="A290" i="2" s="1"/>
  <c r="G287" i="6" l="1"/>
  <c r="A287" i="6"/>
  <c r="B287" i="6" s="1"/>
  <c r="C288" i="6"/>
  <c r="H184" i="6"/>
  <c r="I184" i="6" s="1"/>
  <c r="D185" i="6" s="1"/>
  <c r="E185" i="6" s="1"/>
  <c r="F183" i="6"/>
  <c r="C291" i="2"/>
  <c r="A291" i="2" s="1"/>
  <c r="G288" i="6" l="1"/>
  <c r="A288" i="6"/>
  <c r="B288" i="6" s="1"/>
  <c r="C289" i="6"/>
  <c r="F184" i="6"/>
  <c r="H185" i="6"/>
  <c r="I185" i="6" s="1"/>
  <c r="D186" i="6" s="1"/>
  <c r="E186" i="6" s="1"/>
  <c r="C292" i="2"/>
  <c r="A292" i="2" s="1"/>
  <c r="G289" i="6" l="1"/>
  <c r="A289" i="6"/>
  <c r="B289" i="6" s="1"/>
  <c r="C290" i="6"/>
  <c r="H186" i="6"/>
  <c r="I186" i="6" s="1"/>
  <c r="D187" i="6" s="1"/>
  <c r="E187" i="6" s="1"/>
  <c r="F185" i="6"/>
  <c r="C293" i="2"/>
  <c r="A293" i="2" s="1"/>
  <c r="G290" i="6" l="1"/>
  <c r="A290" i="6"/>
  <c r="B290" i="6" s="1"/>
  <c r="C291" i="6"/>
  <c r="H187" i="6"/>
  <c r="I187" i="6" s="1"/>
  <c r="D188" i="6" s="1"/>
  <c r="E188" i="6" s="1"/>
  <c r="F186" i="6"/>
  <c r="C294" i="2"/>
  <c r="A294" i="2" s="1"/>
  <c r="G291" i="6" l="1"/>
  <c r="A291" i="6"/>
  <c r="B291" i="6" s="1"/>
  <c r="C292" i="6"/>
  <c r="H188" i="6"/>
  <c r="I188" i="6" s="1"/>
  <c r="D189" i="6" s="1"/>
  <c r="E189" i="6" s="1"/>
  <c r="F187" i="6"/>
  <c r="C295" i="2"/>
  <c r="A295" i="2" s="1"/>
  <c r="G292" i="6" l="1"/>
  <c r="A292" i="6"/>
  <c r="B292" i="6" s="1"/>
  <c r="C293" i="6"/>
  <c r="H189" i="6"/>
  <c r="I189" i="6" s="1"/>
  <c r="D190" i="6" s="1"/>
  <c r="E190" i="6" s="1"/>
  <c r="F188" i="6"/>
  <c r="C296" i="2"/>
  <c r="A296" i="2" s="1"/>
  <c r="A293" i="6" l="1"/>
  <c r="B293" i="6" s="1"/>
  <c r="G293" i="6"/>
  <c r="C294" i="6"/>
  <c r="H190" i="6"/>
  <c r="I190" i="6"/>
  <c r="D191" i="6" s="1"/>
  <c r="E191" i="6" s="1"/>
  <c r="F189" i="6"/>
  <c r="C297" i="2"/>
  <c r="A297" i="2" s="1"/>
  <c r="G294" i="6" l="1"/>
  <c r="A294" i="6"/>
  <c r="B294" i="6" s="1"/>
  <c r="C295" i="6"/>
  <c r="H191" i="6"/>
  <c r="I191" i="6" s="1"/>
  <c r="D192" i="6" s="1"/>
  <c r="E192" i="6" s="1"/>
  <c r="F190" i="6"/>
  <c r="C298" i="2"/>
  <c r="A298" i="2" s="1"/>
  <c r="G295" i="6" l="1"/>
  <c r="A295" i="6"/>
  <c r="B295" i="6" s="1"/>
  <c r="C296" i="6"/>
  <c r="H192" i="6"/>
  <c r="I192" i="6" s="1"/>
  <c r="D193" i="6" s="1"/>
  <c r="E193" i="6" s="1"/>
  <c r="F191" i="6"/>
  <c r="C299" i="2"/>
  <c r="A299" i="2" s="1"/>
  <c r="G296" i="6" l="1"/>
  <c r="A296" i="6"/>
  <c r="B296" i="6" s="1"/>
  <c r="C297" i="6"/>
  <c r="H193" i="6"/>
  <c r="I193" i="6" s="1"/>
  <c r="D194" i="6" s="1"/>
  <c r="E194" i="6" s="1"/>
  <c r="F192" i="6"/>
  <c r="C300" i="2"/>
  <c r="A300" i="2" s="1"/>
  <c r="G297" i="6" l="1"/>
  <c r="A297" i="6"/>
  <c r="B297" i="6" s="1"/>
  <c r="C298" i="6"/>
  <c r="H194" i="6"/>
  <c r="I194" i="6" s="1"/>
  <c r="D195" i="6" s="1"/>
  <c r="E195" i="6" s="1"/>
  <c r="F193" i="6"/>
  <c r="C301" i="2"/>
  <c r="A301" i="2" s="1"/>
  <c r="G298" i="6" l="1"/>
  <c r="A298" i="6"/>
  <c r="B298" i="6" s="1"/>
  <c r="C299" i="6"/>
  <c r="H195" i="6"/>
  <c r="I195" i="6" s="1"/>
  <c r="D196" i="6" s="1"/>
  <c r="E196" i="6" s="1"/>
  <c r="F195" i="6"/>
  <c r="F194" i="6"/>
  <c r="C302" i="2"/>
  <c r="A302" i="2" s="1"/>
  <c r="G299" i="6" l="1"/>
  <c r="A299" i="6"/>
  <c r="B299" i="6" s="1"/>
  <c r="C300" i="6"/>
  <c r="H196" i="6"/>
  <c r="I196" i="6" s="1"/>
  <c r="D197" i="6" s="1"/>
  <c r="E197" i="6" s="1"/>
  <c r="C303" i="2"/>
  <c r="A303" i="2" s="1"/>
  <c r="G300" i="6" l="1"/>
  <c r="A300" i="6"/>
  <c r="B300" i="6" s="1"/>
  <c r="C301" i="6"/>
  <c r="H197" i="6"/>
  <c r="I197" i="6" s="1"/>
  <c r="D198" i="6" s="1"/>
  <c r="E198" i="6" s="1"/>
  <c r="F196" i="6"/>
  <c r="C304" i="2"/>
  <c r="A304" i="2" s="1"/>
  <c r="A301" i="6" l="1"/>
  <c r="B301" i="6" s="1"/>
  <c r="G301" i="6"/>
  <c r="C302" i="6"/>
  <c r="H198" i="6"/>
  <c r="I198" i="6"/>
  <c r="D199" i="6" s="1"/>
  <c r="E199" i="6" s="1"/>
  <c r="F198" i="6"/>
  <c r="F197" i="6"/>
  <c r="C305" i="2"/>
  <c r="A305" i="2" s="1"/>
  <c r="A302" i="6" l="1"/>
  <c r="B302" i="6" s="1"/>
  <c r="G302" i="6"/>
  <c r="C303" i="6"/>
  <c r="H199" i="6"/>
  <c r="I199" i="6" s="1"/>
  <c r="D200" i="6" s="1"/>
  <c r="E200" i="6" s="1"/>
  <c r="C306" i="2"/>
  <c r="A306" i="2" s="1"/>
  <c r="G303" i="6" l="1"/>
  <c r="A303" i="6"/>
  <c r="B303" i="6" s="1"/>
  <c r="C304" i="6"/>
  <c r="H200" i="6"/>
  <c r="I200" i="6" s="1"/>
  <c r="D201" i="6" s="1"/>
  <c r="E201" i="6" s="1"/>
  <c r="F199" i="6"/>
  <c r="C307" i="2"/>
  <c r="A307" i="2" s="1"/>
  <c r="G304" i="6" l="1"/>
  <c r="A304" i="6"/>
  <c r="B304" i="6" s="1"/>
  <c r="C305" i="6"/>
  <c r="F200" i="6"/>
  <c r="H201" i="6"/>
  <c r="I201" i="6" s="1"/>
  <c r="D202" i="6" s="1"/>
  <c r="E202" i="6" s="1"/>
  <c r="C308" i="2"/>
  <c r="A308" i="2" s="1"/>
  <c r="G305" i="6" l="1"/>
  <c r="A305" i="6"/>
  <c r="B305" i="6" s="1"/>
  <c r="C306" i="6"/>
  <c r="H202" i="6"/>
  <c r="I202" i="6" s="1"/>
  <c r="D203" i="6" s="1"/>
  <c r="E203" i="6" s="1"/>
  <c r="F201" i="6"/>
  <c r="C309" i="2"/>
  <c r="A309" i="2" s="1"/>
  <c r="G306" i="6" l="1"/>
  <c r="A306" i="6"/>
  <c r="B306" i="6" s="1"/>
  <c r="C307" i="6"/>
  <c r="H203" i="6"/>
  <c r="I203" i="6" s="1"/>
  <c r="D204" i="6" s="1"/>
  <c r="E204" i="6" s="1"/>
  <c r="F202" i="6"/>
  <c r="C310" i="2"/>
  <c r="A310" i="2" s="1"/>
  <c r="G307" i="6" l="1"/>
  <c r="A307" i="6"/>
  <c r="B307" i="6" s="1"/>
  <c r="C308" i="6"/>
  <c r="H204" i="6"/>
  <c r="I204" i="6" s="1"/>
  <c r="D205" i="6" s="1"/>
  <c r="E205" i="6" s="1"/>
  <c r="F203" i="6"/>
  <c r="C311" i="2"/>
  <c r="A311" i="2" s="1"/>
  <c r="G308" i="6" l="1"/>
  <c r="A308" i="6"/>
  <c r="B308" i="6" s="1"/>
  <c r="C309" i="6"/>
  <c r="H205" i="6"/>
  <c r="I205" i="6" s="1"/>
  <c r="D206" i="6" s="1"/>
  <c r="E206" i="6" s="1"/>
  <c r="F204" i="6"/>
  <c r="C312" i="2"/>
  <c r="A312" i="2" s="1"/>
  <c r="A309" i="6" l="1"/>
  <c r="B309" i="6" s="1"/>
  <c r="G309" i="6"/>
  <c r="C310" i="6"/>
  <c r="H206" i="6"/>
  <c r="I206" i="6" s="1"/>
  <c r="D207" i="6" s="1"/>
  <c r="E207" i="6" s="1"/>
  <c r="F205" i="6"/>
  <c r="C313" i="2"/>
  <c r="A313" i="2" s="1"/>
  <c r="A310" i="6" l="1"/>
  <c r="B310" i="6" s="1"/>
  <c r="G310" i="6"/>
  <c r="C311" i="6"/>
  <c r="H207" i="6"/>
  <c r="I207" i="6" s="1"/>
  <c r="D208" i="6" s="1"/>
  <c r="E208" i="6" s="1"/>
  <c r="F206" i="6"/>
  <c r="C314" i="2"/>
  <c r="A314" i="2" s="1"/>
  <c r="G311" i="6" l="1"/>
  <c r="A311" i="6"/>
  <c r="B311" i="6" s="1"/>
  <c r="C312" i="6"/>
  <c r="H208" i="6"/>
  <c r="I208" i="6" s="1"/>
  <c r="D209" i="6" s="1"/>
  <c r="E209" i="6" s="1"/>
  <c r="F207" i="6"/>
  <c r="C315" i="2"/>
  <c r="A315" i="2" s="1"/>
  <c r="G312" i="6" l="1"/>
  <c r="A312" i="6"/>
  <c r="B312" i="6" s="1"/>
  <c r="C313" i="6"/>
  <c r="H209" i="6"/>
  <c r="I209" i="6" s="1"/>
  <c r="D210" i="6" s="1"/>
  <c r="E210" i="6" s="1"/>
  <c r="F208" i="6"/>
  <c r="C316" i="2"/>
  <c r="A316" i="2" s="1"/>
  <c r="G313" i="6" l="1"/>
  <c r="A313" i="6"/>
  <c r="B313" i="6" s="1"/>
  <c r="C314" i="6"/>
  <c r="H210" i="6"/>
  <c r="I210" i="6" s="1"/>
  <c r="D211" i="6" s="1"/>
  <c r="E211" i="6" s="1"/>
  <c r="F209" i="6"/>
  <c r="C317" i="2"/>
  <c r="A317" i="2" s="1"/>
  <c r="G314" i="6" l="1"/>
  <c r="A314" i="6"/>
  <c r="B314" i="6" s="1"/>
  <c r="C315" i="6"/>
  <c r="H211" i="6"/>
  <c r="I211" i="6" s="1"/>
  <c r="D212" i="6" s="1"/>
  <c r="E212" i="6" s="1"/>
  <c r="F210" i="6"/>
  <c r="C318" i="2"/>
  <c r="A318" i="2" s="1"/>
  <c r="G315" i="6" l="1"/>
  <c r="A315" i="6"/>
  <c r="B315" i="6" s="1"/>
  <c r="C316" i="6"/>
  <c r="F211" i="6"/>
  <c r="H212" i="6"/>
  <c r="I212" i="6" s="1"/>
  <c r="D213" i="6" s="1"/>
  <c r="E213" i="6" s="1"/>
  <c r="C319" i="2"/>
  <c r="A319" i="2" s="1"/>
  <c r="G316" i="6" l="1"/>
  <c r="A316" i="6"/>
  <c r="B316" i="6" s="1"/>
  <c r="C317" i="6"/>
  <c r="H213" i="6"/>
  <c r="I213" i="6" s="1"/>
  <c r="D214" i="6" s="1"/>
  <c r="E214" i="6" s="1"/>
  <c r="F213" i="6"/>
  <c r="F212" i="6"/>
  <c r="C320" i="2"/>
  <c r="A320" i="2" s="1"/>
  <c r="A317" i="6" l="1"/>
  <c r="B317" i="6" s="1"/>
  <c r="G317" i="6"/>
  <c r="C318" i="6"/>
  <c r="H214" i="6"/>
  <c r="I214" i="6" s="1"/>
  <c r="D215" i="6" s="1"/>
  <c r="E215" i="6" s="1"/>
  <c r="C321" i="2"/>
  <c r="A321" i="2" s="1"/>
  <c r="A318" i="6" l="1"/>
  <c r="B318" i="6" s="1"/>
  <c r="G318" i="6"/>
  <c r="C319" i="6"/>
  <c r="H215" i="6"/>
  <c r="I215" i="6" s="1"/>
  <c r="D216" i="6" s="1"/>
  <c r="E216" i="6" s="1"/>
  <c r="F214" i="6"/>
  <c r="C322" i="2"/>
  <c r="A322" i="2" s="1"/>
  <c r="G319" i="6" l="1"/>
  <c r="A319" i="6"/>
  <c r="B319" i="6" s="1"/>
  <c r="C320" i="6"/>
  <c r="H216" i="6"/>
  <c r="I216" i="6" s="1"/>
  <c r="D217" i="6" s="1"/>
  <c r="E217" i="6" s="1"/>
  <c r="F215" i="6"/>
  <c r="C323" i="2"/>
  <c r="A323" i="2" s="1"/>
  <c r="G320" i="6" l="1"/>
  <c r="A320" i="6"/>
  <c r="B320" i="6" s="1"/>
  <c r="C321" i="6"/>
  <c r="H217" i="6"/>
  <c r="F217" i="6"/>
  <c r="I217" i="6"/>
  <c r="D218" i="6" s="1"/>
  <c r="E218" i="6" s="1"/>
  <c r="F216" i="6"/>
  <c r="C324" i="2"/>
  <c r="A324" i="2" s="1"/>
  <c r="G321" i="6" l="1"/>
  <c r="A321" i="6"/>
  <c r="B321" i="6" s="1"/>
  <c r="C322" i="6"/>
  <c r="H218" i="6"/>
  <c r="I218" i="6" s="1"/>
  <c r="D219" i="6" s="1"/>
  <c r="E219" i="6" s="1"/>
  <c r="C325" i="2"/>
  <c r="A325" i="2" s="1"/>
  <c r="G322" i="6" l="1"/>
  <c r="A322" i="6"/>
  <c r="B322" i="6" s="1"/>
  <c r="C323" i="6"/>
  <c r="H219" i="6"/>
  <c r="F219" i="6"/>
  <c r="I219" i="6"/>
  <c r="D220" i="6" s="1"/>
  <c r="E220" i="6" s="1"/>
  <c r="F218" i="6"/>
  <c r="C326" i="2"/>
  <c r="A326" i="2" s="1"/>
  <c r="G323" i="6" l="1"/>
  <c r="A323" i="6"/>
  <c r="B323" i="6" s="1"/>
  <c r="C324" i="6"/>
  <c r="H220" i="6"/>
  <c r="I220" i="6" s="1"/>
  <c r="D221" i="6" s="1"/>
  <c r="E221" i="6" s="1"/>
  <c r="C327" i="2"/>
  <c r="A327" i="2" s="1"/>
  <c r="G324" i="6" l="1"/>
  <c r="A324" i="6"/>
  <c r="B324" i="6" s="1"/>
  <c r="C325" i="6"/>
  <c r="H221" i="6"/>
  <c r="I221" i="6" s="1"/>
  <c r="D222" i="6" s="1"/>
  <c r="E222" i="6" s="1"/>
  <c r="F220" i="6"/>
  <c r="C328" i="2"/>
  <c r="A328" i="2" s="1"/>
  <c r="A325" i="6" l="1"/>
  <c r="B325" i="6" s="1"/>
  <c r="G325" i="6"/>
  <c r="C326" i="6"/>
  <c r="H222" i="6"/>
  <c r="I222" i="6" s="1"/>
  <c r="D223" i="6" s="1"/>
  <c r="E223" i="6" s="1"/>
  <c r="F222" i="6"/>
  <c r="F221" i="6"/>
  <c r="C329" i="2"/>
  <c r="A329" i="2" s="1"/>
  <c r="A326" i="6" l="1"/>
  <c r="B326" i="6" s="1"/>
  <c r="G326" i="6"/>
  <c r="C327" i="6"/>
  <c r="H223" i="6"/>
  <c r="I223" i="6" s="1"/>
  <c r="D224" i="6" s="1"/>
  <c r="E224" i="6" s="1"/>
  <c r="C330" i="2"/>
  <c r="A330" i="2" s="1"/>
  <c r="G327" i="6" l="1"/>
  <c r="A327" i="6"/>
  <c r="B327" i="6" s="1"/>
  <c r="C328" i="6"/>
  <c r="H224" i="6"/>
  <c r="I224" i="6" s="1"/>
  <c r="D225" i="6" s="1"/>
  <c r="E225" i="6" s="1"/>
  <c r="F223" i="6"/>
  <c r="C331" i="2"/>
  <c r="A331" i="2" s="1"/>
  <c r="G328" i="6" l="1"/>
  <c r="A328" i="6"/>
  <c r="B328" i="6" s="1"/>
  <c r="C329" i="6"/>
  <c r="H225" i="6"/>
  <c r="I225" i="6" s="1"/>
  <c r="D226" i="6" s="1"/>
  <c r="E226" i="6" s="1"/>
  <c r="F224" i="6"/>
  <c r="C332" i="2"/>
  <c r="A332" i="2" s="1"/>
  <c r="G329" i="6" l="1"/>
  <c r="A329" i="6"/>
  <c r="B329" i="6" s="1"/>
  <c r="C330" i="6"/>
  <c r="H226" i="6"/>
  <c r="I226" i="6" s="1"/>
  <c r="D227" i="6" s="1"/>
  <c r="E227" i="6" s="1"/>
  <c r="F225" i="6"/>
  <c r="C333" i="2"/>
  <c r="A333" i="2" s="1"/>
  <c r="G330" i="6" l="1"/>
  <c r="A330" i="6"/>
  <c r="B330" i="6" s="1"/>
  <c r="C331" i="6"/>
  <c r="H227" i="6"/>
  <c r="I227" i="6" s="1"/>
  <c r="D228" i="6" s="1"/>
  <c r="E228" i="6" s="1"/>
  <c r="F227" i="6"/>
  <c r="F226" i="6"/>
  <c r="C334" i="2"/>
  <c r="A334" i="2" s="1"/>
  <c r="G331" i="6" l="1"/>
  <c r="A331" i="6"/>
  <c r="B331" i="6" s="1"/>
  <c r="C332" i="6"/>
  <c r="H228" i="6"/>
  <c r="I228" i="6" s="1"/>
  <c r="D229" i="6" s="1"/>
  <c r="E229" i="6" s="1"/>
  <c r="C335" i="2"/>
  <c r="A335" i="2" s="1"/>
  <c r="G332" i="6" l="1"/>
  <c r="A332" i="6"/>
  <c r="B332" i="6" s="1"/>
  <c r="C333" i="6"/>
  <c r="H229" i="6"/>
  <c r="I229" i="6" s="1"/>
  <c r="D230" i="6" s="1"/>
  <c r="E230" i="6" s="1"/>
  <c r="F228" i="6"/>
  <c r="C336" i="2"/>
  <c r="A336" i="2" s="1"/>
  <c r="A333" i="6" l="1"/>
  <c r="B333" i="6" s="1"/>
  <c r="G333" i="6"/>
  <c r="C334" i="6"/>
  <c r="H230" i="6"/>
  <c r="I230" i="6" s="1"/>
  <c r="D231" i="6" s="1"/>
  <c r="E231" i="6" s="1"/>
  <c r="F229" i="6"/>
  <c r="C337" i="2"/>
  <c r="A337" i="2" s="1"/>
  <c r="A334" i="6" l="1"/>
  <c r="B334" i="6" s="1"/>
  <c r="G334" i="6"/>
  <c r="C335" i="6"/>
  <c r="H231" i="6"/>
  <c r="I231" i="6" s="1"/>
  <c r="D232" i="6" s="1"/>
  <c r="E232" i="6" s="1"/>
  <c r="F230" i="6"/>
  <c r="C338" i="2"/>
  <c r="A338" i="2" s="1"/>
  <c r="G335" i="6" l="1"/>
  <c r="A335" i="6"/>
  <c r="B335" i="6" s="1"/>
  <c r="C336" i="6"/>
  <c r="H232" i="6"/>
  <c r="I232" i="6" s="1"/>
  <c r="D233" i="6" s="1"/>
  <c r="E233" i="6" s="1"/>
  <c r="F231" i="6"/>
  <c r="C339" i="2"/>
  <c r="A339" i="2" s="1"/>
  <c r="G336" i="6" l="1"/>
  <c r="A336" i="6"/>
  <c r="B336" i="6" s="1"/>
  <c r="C337" i="6"/>
  <c r="H233" i="6"/>
  <c r="I233" i="6" s="1"/>
  <c r="D234" i="6" s="1"/>
  <c r="E234" i="6" s="1"/>
  <c r="F233" i="6"/>
  <c r="F232" i="6"/>
  <c r="C340" i="2"/>
  <c r="A340" i="2" s="1"/>
  <c r="G337" i="6" l="1"/>
  <c r="A337" i="6"/>
  <c r="B337" i="6" s="1"/>
  <c r="C338" i="6"/>
  <c r="H234" i="6"/>
  <c r="I234" i="6" s="1"/>
  <c r="D235" i="6" s="1"/>
  <c r="E235" i="6" s="1"/>
  <c r="C341" i="2"/>
  <c r="A341" i="2" s="1"/>
  <c r="G338" i="6" l="1"/>
  <c r="A338" i="6"/>
  <c r="B338" i="6" s="1"/>
  <c r="C339" i="6"/>
  <c r="H235" i="6"/>
  <c r="I235" i="6" s="1"/>
  <c r="D236" i="6" s="1"/>
  <c r="E236" i="6" s="1"/>
  <c r="F234" i="6"/>
  <c r="C342" i="2"/>
  <c r="A342" i="2" s="1"/>
  <c r="G339" i="6" l="1"/>
  <c r="A339" i="6"/>
  <c r="B339" i="6" s="1"/>
  <c r="C340" i="6"/>
  <c r="H236" i="6"/>
  <c r="I236" i="6" s="1"/>
  <c r="D237" i="6" s="1"/>
  <c r="E237" i="6" s="1"/>
  <c r="F236" i="6"/>
  <c r="F235" i="6"/>
  <c r="C343" i="2"/>
  <c r="A343" i="2" s="1"/>
  <c r="G340" i="6" l="1"/>
  <c r="A340" i="6"/>
  <c r="B340" i="6" s="1"/>
  <c r="C341" i="6"/>
  <c r="H237" i="6"/>
  <c r="I237" i="6" s="1"/>
  <c r="D238" i="6" s="1"/>
  <c r="E238" i="6" s="1"/>
  <c r="C344" i="2"/>
  <c r="A344" i="2" s="1"/>
  <c r="A341" i="6" l="1"/>
  <c r="B341" i="6" s="1"/>
  <c r="G341" i="6"/>
  <c r="C342" i="6"/>
  <c r="H238" i="6"/>
  <c r="I238" i="6" s="1"/>
  <c r="D239" i="6" s="1"/>
  <c r="E239" i="6" s="1"/>
  <c r="F237" i="6"/>
  <c r="C345" i="2"/>
  <c r="A345" i="2" s="1"/>
  <c r="A342" i="6" l="1"/>
  <c r="B342" i="6" s="1"/>
  <c r="G342" i="6"/>
  <c r="C343" i="6"/>
  <c r="F238" i="6"/>
  <c r="H239" i="6"/>
  <c r="I239" i="6" s="1"/>
  <c r="D240" i="6" s="1"/>
  <c r="E240" i="6" s="1"/>
  <c r="C346" i="2"/>
  <c r="A346" i="2" s="1"/>
  <c r="G343" i="6" l="1"/>
  <c r="A343" i="6"/>
  <c r="B343" i="6" s="1"/>
  <c r="C344" i="6"/>
  <c r="H240" i="6"/>
  <c r="I240" i="6" s="1"/>
  <c r="D241" i="6" s="1"/>
  <c r="E241" i="6" s="1"/>
  <c r="F240" i="6"/>
  <c r="F239" i="6"/>
  <c r="C347" i="2"/>
  <c r="A347" i="2" s="1"/>
  <c r="G344" i="6" l="1"/>
  <c r="A344" i="6"/>
  <c r="B344" i="6" s="1"/>
  <c r="C345" i="6"/>
  <c r="H241" i="6"/>
  <c r="I241" i="6" s="1"/>
  <c r="D242" i="6" s="1"/>
  <c r="E242" i="6" s="1"/>
  <c r="C348" i="2"/>
  <c r="A348" i="2" s="1"/>
  <c r="G345" i="6" l="1"/>
  <c r="A345" i="6"/>
  <c r="B345" i="6" s="1"/>
  <c r="C346" i="6"/>
  <c r="H242" i="6"/>
  <c r="I242" i="6" s="1"/>
  <c r="D243" i="6" s="1"/>
  <c r="E243" i="6" s="1"/>
  <c r="F241" i="6"/>
  <c r="C349" i="2"/>
  <c r="A349" i="2" s="1"/>
  <c r="G346" i="6" l="1"/>
  <c r="A346" i="6"/>
  <c r="B346" i="6" s="1"/>
  <c r="C347" i="6"/>
  <c r="F242" i="6"/>
  <c r="H243" i="6"/>
  <c r="I243" i="6" s="1"/>
  <c r="D244" i="6" s="1"/>
  <c r="E244" i="6" s="1"/>
  <c r="C350" i="2"/>
  <c r="A350" i="2" s="1"/>
  <c r="G347" i="6" l="1"/>
  <c r="A347" i="6"/>
  <c r="B347" i="6" s="1"/>
  <c r="C348" i="6"/>
  <c r="H244" i="6"/>
  <c r="I244" i="6" s="1"/>
  <c r="D245" i="6" s="1"/>
  <c r="E245" i="6" s="1"/>
  <c r="F244" i="6"/>
  <c r="F243" i="6"/>
  <c r="C351" i="2"/>
  <c r="A351" i="2" s="1"/>
  <c r="G348" i="6" l="1"/>
  <c r="A348" i="6"/>
  <c r="B348" i="6" s="1"/>
  <c r="C349" i="6"/>
  <c r="H245" i="6"/>
  <c r="I245" i="6" s="1"/>
  <c r="D246" i="6" s="1"/>
  <c r="E246" i="6" s="1"/>
  <c r="C352" i="2"/>
  <c r="A352" i="2" s="1"/>
  <c r="A349" i="6" l="1"/>
  <c r="B349" i="6" s="1"/>
  <c r="G349" i="6"/>
  <c r="C350" i="6"/>
  <c r="H246" i="6"/>
  <c r="F246" i="6"/>
  <c r="I246" i="6"/>
  <c r="D247" i="6" s="1"/>
  <c r="E247" i="6" s="1"/>
  <c r="F245" i="6"/>
  <c r="C353" i="2"/>
  <c r="A353" i="2" s="1"/>
  <c r="G350" i="6" l="1"/>
  <c r="A350" i="6"/>
  <c r="B350" i="6" s="1"/>
  <c r="C351" i="6"/>
  <c r="H247" i="6"/>
  <c r="I247" i="6" s="1"/>
  <c r="D248" i="6" s="1"/>
  <c r="E248" i="6" s="1"/>
  <c r="C354" i="2"/>
  <c r="A354" i="2" s="1"/>
  <c r="G351" i="6" l="1"/>
  <c r="A351" i="6"/>
  <c r="B351" i="6" s="1"/>
  <c r="C352" i="6"/>
  <c r="H248" i="6"/>
  <c r="I248" i="6" s="1"/>
  <c r="D249" i="6" s="1"/>
  <c r="E249" i="6" s="1"/>
  <c r="F248" i="6"/>
  <c r="F247" i="6"/>
  <c r="C355" i="2"/>
  <c r="A355" i="2" s="1"/>
  <c r="G352" i="6" l="1"/>
  <c r="A352" i="6"/>
  <c r="B352" i="6" s="1"/>
  <c r="C353" i="6"/>
  <c r="H249" i="6"/>
  <c r="I249" i="6" s="1"/>
  <c r="D250" i="6" s="1"/>
  <c r="E250" i="6" s="1"/>
  <c r="C356" i="2"/>
  <c r="A356" i="2" s="1"/>
  <c r="G353" i="6" l="1"/>
  <c r="A353" i="6"/>
  <c r="B353" i="6" s="1"/>
  <c r="C354" i="6"/>
  <c r="H250" i="6"/>
  <c r="I250" i="6" s="1"/>
  <c r="D251" i="6" s="1"/>
  <c r="E251" i="6" s="1"/>
  <c r="F249" i="6"/>
  <c r="C357" i="2"/>
  <c r="A357" i="2" s="1"/>
  <c r="G354" i="6" l="1"/>
  <c r="A354" i="6"/>
  <c r="B354" i="6" s="1"/>
  <c r="C355" i="6"/>
  <c r="H251" i="6"/>
  <c r="I251" i="6" s="1"/>
  <c r="D252" i="6" s="1"/>
  <c r="E252" i="6" s="1"/>
  <c r="F250" i="6"/>
  <c r="C358" i="2"/>
  <c r="A358" i="2" s="1"/>
  <c r="G355" i="6" l="1"/>
  <c r="A355" i="6"/>
  <c r="B355" i="6" s="1"/>
  <c r="C356" i="6"/>
  <c r="F251" i="6"/>
  <c r="H252" i="6"/>
  <c r="F252" i="6"/>
  <c r="I252" i="6"/>
  <c r="D253" i="6" s="1"/>
  <c r="E253" i="6" s="1"/>
  <c r="C359" i="2"/>
  <c r="A359" i="2" s="1"/>
  <c r="G356" i="6" l="1"/>
  <c r="A356" i="6"/>
  <c r="B356" i="6" s="1"/>
  <c r="C357" i="6"/>
  <c r="H253" i="6"/>
  <c r="I253" i="6" s="1"/>
  <c r="D254" i="6" s="1"/>
  <c r="E254" i="6" s="1"/>
  <c r="F253" i="6"/>
  <c r="C360" i="2"/>
  <c r="A360" i="2" s="1"/>
  <c r="A357" i="6" l="1"/>
  <c r="B357" i="6" s="1"/>
  <c r="G357" i="6"/>
  <c r="C358" i="6"/>
  <c r="H254" i="6"/>
  <c r="I254" i="6" s="1"/>
  <c r="D255" i="6" s="1"/>
  <c r="E255" i="6" s="1"/>
  <c r="C361" i="2"/>
  <c r="A361" i="2" s="1"/>
  <c r="G358" i="6" l="1"/>
  <c r="A358" i="6"/>
  <c r="B358" i="6" s="1"/>
  <c r="C359" i="6"/>
  <c r="H255" i="6"/>
  <c r="I255" i="6" s="1"/>
  <c r="D256" i="6" s="1"/>
  <c r="E256" i="6" s="1"/>
  <c r="F254" i="6"/>
  <c r="C362" i="2"/>
  <c r="A362" i="2" s="1"/>
  <c r="G359" i="6" l="1"/>
  <c r="A359" i="6"/>
  <c r="B359" i="6" s="1"/>
  <c r="C360" i="6"/>
  <c r="H256" i="6"/>
  <c r="I256" i="6" s="1"/>
  <c r="D257" i="6" s="1"/>
  <c r="E257" i="6" s="1"/>
  <c r="F255" i="6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G360" i="6" l="1"/>
  <c r="A360" i="6"/>
  <c r="B360" i="6" s="1"/>
  <c r="C361" i="6"/>
  <c r="H257" i="6"/>
  <c r="I257" i="6" s="1"/>
  <c r="D258" i="6" s="1"/>
  <c r="E258" i="6" s="1"/>
  <c r="F256" i="6"/>
  <c r="H3" i="2"/>
  <c r="G361" i="6" l="1"/>
  <c r="A361" i="6"/>
  <c r="B361" i="6" s="1"/>
  <c r="C362" i="6"/>
  <c r="H258" i="6"/>
  <c r="I258" i="6" s="1"/>
  <c r="D259" i="6" s="1"/>
  <c r="E259" i="6" s="1"/>
  <c r="F257" i="6"/>
  <c r="I3" i="2"/>
  <c r="D4" i="2" s="1"/>
  <c r="E4" i="2" s="1"/>
  <c r="G362" i="6" l="1"/>
  <c r="A362" i="6"/>
  <c r="B362" i="6" s="1"/>
  <c r="H259" i="6"/>
  <c r="I259" i="6" s="1"/>
  <c r="D260" i="6" s="1"/>
  <c r="E260" i="6" s="1"/>
  <c r="F258" i="6"/>
  <c r="G4" i="2"/>
  <c r="H260" i="6" l="1"/>
  <c r="I260" i="6" s="1"/>
  <c r="D261" i="6" s="1"/>
  <c r="E261" i="6" s="1"/>
  <c r="F259" i="6"/>
  <c r="H4" i="2"/>
  <c r="I4" i="2" s="1"/>
  <c r="D5" i="2" s="1"/>
  <c r="F4" i="2"/>
  <c r="H261" i="6" l="1"/>
  <c r="I261" i="6"/>
  <c r="D262" i="6" s="1"/>
  <c r="E262" i="6" s="1"/>
  <c r="F260" i="6"/>
  <c r="G5" i="2"/>
  <c r="E5" i="2"/>
  <c r="H262" i="6" l="1"/>
  <c r="I262" i="6" s="1"/>
  <c r="D263" i="6" s="1"/>
  <c r="E263" i="6" s="1"/>
  <c r="F261" i="6"/>
  <c r="H5" i="2"/>
  <c r="I5" i="2" s="1"/>
  <c r="D6" i="2" s="1"/>
  <c r="E6" i="2" s="1"/>
  <c r="F6" i="2" s="1"/>
  <c r="F5" i="2"/>
  <c r="H263" i="6" l="1"/>
  <c r="I263" i="6" s="1"/>
  <c r="D264" i="6" s="1"/>
  <c r="E264" i="6" s="1"/>
  <c r="F262" i="6"/>
  <c r="G6" i="2"/>
  <c r="H6" i="2" s="1"/>
  <c r="I6" i="2" s="1"/>
  <c r="D7" i="2" s="1"/>
  <c r="G7" i="2" s="1"/>
  <c r="H264" i="6" l="1"/>
  <c r="I264" i="6" s="1"/>
  <c r="D265" i="6" s="1"/>
  <c r="E265" i="6" s="1"/>
  <c r="F263" i="6"/>
  <c r="E7" i="2"/>
  <c r="F7" i="2" s="1"/>
  <c r="H265" i="6" l="1"/>
  <c r="I265" i="6" s="1"/>
  <c r="D266" i="6" s="1"/>
  <c r="E266" i="6" s="1"/>
  <c r="F264" i="6"/>
  <c r="H7" i="2"/>
  <c r="I7" i="2" s="1"/>
  <c r="D8" i="2" s="1"/>
  <c r="G8" i="2" s="1"/>
  <c r="H266" i="6" l="1"/>
  <c r="I266" i="6"/>
  <c r="D267" i="6" s="1"/>
  <c r="E267" i="6" s="1"/>
  <c r="F265" i="6"/>
  <c r="E8" i="2"/>
  <c r="H8" i="2" s="1"/>
  <c r="I8" i="2" s="1"/>
  <c r="D9" i="2" s="1"/>
  <c r="G9" i="2" s="1"/>
  <c r="H267" i="6" l="1"/>
  <c r="I267" i="6" s="1"/>
  <c r="D268" i="6" s="1"/>
  <c r="E268" i="6" s="1"/>
  <c r="F266" i="6"/>
  <c r="F8" i="2"/>
  <c r="E9" i="2"/>
  <c r="H9" i="2" s="1"/>
  <c r="I9" i="2" s="1"/>
  <c r="D10" i="2" s="1"/>
  <c r="H268" i="6" l="1"/>
  <c r="I268" i="6" s="1"/>
  <c r="D269" i="6" s="1"/>
  <c r="E269" i="6" s="1"/>
  <c r="F267" i="6"/>
  <c r="G10" i="2"/>
  <c r="E10" i="2"/>
  <c r="H10" i="2" s="1"/>
  <c r="I10" i="2" s="1"/>
  <c r="D11" i="2" s="1"/>
  <c r="F9" i="2"/>
  <c r="H269" i="6" l="1"/>
  <c r="I269" i="6"/>
  <c r="D270" i="6" s="1"/>
  <c r="E270" i="6" s="1"/>
  <c r="F268" i="6"/>
  <c r="F10" i="2"/>
  <c r="G11" i="2"/>
  <c r="E11" i="2"/>
  <c r="F11" i="2" s="1"/>
  <c r="H270" i="6" l="1"/>
  <c r="I270" i="6" s="1"/>
  <c r="D271" i="6" s="1"/>
  <c r="E271" i="6" s="1"/>
  <c r="F269" i="6"/>
  <c r="H11" i="2"/>
  <c r="I11" i="2" s="1"/>
  <c r="D12" i="2" s="1"/>
  <c r="G12" i="2" s="1"/>
  <c r="H271" i="6" l="1"/>
  <c r="I271" i="6" s="1"/>
  <c r="D272" i="6" s="1"/>
  <c r="E272" i="6" s="1"/>
  <c r="F270" i="6"/>
  <c r="E12" i="2"/>
  <c r="F12" i="2" s="1"/>
  <c r="H272" i="6" l="1"/>
  <c r="I272" i="6" s="1"/>
  <c r="D273" i="6" s="1"/>
  <c r="E273" i="6" s="1"/>
  <c r="F271" i="6"/>
  <c r="H12" i="2"/>
  <c r="I12" i="2" s="1"/>
  <c r="D13" i="2" s="1"/>
  <c r="G13" i="2" s="1"/>
  <c r="H273" i="6" l="1"/>
  <c r="I273" i="6" s="1"/>
  <c r="D274" i="6" s="1"/>
  <c r="E274" i="6" s="1"/>
  <c r="F273" i="6"/>
  <c r="F272" i="6"/>
  <c r="E13" i="2"/>
  <c r="F13" i="2" s="1"/>
  <c r="H274" i="6" l="1"/>
  <c r="I274" i="6"/>
  <c r="D275" i="6" s="1"/>
  <c r="E275" i="6" s="1"/>
  <c r="H13" i="2"/>
  <c r="I13" i="2" s="1"/>
  <c r="D14" i="2" s="1"/>
  <c r="G14" i="2" s="1"/>
  <c r="E14" i="2" l="1"/>
  <c r="F14" i="2" s="1"/>
  <c r="H275" i="6"/>
  <c r="I275" i="6" s="1"/>
  <c r="D276" i="6" s="1"/>
  <c r="E276" i="6" s="1"/>
  <c r="F274" i="6"/>
  <c r="C27" i="3"/>
  <c r="C30" i="3" s="1"/>
  <c r="H14" i="2"/>
  <c r="I14" i="2" s="1"/>
  <c r="D15" i="2" s="1"/>
  <c r="H276" i="6" l="1"/>
  <c r="I276" i="6" s="1"/>
  <c r="D277" i="6" s="1"/>
  <c r="E277" i="6" s="1"/>
  <c r="F275" i="6"/>
  <c r="D21" i="4"/>
  <c r="D24" i="4" s="1"/>
  <c r="G15" i="2"/>
  <c r="E15" i="2"/>
  <c r="H277" i="6" l="1"/>
  <c r="I277" i="6" s="1"/>
  <c r="D278" i="6" s="1"/>
  <c r="E278" i="6" s="1"/>
  <c r="F277" i="6"/>
  <c r="F276" i="6"/>
  <c r="H15" i="2"/>
  <c r="I15" i="2" s="1"/>
  <c r="D16" i="2" s="1"/>
  <c r="G16" i="2" s="1"/>
  <c r="F15" i="2"/>
  <c r="H278" i="6" l="1"/>
  <c r="I278" i="6" s="1"/>
  <c r="D279" i="6" s="1"/>
  <c r="E279" i="6" s="1"/>
  <c r="E16" i="2"/>
  <c r="H279" i="6" l="1"/>
  <c r="I279" i="6" s="1"/>
  <c r="D280" i="6" s="1"/>
  <c r="E280" i="6" s="1"/>
  <c r="F278" i="6"/>
  <c r="F16" i="2"/>
  <c r="H16" i="2"/>
  <c r="I16" i="2" s="1"/>
  <c r="D17" i="2" s="1"/>
  <c r="G17" i="2" s="1"/>
  <c r="H280" i="6" l="1"/>
  <c r="I280" i="6" s="1"/>
  <c r="D281" i="6" s="1"/>
  <c r="E281" i="6" s="1"/>
  <c r="F279" i="6"/>
  <c r="E17" i="2"/>
  <c r="H281" i="6" l="1"/>
  <c r="I281" i="6" s="1"/>
  <c r="D282" i="6" s="1"/>
  <c r="E282" i="6" s="1"/>
  <c r="F280" i="6"/>
  <c r="F17" i="2"/>
  <c r="H17" i="2"/>
  <c r="I17" i="2" s="1"/>
  <c r="D18" i="2" s="1"/>
  <c r="G18" i="2" s="1"/>
  <c r="H282" i="6" l="1"/>
  <c r="I282" i="6" s="1"/>
  <c r="D283" i="6" s="1"/>
  <c r="E283" i="6" s="1"/>
  <c r="F281" i="6"/>
  <c r="E18" i="2"/>
  <c r="H283" i="6" l="1"/>
  <c r="I283" i="6" s="1"/>
  <c r="D284" i="6" s="1"/>
  <c r="E284" i="6" s="1"/>
  <c r="F283" i="6"/>
  <c r="F282" i="6"/>
  <c r="F18" i="2"/>
  <c r="H18" i="2"/>
  <c r="I18" i="2" s="1"/>
  <c r="D19" i="2" s="1"/>
  <c r="G19" i="2" s="1"/>
  <c r="H284" i="6" l="1"/>
  <c r="I284" i="6" s="1"/>
  <c r="D285" i="6" s="1"/>
  <c r="E285" i="6" s="1"/>
  <c r="E19" i="2"/>
  <c r="F19" i="2" s="1"/>
  <c r="H285" i="6" l="1"/>
  <c r="I285" i="6" s="1"/>
  <c r="D286" i="6" s="1"/>
  <c r="E286" i="6" s="1"/>
  <c r="F284" i="6"/>
  <c r="H19" i="2"/>
  <c r="I19" i="2" s="1"/>
  <c r="D20" i="2" s="1"/>
  <c r="G20" i="2" s="1"/>
  <c r="H286" i="6" l="1"/>
  <c r="F286" i="6"/>
  <c r="I286" i="6"/>
  <c r="D287" i="6" s="1"/>
  <c r="E287" i="6" s="1"/>
  <c r="F285" i="6"/>
  <c r="E20" i="2"/>
  <c r="H20" i="2" s="1"/>
  <c r="I20" i="2" s="1"/>
  <c r="D21" i="2" s="1"/>
  <c r="G21" i="2" s="1"/>
  <c r="H287" i="6" l="1"/>
  <c r="I287" i="6" s="1"/>
  <c r="D288" i="6" s="1"/>
  <c r="E288" i="6" s="1"/>
  <c r="E21" i="2"/>
  <c r="F21" i="2" s="1"/>
  <c r="F20" i="2"/>
  <c r="H288" i="6" l="1"/>
  <c r="I288" i="6" s="1"/>
  <c r="D289" i="6" s="1"/>
  <c r="E289" i="6" s="1"/>
  <c r="F287" i="6"/>
  <c r="H21" i="2"/>
  <c r="I21" i="2" s="1"/>
  <c r="D22" i="2" s="1"/>
  <c r="G22" i="2" s="1"/>
  <c r="H289" i="6" l="1"/>
  <c r="I289" i="6" s="1"/>
  <c r="D290" i="6" s="1"/>
  <c r="E290" i="6" s="1"/>
  <c r="F288" i="6"/>
  <c r="E22" i="2"/>
  <c r="H22" i="2" s="1"/>
  <c r="I22" i="2" s="1"/>
  <c r="D23" i="2" s="1"/>
  <c r="G23" i="2" s="1"/>
  <c r="F289" i="6" l="1"/>
  <c r="H290" i="6"/>
  <c r="I290" i="6" s="1"/>
  <c r="D291" i="6" s="1"/>
  <c r="E291" i="6" s="1"/>
  <c r="F22" i="2"/>
  <c r="E23" i="2"/>
  <c r="F23" i="2" s="1"/>
  <c r="H291" i="6" l="1"/>
  <c r="I291" i="6" s="1"/>
  <c r="D292" i="6" s="1"/>
  <c r="E292" i="6" s="1"/>
  <c r="F290" i="6"/>
  <c r="H23" i="2"/>
  <c r="I23" i="2" s="1"/>
  <c r="D24" i="2" s="1"/>
  <c r="G24" i="2" s="1"/>
  <c r="H292" i="6" l="1"/>
  <c r="I292" i="6" s="1"/>
  <c r="D293" i="6" s="1"/>
  <c r="E293" i="6" s="1"/>
  <c r="F291" i="6"/>
  <c r="E24" i="2"/>
  <c r="F24" i="2" s="1"/>
  <c r="H293" i="6" l="1"/>
  <c r="I293" i="6" s="1"/>
  <c r="D294" i="6" s="1"/>
  <c r="E294" i="6" s="1"/>
  <c r="F292" i="6"/>
  <c r="H24" i="2"/>
  <c r="I24" i="2" s="1"/>
  <c r="D25" i="2" s="1"/>
  <c r="G25" i="2" s="1"/>
  <c r="H294" i="6" l="1"/>
  <c r="I294" i="6" s="1"/>
  <c r="D295" i="6" s="1"/>
  <c r="E295" i="6" s="1"/>
  <c r="F293" i="6"/>
  <c r="E25" i="2"/>
  <c r="F25" i="2" s="1"/>
  <c r="H295" i="6" l="1"/>
  <c r="I295" i="6" s="1"/>
  <c r="D296" i="6" s="1"/>
  <c r="E296" i="6" s="1"/>
  <c r="F294" i="6"/>
  <c r="H25" i="2"/>
  <c r="I25" i="2" s="1"/>
  <c r="D26" i="2" s="1"/>
  <c r="G26" i="2" s="1"/>
  <c r="H296" i="6" l="1"/>
  <c r="I296" i="6" s="1"/>
  <c r="D297" i="6" s="1"/>
  <c r="E297" i="6" s="1"/>
  <c r="F295" i="6"/>
  <c r="E26" i="2"/>
  <c r="H297" i="6" l="1"/>
  <c r="I297" i="6" s="1"/>
  <c r="D298" i="6" s="1"/>
  <c r="E298" i="6" s="1"/>
  <c r="F296" i="6"/>
  <c r="F26" i="2"/>
  <c r="D27" i="3"/>
  <c r="D30" i="3" s="1"/>
  <c r="H26" i="2"/>
  <c r="I26" i="2" s="1"/>
  <c r="D27" i="2" s="1"/>
  <c r="G27" i="2" s="1"/>
  <c r="H298" i="6" l="1"/>
  <c r="I298" i="6" s="1"/>
  <c r="D299" i="6" s="1"/>
  <c r="E299" i="6" s="1"/>
  <c r="F297" i="6"/>
  <c r="E27" i="2"/>
  <c r="H27" i="2" s="1"/>
  <c r="I27" i="2" s="1"/>
  <c r="D28" i="2" s="1"/>
  <c r="G28" i="2" s="1"/>
  <c r="F27" i="2" l="1"/>
  <c r="H299" i="6"/>
  <c r="I299" i="6" s="1"/>
  <c r="D300" i="6" s="1"/>
  <c r="E300" i="6" s="1"/>
  <c r="F298" i="6"/>
  <c r="E28" i="2"/>
  <c r="H28" i="2" s="1"/>
  <c r="I28" i="2" s="1"/>
  <c r="D29" i="2" s="1"/>
  <c r="G29" i="2" s="1"/>
  <c r="H300" i="6" l="1"/>
  <c r="I300" i="6"/>
  <c r="D301" i="6" s="1"/>
  <c r="E301" i="6" s="1"/>
  <c r="F299" i="6"/>
  <c r="F28" i="2"/>
  <c r="E29" i="2"/>
  <c r="H301" i="6" l="1"/>
  <c r="I301" i="6" s="1"/>
  <c r="D302" i="6" s="1"/>
  <c r="E302" i="6" s="1"/>
  <c r="F300" i="6"/>
  <c r="H29" i="2"/>
  <c r="I29" i="2" s="1"/>
  <c r="D30" i="2" s="1"/>
  <c r="G30" i="2" s="1"/>
  <c r="F29" i="2"/>
  <c r="E30" i="2" l="1"/>
  <c r="H30" i="2" s="1"/>
  <c r="I30" i="2" s="1"/>
  <c r="D31" i="2" s="1"/>
  <c r="G31" i="2" s="1"/>
  <c r="H302" i="6"/>
  <c r="I302" i="6"/>
  <c r="D303" i="6" s="1"/>
  <c r="E303" i="6" s="1"/>
  <c r="F302" i="6"/>
  <c r="F301" i="6"/>
  <c r="F30" i="2"/>
  <c r="E31" i="2"/>
  <c r="H31" i="2" s="1"/>
  <c r="I31" i="2" s="1"/>
  <c r="D32" i="2" s="1"/>
  <c r="G32" i="2" s="1"/>
  <c r="H303" i="6" l="1"/>
  <c r="I303" i="6" s="1"/>
  <c r="D304" i="6" s="1"/>
  <c r="E304" i="6" s="1"/>
  <c r="F31" i="2"/>
  <c r="E32" i="2"/>
  <c r="F32" i="2" s="1"/>
  <c r="H304" i="6" l="1"/>
  <c r="I304" i="6" s="1"/>
  <c r="D305" i="6" s="1"/>
  <c r="E305" i="6" s="1"/>
  <c r="F303" i="6"/>
  <c r="H32" i="2"/>
  <c r="I32" i="2" s="1"/>
  <c r="D33" i="2" s="1"/>
  <c r="G33" i="2" s="1"/>
  <c r="H305" i="6" l="1"/>
  <c r="I305" i="6" s="1"/>
  <c r="D306" i="6" s="1"/>
  <c r="E306" i="6" s="1"/>
  <c r="F304" i="6"/>
  <c r="E33" i="2"/>
  <c r="F33" i="2" s="1"/>
  <c r="F305" i="6" l="1"/>
  <c r="H306" i="6"/>
  <c r="I306" i="6" s="1"/>
  <c r="D307" i="6" s="1"/>
  <c r="E307" i="6" s="1"/>
  <c r="H33" i="2"/>
  <c r="I33" i="2" s="1"/>
  <c r="D34" i="2" s="1"/>
  <c r="G34" i="2" s="1"/>
  <c r="H307" i="6" l="1"/>
  <c r="I307" i="6" s="1"/>
  <c r="D308" i="6" s="1"/>
  <c r="E308" i="6" s="1"/>
  <c r="F306" i="6"/>
  <c r="E34" i="2"/>
  <c r="F34" i="2" s="1"/>
  <c r="H308" i="6" l="1"/>
  <c r="I308" i="6" s="1"/>
  <c r="D309" i="6" s="1"/>
  <c r="E309" i="6" s="1"/>
  <c r="F307" i="6"/>
  <c r="H34" i="2"/>
  <c r="I34" i="2" s="1"/>
  <c r="D35" i="2" s="1"/>
  <c r="G35" i="2" s="1"/>
  <c r="E35" i="2"/>
  <c r="H309" i="6" l="1"/>
  <c r="I309" i="6" s="1"/>
  <c r="D310" i="6" s="1"/>
  <c r="E310" i="6" s="1"/>
  <c r="F308" i="6"/>
  <c r="H35" i="2"/>
  <c r="I35" i="2" s="1"/>
  <c r="D36" i="2" s="1"/>
  <c r="G36" i="2" s="1"/>
  <c r="F35" i="2"/>
  <c r="H310" i="6" l="1"/>
  <c r="I310" i="6" s="1"/>
  <c r="D311" i="6" s="1"/>
  <c r="E311" i="6" s="1"/>
  <c r="F309" i="6"/>
  <c r="E36" i="2"/>
  <c r="F36" i="2" s="1"/>
  <c r="H311" i="6" l="1"/>
  <c r="I311" i="6" s="1"/>
  <c r="D312" i="6" s="1"/>
  <c r="E312" i="6" s="1"/>
  <c r="F311" i="6"/>
  <c r="F310" i="6"/>
  <c r="H36" i="2"/>
  <c r="I36" i="2" s="1"/>
  <c r="D37" i="2" s="1"/>
  <c r="G37" i="2" s="1"/>
  <c r="H312" i="6" l="1"/>
  <c r="I312" i="6" s="1"/>
  <c r="D313" i="6" s="1"/>
  <c r="E313" i="6" s="1"/>
  <c r="E37" i="2"/>
  <c r="H37" i="2" s="1"/>
  <c r="I37" i="2" s="1"/>
  <c r="D38" i="2" s="1"/>
  <c r="H313" i="6" l="1"/>
  <c r="I313" i="6" s="1"/>
  <c r="D314" i="6" s="1"/>
  <c r="E314" i="6" s="1"/>
  <c r="F312" i="6"/>
  <c r="F37" i="2"/>
  <c r="G38" i="2"/>
  <c r="E38" i="2"/>
  <c r="H314" i="6" l="1"/>
  <c r="I314" i="6" s="1"/>
  <c r="D315" i="6" s="1"/>
  <c r="E315" i="6" s="1"/>
  <c r="F313" i="6"/>
  <c r="H38" i="2"/>
  <c r="I38" i="2" s="1"/>
  <c r="D39" i="2" s="1"/>
  <c r="G39" i="2" s="1"/>
  <c r="E27" i="3"/>
  <c r="E30" i="3" s="1"/>
  <c r="F38" i="2"/>
  <c r="E39" i="2"/>
  <c r="H315" i="6" l="1"/>
  <c r="I315" i="6" s="1"/>
  <c r="D316" i="6" s="1"/>
  <c r="E316" i="6" s="1"/>
  <c r="F314" i="6"/>
  <c r="H39" i="2"/>
  <c r="I39" i="2" s="1"/>
  <c r="D40" i="2" s="1"/>
  <c r="G40" i="2" s="1"/>
  <c r="F39" i="2"/>
  <c r="E40" i="2"/>
  <c r="H40" i="2" s="1"/>
  <c r="I40" i="2" s="1"/>
  <c r="D41" i="2" s="1"/>
  <c r="G41" i="2" s="1"/>
  <c r="H316" i="6" l="1"/>
  <c r="I316" i="6" s="1"/>
  <c r="D317" i="6" s="1"/>
  <c r="E317" i="6" s="1"/>
  <c r="F315" i="6"/>
  <c r="E41" i="2"/>
  <c r="F40" i="2"/>
  <c r="H317" i="6" l="1"/>
  <c r="I317" i="6" s="1"/>
  <c r="D318" i="6" s="1"/>
  <c r="E318" i="6" s="1"/>
  <c r="F316" i="6"/>
  <c r="F41" i="2"/>
  <c r="H41" i="2"/>
  <c r="I41" i="2" s="1"/>
  <c r="D42" i="2" s="1"/>
  <c r="G42" i="2" s="1"/>
  <c r="H318" i="6" l="1"/>
  <c r="F318" i="6"/>
  <c r="I318" i="6"/>
  <c r="D319" i="6" s="1"/>
  <c r="E319" i="6" s="1"/>
  <c r="F317" i="6"/>
  <c r="E42" i="2"/>
  <c r="H319" i="6" l="1"/>
  <c r="I319" i="6" s="1"/>
  <c r="D320" i="6" s="1"/>
  <c r="E320" i="6" s="1"/>
  <c r="H42" i="2"/>
  <c r="I42" i="2" s="1"/>
  <c r="D43" i="2" s="1"/>
  <c r="G43" i="2" s="1"/>
  <c r="F42" i="2"/>
  <c r="E43" i="2" l="1"/>
  <c r="H43" i="2" s="1"/>
  <c r="I43" i="2" s="1"/>
  <c r="D44" i="2" s="1"/>
  <c r="G44" i="2" s="1"/>
  <c r="H320" i="6"/>
  <c r="I320" i="6" s="1"/>
  <c r="D321" i="6" s="1"/>
  <c r="E321" i="6" s="1"/>
  <c r="F319" i="6"/>
  <c r="F43" i="2"/>
  <c r="E44" i="2"/>
  <c r="H44" i="2" s="1"/>
  <c r="I44" i="2" s="1"/>
  <c r="D45" i="2" s="1"/>
  <c r="G45" i="2" s="1"/>
  <c r="H321" i="6" l="1"/>
  <c r="I321" i="6" s="1"/>
  <c r="D322" i="6" s="1"/>
  <c r="E322" i="6" s="1"/>
  <c r="F320" i="6"/>
  <c r="F44" i="2"/>
  <c r="E45" i="2"/>
  <c r="H45" i="2" s="1"/>
  <c r="I45" i="2" s="1"/>
  <c r="D46" i="2" s="1"/>
  <c r="H322" i="6" l="1"/>
  <c r="I322" i="6" s="1"/>
  <c r="D323" i="6" s="1"/>
  <c r="E323" i="6" s="1"/>
  <c r="F321" i="6"/>
  <c r="F45" i="2"/>
  <c r="G46" i="2"/>
  <c r="E46" i="2"/>
  <c r="F46" i="2" s="1"/>
  <c r="H323" i="6" l="1"/>
  <c r="I323" i="6" s="1"/>
  <c r="D324" i="6" s="1"/>
  <c r="E324" i="6" s="1"/>
  <c r="F322" i="6"/>
  <c r="H46" i="2"/>
  <c r="I46" i="2" s="1"/>
  <c r="D47" i="2" s="1"/>
  <c r="E47" i="2" s="1"/>
  <c r="F47" i="2" s="1"/>
  <c r="H324" i="6" l="1"/>
  <c r="I324" i="6" s="1"/>
  <c r="D325" i="6" s="1"/>
  <c r="E325" i="6" s="1"/>
  <c r="F323" i="6"/>
  <c r="G47" i="2"/>
  <c r="H47" i="2" s="1"/>
  <c r="I47" i="2" s="1"/>
  <c r="D48" i="2" s="1"/>
  <c r="G48" i="2" s="1"/>
  <c r="H325" i="6" l="1"/>
  <c r="I325" i="6" s="1"/>
  <c r="D326" i="6" s="1"/>
  <c r="E326" i="6" s="1"/>
  <c r="F324" i="6"/>
  <c r="E48" i="2"/>
  <c r="H48" i="2" s="1"/>
  <c r="I48" i="2" s="1"/>
  <c r="D49" i="2" s="1"/>
  <c r="H326" i="6" l="1"/>
  <c r="I326" i="6"/>
  <c r="D327" i="6" s="1"/>
  <c r="E327" i="6" s="1"/>
  <c r="F326" i="6"/>
  <c r="F325" i="6"/>
  <c r="G49" i="2"/>
  <c r="E49" i="2"/>
  <c r="H49" i="2" s="1"/>
  <c r="I49" i="2" s="1"/>
  <c r="D50" i="2" s="1"/>
  <c r="G50" i="2" s="1"/>
  <c r="F48" i="2"/>
  <c r="H327" i="6" l="1"/>
  <c r="I327" i="6" s="1"/>
  <c r="D328" i="6" s="1"/>
  <c r="E328" i="6" s="1"/>
  <c r="F327" i="6"/>
  <c r="F49" i="2"/>
  <c r="E50" i="2"/>
  <c r="H328" i="6" l="1"/>
  <c r="I328" i="6" s="1"/>
  <c r="D329" i="6" s="1"/>
  <c r="E329" i="6" s="1"/>
  <c r="H50" i="2"/>
  <c r="I50" i="2" s="1"/>
  <c r="D51" i="2" s="1"/>
  <c r="G51" i="2" s="1"/>
  <c r="F27" i="3"/>
  <c r="F30" i="3" s="1"/>
  <c r="F50" i="2"/>
  <c r="E51" i="2"/>
  <c r="H329" i="6" l="1"/>
  <c r="I329" i="6" s="1"/>
  <c r="D330" i="6" s="1"/>
  <c r="E330" i="6" s="1"/>
  <c r="F328" i="6"/>
  <c r="H51" i="2"/>
  <c r="I51" i="2" s="1"/>
  <c r="D52" i="2" s="1"/>
  <c r="G52" i="2" s="1"/>
  <c r="F51" i="2"/>
  <c r="H330" i="6" l="1"/>
  <c r="I330" i="6" s="1"/>
  <c r="D331" i="6" s="1"/>
  <c r="E331" i="6" s="1"/>
  <c r="F329" i="6"/>
  <c r="E52" i="2"/>
  <c r="F52" i="2" s="1"/>
  <c r="H331" i="6" l="1"/>
  <c r="I331" i="6" s="1"/>
  <c r="D332" i="6" s="1"/>
  <c r="E332" i="6" s="1"/>
  <c r="F330" i="6"/>
  <c r="H52" i="2"/>
  <c r="I52" i="2" s="1"/>
  <c r="D53" i="2" s="1"/>
  <c r="G53" i="2" s="1"/>
  <c r="H332" i="6" l="1"/>
  <c r="I332" i="6" s="1"/>
  <c r="D333" i="6" s="1"/>
  <c r="E333" i="6" s="1"/>
  <c r="F331" i="6"/>
  <c r="E53" i="2"/>
  <c r="H53" i="2" s="1"/>
  <c r="I53" i="2" s="1"/>
  <c r="D54" i="2" s="1"/>
  <c r="G54" i="2" s="1"/>
  <c r="H333" i="6" l="1"/>
  <c r="I333" i="6" s="1"/>
  <c r="D334" i="6" s="1"/>
  <c r="E334" i="6" s="1"/>
  <c r="F332" i="6"/>
  <c r="F53" i="2"/>
  <c r="E54" i="2"/>
  <c r="H334" i="6" l="1"/>
  <c r="I334" i="6" s="1"/>
  <c r="D335" i="6" s="1"/>
  <c r="E335" i="6" s="1"/>
  <c r="F333" i="6"/>
  <c r="F54" i="2"/>
  <c r="H54" i="2"/>
  <c r="I54" i="2" s="1"/>
  <c r="D55" i="2" s="1"/>
  <c r="F334" i="6" l="1"/>
  <c r="H335" i="6"/>
  <c r="I335" i="6" s="1"/>
  <c r="D336" i="6" s="1"/>
  <c r="E336" i="6" s="1"/>
  <c r="F335" i="6"/>
  <c r="G55" i="2"/>
  <c r="E55" i="2"/>
  <c r="H55" i="2" s="1"/>
  <c r="I55" i="2" s="1"/>
  <c r="D56" i="2" s="1"/>
  <c r="H336" i="6" l="1"/>
  <c r="I336" i="6" s="1"/>
  <c r="D337" i="6" s="1"/>
  <c r="E337" i="6" s="1"/>
  <c r="F336" i="6"/>
  <c r="G56" i="2"/>
  <c r="E56" i="2"/>
  <c r="H56" i="2" s="1"/>
  <c r="I56" i="2" s="1"/>
  <c r="D57" i="2" s="1"/>
  <c r="F55" i="2"/>
  <c r="H337" i="6" l="1"/>
  <c r="I337" i="6" s="1"/>
  <c r="D338" i="6" s="1"/>
  <c r="E338" i="6" s="1"/>
  <c r="G57" i="2"/>
  <c r="E57" i="2"/>
  <c r="F56" i="2"/>
  <c r="H338" i="6" l="1"/>
  <c r="I338" i="6" s="1"/>
  <c r="D339" i="6" s="1"/>
  <c r="E339" i="6" s="1"/>
  <c r="F337" i="6"/>
  <c r="F57" i="2"/>
  <c r="H57" i="2"/>
  <c r="I57" i="2" s="1"/>
  <c r="D58" i="2" s="1"/>
  <c r="H339" i="6" l="1"/>
  <c r="I339" i="6" s="1"/>
  <c r="D340" i="6" s="1"/>
  <c r="E340" i="6" s="1"/>
  <c r="F338" i="6"/>
  <c r="G58" i="2"/>
  <c r="E58" i="2"/>
  <c r="H340" i="6" l="1"/>
  <c r="I340" i="6" s="1"/>
  <c r="D341" i="6" s="1"/>
  <c r="E341" i="6" s="1"/>
  <c r="F339" i="6"/>
  <c r="F58" i="2"/>
  <c r="H58" i="2"/>
  <c r="I58" i="2" s="1"/>
  <c r="D59" i="2" s="1"/>
  <c r="H341" i="6" l="1"/>
  <c r="I341" i="6" s="1"/>
  <c r="D342" i="6" s="1"/>
  <c r="E342" i="6" s="1"/>
  <c r="F340" i="6"/>
  <c r="G59" i="2"/>
  <c r="E59" i="2"/>
  <c r="H342" i="6" l="1"/>
  <c r="I342" i="6" s="1"/>
  <c r="D343" i="6" s="1"/>
  <c r="E343" i="6" s="1"/>
  <c r="F341" i="6"/>
  <c r="F59" i="2"/>
  <c r="H59" i="2"/>
  <c r="I59" i="2" s="1"/>
  <c r="D60" i="2" s="1"/>
  <c r="H343" i="6" l="1"/>
  <c r="I343" i="6" s="1"/>
  <c r="D344" i="6" s="1"/>
  <c r="E344" i="6" s="1"/>
  <c r="F342" i="6"/>
  <c r="E60" i="2"/>
  <c r="G60" i="2"/>
  <c r="F343" i="6" l="1"/>
  <c r="H344" i="6"/>
  <c r="I344" i="6" s="1"/>
  <c r="D345" i="6" s="1"/>
  <c r="E345" i="6" s="1"/>
  <c r="F60" i="2"/>
  <c r="H60" i="2"/>
  <c r="I60" i="2" s="1"/>
  <c r="D61" i="2" s="1"/>
  <c r="H345" i="6" l="1"/>
  <c r="I345" i="6" s="1"/>
  <c r="D346" i="6" s="1"/>
  <c r="E346" i="6" s="1"/>
  <c r="F344" i="6"/>
  <c r="G61" i="2"/>
  <c r="E61" i="2"/>
  <c r="H61" i="2" s="1"/>
  <c r="I61" i="2" s="1"/>
  <c r="D62" i="2" s="1"/>
  <c r="F61" i="2" l="1"/>
  <c r="H346" i="6"/>
  <c r="I346" i="6" s="1"/>
  <c r="D347" i="6" s="1"/>
  <c r="E347" i="6" s="1"/>
  <c r="F345" i="6"/>
  <c r="G62" i="2"/>
  <c r="E62" i="2"/>
  <c r="H347" i="6" l="1"/>
  <c r="I347" i="6" s="1"/>
  <c r="D348" i="6" s="1"/>
  <c r="E348" i="6" s="1"/>
  <c r="F346" i="6"/>
  <c r="F62" i="2"/>
  <c r="H62" i="2"/>
  <c r="I62" i="2" s="1"/>
  <c r="D63" i="2" s="1"/>
  <c r="G27" i="3"/>
  <c r="G30" i="3" s="1"/>
  <c r="F347" i="6" l="1"/>
  <c r="H348" i="6"/>
  <c r="I348" i="6" s="1"/>
  <c r="D349" i="6" s="1"/>
  <c r="E349" i="6" s="1"/>
  <c r="E63" i="2"/>
  <c r="F63" i="2" s="1"/>
  <c r="G63" i="2"/>
  <c r="H63" i="2" l="1"/>
  <c r="I63" i="2" s="1"/>
  <c r="D64" i="2" s="1"/>
  <c r="E64" i="2" s="1"/>
  <c r="H349" i="6"/>
  <c r="I349" i="6" s="1"/>
  <c r="D350" i="6" s="1"/>
  <c r="E350" i="6" s="1"/>
  <c r="F348" i="6"/>
  <c r="G64" i="2" l="1"/>
  <c r="H350" i="6"/>
  <c r="I350" i="6" s="1"/>
  <c r="D351" i="6" s="1"/>
  <c r="E351" i="6" s="1"/>
  <c r="F350" i="6"/>
  <c r="F349" i="6"/>
  <c r="F64" i="2"/>
  <c r="H64" i="2"/>
  <c r="I64" i="2" s="1"/>
  <c r="D65" i="2" s="1"/>
  <c r="H351" i="6" l="1"/>
  <c r="I351" i="6" s="1"/>
  <c r="D352" i="6" s="1"/>
  <c r="E352" i="6" s="1"/>
  <c r="G65" i="2"/>
  <c r="E65" i="2"/>
  <c r="H65" i="2" s="1"/>
  <c r="I65" i="2" s="1"/>
  <c r="D66" i="2" s="1"/>
  <c r="F65" i="2" l="1"/>
  <c r="H352" i="6"/>
  <c r="I352" i="6" s="1"/>
  <c r="D353" i="6" s="1"/>
  <c r="E353" i="6" s="1"/>
  <c r="F352" i="6"/>
  <c r="F351" i="6"/>
  <c r="G66" i="2"/>
  <c r="E66" i="2"/>
  <c r="H353" i="6" l="1"/>
  <c r="I353" i="6" s="1"/>
  <c r="D354" i="6" s="1"/>
  <c r="E354" i="6" s="1"/>
  <c r="F66" i="2"/>
  <c r="H66" i="2"/>
  <c r="I66" i="2" s="1"/>
  <c r="D67" i="2" s="1"/>
  <c r="F353" i="6" l="1"/>
  <c r="H354" i="6"/>
  <c r="I354" i="6" s="1"/>
  <c r="D355" i="6" s="1"/>
  <c r="E355" i="6" s="1"/>
  <c r="G67" i="2"/>
  <c r="E67" i="2"/>
  <c r="H67" i="2" s="1"/>
  <c r="I67" i="2" s="1"/>
  <c r="D68" i="2" s="1"/>
  <c r="H355" i="6" l="1"/>
  <c r="I355" i="6" s="1"/>
  <c r="D356" i="6" s="1"/>
  <c r="E356" i="6" s="1"/>
  <c r="F354" i="6"/>
  <c r="F67" i="2"/>
  <c r="G68" i="2"/>
  <c r="E68" i="2"/>
  <c r="H356" i="6" l="1"/>
  <c r="I356" i="6" s="1"/>
  <c r="D357" i="6" s="1"/>
  <c r="E357" i="6" s="1"/>
  <c r="F355" i="6"/>
  <c r="F68" i="2"/>
  <c r="H68" i="2"/>
  <c r="I68" i="2" s="1"/>
  <c r="D69" i="2" s="1"/>
  <c r="H357" i="6" l="1"/>
  <c r="I357" i="6"/>
  <c r="D358" i="6" s="1"/>
  <c r="E358" i="6" s="1"/>
  <c r="F356" i="6"/>
  <c r="G69" i="2"/>
  <c r="E69" i="2"/>
  <c r="H358" i="6" l="1"/>
  <c r="I358" i="6" s="1"/>
  <c r="D359" i="6" s="1"/>
  <c r="E359" i="6" s="1"/>
  <c r="F357" i="6"/>
  <c r="F69" i="2"/>
  <c r="H69" i="2"/>
  <c r="I69" i="2" s="1"/>
  <c r="D70" i="2" s="1"/>
  <c r="H359" i="6" l="1"/>
  <c r="I359" i="6" s="1"/>
  <c r="D360" i="6" s="1"/>
  <c r="E360" i="6" s="1"/>
  <c r="F358" i="6"/>
  <c r="G70" i="2"/>
  <c r="E70" i="2"/>
  <c r="F359" i="6" l="1"/>
  <c r="H360" i="6"/>
  <c r="I360" i="6" s="1"/>
  <c r="D361" i="6" s="1"/>
  <c r="E361" i="6" s="1"/>
  <c r="F70" i="2"/>
  <c r="H70" i="2"/>
  <c r="I70" i="2" s="1"/>
  <c r="D71" i="2" s="1"/>
  <c r="H361" i="6" l="1"/>
  <c r="I361" i="6" s="1"/>
  <c r="D362" i="6" s="1"/>
  <c r="E362" i="6" s="1"/>
  <c r="F360" i="6"/>
  <c r="E71" i="2"/>
  <c r="F71" i="2" s="1"/>
  <c r="G71" i="2"/>
  <c r="H362" i="6" l="1"/>
  <c r="I362" i="6" s="1"/>
  <c r="F361" i="6"/>
  <c r="H71" i="2"/>
  <c r="I71" i="2" s="1"/>
  <c r="D72" i="2" s="1"/>
  <c r="F362" i="6" l="1"/>
  <c r="G72" i="2"/>
  <c r="E72" i="2"/>
  <c r="H72" i="2" s="1"/>
  <c r="I72" i="2" s="1"/>
  <c r="D73" i="2" s="1"/>
  <c r="F72" i="2" l="1"/>
  <c r="G73" i="2"/>
  <c r="E73" i="2"/>
  <c r="H73" i="2" s="1"/>
  <c r="I73" i="2" s="1"/>
  <c r="D74" i="2" s="1"/>
  <c r="F73" i="2" l="1"/>
  <c r="G74" i="2"/>
  <c r="E74" i="2"/>
  <c r="H74" i="2" s="1"/>
  <c r="I74" i="2" s="1"/>
  <c r="D75" i="2" s="1"/>
  <c r="F74" i="2" l="1"/>
  <c r="G75" i="2"/>
  <c r="E75" i="2"/>
  <c r="F75" i="2" l="1"/>
  <c r="H75" i="2"/>
  <c r="I75" i="2" s="1"/>
  <c r="D76" i="2" s="1"/>
  <c r="G76" i="2" l="1"/>
  <c r="E76" i="2"/>
  <c r="F76" i="2" l="1"/>
  <c r="H76" i="2"/>
  <c r="I76" i="2" s="1"/>
  <c r="D77" i="2" s="1"/>
  <c r="E77" i="2" l="1"/>
  <c r="G77" i="2"/>
  <c r="F77" i="2" l="1"/>
  <c r="H77" i="2"/>
  <c r="I77" i="2" s="1"/>
  <c r="D78" i="2" s="1"/>
  <c r="G78" i="2" l="1"/>
  <c r="E78" i="2"/>
  <c r="F78" i="2" l="1"/>
  <c r="H78" i="2"/>
  <c r="I78" i="2" s="1"/>
  <c r="D79" i="2" s="1"/>
  <c r="E79" i="2" l="1"/>
  <c r="G79" i="2"/>
  <c r="F79" i="2" l="1"/>
  <c r="H79" i="2"/>
  <c r="I79" i="2" s="1"/>
  <c r="D80" i="2" s="1"/>
  <c r="E80" i="2" l="1"/>
  <c r="F80" i="2" s="1"/>
  <c r="G80" i="2"/>
  <c r="H80" i="2" s="1"/>
  <c r="I80" i="2" s="1"/>
  <c r="D81" i="2" s="1"/>
  <c r="G81" i="2" l="1"/>
  <c r="E81" i="2"/>
  <c r="F81" i="2" l="1"/>
  <c r="H81" i="2"/>
  <c r="I81" i="2" s="1"/>
  <c r="D82" i="2" s="1"/>
  <c r="E82" i="2" l="1"/>
  <c r="F82" i="2" s="1"/>
  <c r="G82" i="2"/>
  <c r="H82" i="2" l="1"/>
  <c r="I82" i="2" s="1"/>
  <c r="D83" i="2" s="1"/>
  <c r="G83" i="2"/>
  <c r="E83" i="2"/>
  <c r="F83" i="2" l="1"/>
  <c r="H83" i="2"/>
  <c r="I83" i="2" s="1"/>
  <c r="D84" i="2" s="1"/>
  <c r="E84" i="2" l="1"/>
  <c r="F84" i="2" s="1"/>
  <c r="G84" i="2"/>
  <c r="H84" i="2" l="1"/>
  <c r="I84" i="2" s="1"/>
  <c r="D85" i="2" s="1"/>
  <c r="G85" i="2" l="1"/>
  <c r="E85" i="2"/>
  <c r="H85" i="2" s="1"/>
  <c r="I85" i="2" s="1"/>
  <c r="D86" i="2" s="1"/>
  <c r="F85" i="2" l="1"/>
  <c r="G86" i="2"/>
  <c r="E86" i="2"/>
  <c r="F86" i="2" l="1"/>
  <c r="H86" i="2"/>
  <c r="I86" i="2" s="1"/>
  <c r="D87" i="2" s="1"/>
  <c r="G87" i="2" l="1"/>
  <c r="E87" i="2"/>
  <c r="F87" i="2" l="1"/>
  <c r="H87" i="2"/>
  <c r="I87" i="2" s="1"/>
  <c r="D88" i="2" s="1"/>
  <c r="G88" i="2" l="1"/>
  <c r="E88" i="2"/>
  <c r="H88" i="2" s="1"/>
  <c r="I88" i="2" s="1"/>
  <c r="D89" i="2" s="1"/>
  <c r="F88" i="2" l="1"/>
  <c r="E89" i="2"/>
  <c r="F89" i="2" s="1"/>
  <c r="G89" i="2"/>
  <c r="H89" i="2" l="1"/>
  <c r="I89" i="2" s="1"/>
  <c r="D90" i="2" s="1"/>
  <c r="G90" i="2" l="1"/>
  <c r="E90" i="2"/>
  <c r="H90" i="2" l="1"/>
  <c r="I90" i="2" s="1"/>
  <c r="D91" i="2" s="1"/>
  <c r="F90" i="2"/>
  <c r="G91" i="2"/>
  <c r="E91" i="2"/>
  <c r="H91" i="2" s="1"/>
  <c r="I91" i="2" s="1"/>
  <c r="D92" i="2" s="1"/>
  <c r="F91" i="2" l="1"/>
  <c r="G92" i="2"/>
  <c r="E92" i="2"/>
  <c r="H92" i="2" s="1"/>
  <c r="I92" i="2" s="1"/>
  <c r="D93" i="2" s="1"/>
  <c r="F92" i="2" l="1"/>
  <c r="G93" i="2"/>
  <c r="E93" i="2"/>
  <c r="H93" i="2" s="1"/>
  <c r="I93" i="2" s="1"/>
  <c r="D94" i="2" s="1"/>
  <c r="F93" i="2" l="1"/>
  <c r="G94" i="2"/>
  <c r="E94" i="2"/>
  <c r="F94" i="2" l="1"/>
  <c r="H94" i="2"/>
  <c r="I94" i="2" s="1"/>
  <c r="D95" i="2" s="1"/>
  <c r="G95" i="2" l="1"/>
  <c r="E95" i="2"/>
  <c r="H95" i="2" s="1"/>
  <c r="I95" i="2" s="1"/>
  <c r="D96" i="2" s="1"/>
  <c r="F95" i="2" l="1"/>
  <c r="G96" i="2"/>
  <c r="E96" i="2"/>
  <c r="F96" i="2" l="1"/>
  <c r="H96" i="2"/>
  <c r="I96" i="2" s="1"/>
  <c r="D97" i="2" s="1"/>
  <c r="G97" i="2" l="1"/>
  <c r="E97" i="2"/>
  <c r="F97" i="2" l="1"/>
  <c r="H97" i="2"/>
  <c r="I97" i="2" s="1"/>
  <c r="D98" i="2" s="1"/>
  <c r="G98" i="2" l="1"/>
  <c r="E98" i="2"/>
  <c r="F98" i="2" l="1"/>
  <c r="H98" i="2"/>
  <c r="I98" i="2" s="1"/>
  <c r="D99" i="2" s="1"/>
  <c r="G99" i="2" l="1"/>
  <c r="E99" i="2"/>
  <c r="H99" i="2" s="1"/>
  <c r="I99" i="2" s="1"/>
  <c r="D100" i="2" s="1"/>
  <c r="F99" i="2" l="1"/>
  <c r="G100" i="2"/>
  <c r="E100" i="2"/>
  <c r="F100" i="2" l="1"/>
  <c r="H100" i="2"/>
  <c r="I100" i="2" s="1"/>
  <c r="D101" i="2" s="1"/>
  <c r="G101" i="2" l="1"/>
  <c r="E101" i="2"/>
  <c r="F101" i="2" l="1"/>
  <c r="H101" i="2"/>
  <c r="I101" i="2" s="1"/>
  <c r="D102" i="2" s="1"/>
  <c r="G102" i="2" l="1"/>
  <c r="E102" i="2"/>
  <c r="H102" i="2" s="1"/>
  <c r="I102" i="2" s="1"/>
  <c r="D103" i="2" s="1"/>
  <c r="F102" i="2" l="1"/>
  <c r="G103" i="2"/>
  <c r="E103" i="2"/>
  <c r="H103" i="2" s="1"/>
  <c r="I103" i="2" s="1"/>
  <c r="D104" i="2" s="1"/>
  <c r="F103" i="2" l="1"/>
  <c r="G104" i="2"/>
  <c r="E104" i="2"/>
  <c r="F104" i="2" l="1"/>
  <c r="H104" i="2"/>
  <c r="I104" i="2" s="1"/>
  <c r="D105" i="2" s="1"/>
  <c r="G105" i="2" l="1"/>
  <c r="E105" i="2"/>
  <c r="F105" i="2" l="1"/>
  <c r="H105" i="2"/>
  <c r="I105" i="2" s="1"/>
  <c r="D106" i="2" s="1"/>
  <c r="G106" i="2" l="1"/>
  <c r="E106" i="2"/>
  <c r="H106" i="2" s="1"/>
  <c r="I106" i="2" s="1"/>
  <c r="D107" i="2" s="1"/>
  <c r="F106" i="2" l="1"/>
  <c r="G107" i="2"/>
  <c r="E107" i="2"/>
  <c r="H107" i="2" s="1"/>
  <c r="I107" i="2" s="1"/>
  <c r="D108" i="2" s="1"/>
  <c r="F107" i="2" l="1"/>
  <c r="G108" i="2"/>
  <c r="E108" i="2"/>
  <c r="F108" i="2" l="1"/>
  <c r="H108" i="2"/>
  <c r="I108" i="2" s="1"/>
  <c r="D109" i="2" s="1"/>
  <c r="G109" i="2" l="1"/>
  <c r="E109" i="2"/>
  <c r="F109" i="2" l="1"/>
  <c r="H109" i="2"/>
  <c r="I109" i="2" s="1"/>
  <c r="D110" i="2" s="1"/>
  <c r="G110" i="2" l="1"/>
  <c r="E110" i="2"/>
  <c r="F110" i="2" l="1"/>
  <c r="H110" i="2"/>
  <c r="I110" i="2" s="1"/>
  <c r="D111" i="2" s="1"/>
  <c r="G111" i="2" l="1"/>
  <c r="E111" i="2"/>
  <c r="F111" i="2" l="1"/>
  <c r="H111" i="2"/>
  <c r="I111" i="2" s="1"/>
  <c r="D112" i="2" s="1"/>
  <c r="G112" i="2" l="1"/>
  <c r="E112" i="2"/>
  <c r="F112" i="2" l="1"/>
  <c r="H112" i="2"/>
  <c r="I112" i="2" s="1"/>
  <c r="D113" i="2" s="1"/>
  <c r="G113" i="2" l="1"/>
  <c r="E113" i="2"/>
  <c r="F113" i="2" l="1"/>
  <c r="H113" i="2"/>
  <c r="I113" i="2" s="1"/>
  <c r="D114" i="2" s="1"/>
  <c r="G114" i="2" l="1"/>
  <c r="E114" i="2"/>
  <c r="H114" i="2" s="1"/>
  <c r="I114" i="2" s="1"/>
  <c r="D115" i="2" s="1"/>
  <c r="F114" i="2" l="1"/>
  <c r="G115" i="2"/>
  <c r="E115" i="2"/>
  <c r="F115" i="2" l="1"/>
  <c r="H115" i="2"/>
  <c r="I115" i="2" s="1"/>
  <c r="D116" i="2" s="1"/>
  <c r="G116" i="2" l="1"/>
  <c r="E116" i="2"/>
  <c r="H116" i="2" s="1"/>
  <c r="I116" i="2" s="1"/>
  <c r="D117" i="2" s="1"/>
  <c r="F116" i="2" l="1"/>
  <c r="G117" i="2"/>
  <c r="E117" i="2"/>
  <c r="F117" i="2" l="1"/>
  <c r="H117" i="2"/>
  <c r="I117" i="2" s="1"/>
  <c r="D118" i="2" s="1"/>
  <c r="G118" i="2" l="1"/>
  <c r="E118" i="2"/>
  <c r="F118" i="2" l="1"/>
  <c r="H118" i="2"/>
  <c r="I118" i="2" s="1"/>
  <c r="D119" i="2" s="1"/>
  <c r="E119" i="2" l="1"/>
  <c r="F119" i="2"/>
  <c r="G119" i="2"/>
  <c r="H119" i="2" s="1"/>
  <c r="I119" i="2" s="1"/>
  <c r="D120" i="2" s="1"/>
  <c r="G120" i="2" l="1"/>
  <c r="E120" i="2"/>
  <c r="H120" i="2" s="1"/>
  <c r="I120" i="2" s="1"/>
  <c r="D121" i="2" s="1"/>
  <c r="F120" i="2" l="1"/>
  <c r="E121" i="2"/>
  <c r="F121" i="2" s="1"/>
  <c r="G121" i="2"/>
  <c r="H121" i="2" s="1"/>
  <c r="I121" i="2" s="1"/>
  <c r="D122" i="2" s="1"/>
  <c r="E122" i="2" l="1"/>
  <c r="G122" i="2"/>
  <c r="H122" i="2" s="1"/>
  <c r="I122" i="2" s="1"/>
  <c r="D123" i="2" s="1"/>
  <c r="F122" i="2"/>
  <c r="G123" i="2" l="1"/>
  <c r="E123" i="2"/>
  <c r="F123" i="2" l="1"/>
  <c r="H123" i="2"/>
  <c r="I123" i="2" s="1"/>
  <c r="D124" i="2" s="1"/>
  <c r="G126" i="2"/>
  <c r="G124" i="2" l="1"/>
  <c r="E124" i="2"/>
  <c r="F124" i="2" l="1"/>
  <c r="H124" i="2"/>
  <c r="I124" i="2" s="1"/>
  <c r="D125" i="2" s="1"/>
  <c r="G125" i="2" l="1"/>
  <c r="E125" i="2"/>
  <c r="G128" i="2"/>
  <c r="F125" i="2" l="1"/>
  <c r="H125" i="2"/>
  <c r="I125" i="2" s="1"/>
  <c r="D126" i="2" s="1"/>
  <c r="G129" i="2"/>
  <c r="E126" i="2" l="1"/>
  <c r="H126" i="2" s="1"/>
  <c r="I126" i="2" s="1"/>
  <c r="D127" i="2" s="1"/>
  <c r="F126" i="2"/>
  <c r="G127" i="2" l="1"/>
  <c r="E127" i="2"/>
  <c r="G130" i="2"/>
  <c r="F127" i="2" l="1"/>
  <c r="H127" i="2"/>
  <c r="I127" i="2" s="1"/>
  <c r="D128" i="2" s="1"/>
  <c r="E128" i="2" l="1"/>
  <c r="H128" i="2" s="1"/>
  <c r="I128" i="2" s="1"/>
  <c r="D129" i="2" s="1"/>
  <c r="F128" i="2"/>
  <c r="G131" i="2"/>
  <c r="E129" i="2" l="1"/>
  <c r="H129" i="2" s="1"/>
  <c r="I129" i="2" s="1"/>
  <c r="D130" i="2" s="1"/>
  <c r="F129" i="2"/>
  <c r="E130" i="2" l="1"/>
  <c r="H130" i="2" s="1"/>
  <c r="I130" i="2" s="1"/>
  <c r="D131" i="2" s="1"/>
  <c r="F130" i="2"/>
  <c r="G132" i="2"/>
  <c r="E131" i="2" l="1"/>
  <c r="H131" i="2" s="1"/>
  <c r="I131" i="2" s="1"/>
  <c r="D132" i="2" s="1"/>
  <c r="E132" i="2" s="1"/>
  <c r="F131" i="2"/>
  <c r="F132" i="2"/>
  <c r="H132" i="2"/>
  <c r="I132" i="2" s="1"/>
  <c r="D133" i="2" s="1"/>
  <c r="G133" i="2" l="1"/>
  <c r="E133" i="2"/>
  <c r="F133" i="2" l="1"/>
  <c r="H133" i="2"/>
  <c r="I133" i="2" s="1"/>
  <c r="D134" i="2" s="1"/>
  <c r="G134" i="2" l="1"/>
  <c r="E134" i="2"/>
  <c r="H134" i="2" l="1"/>
  <c r="I134" i="2" s="1"/>
  <c r="D135" i="2" s="1"/>
  <c r="G135" i="2"/>
  <c r="E135" i="2"/>
  <c r="H135" i="2" s="1"/>
  <c r="I135" i="2" s="1"/>
  <c r="D136" i="2" s="1"/>
  <c r="F134" i="2"/>
  <c r="G136" i="2" l="1"/>
  <c r="E136" i="2"/>
  <c r="H136" i="2" s="1"/>
  <c r="I136" i="2" s="1"/>
  <c r="D137" i="2" s="1"/>
  <c r="F135" i="2"/>
  <c r="G137" i="2" l="1"/>
  <c r="E137" i="2"/>
  <c r="F136" i="2"/>
  <c r="F137" i="2" l="1"/>
  <c r="H137" i="2"/>
  <c r="I137" i="2" s="1"/>
  <c r="D138" i="2" s="1"/>
  <c r="G138" i="2" l="1"/>
  <c r="E138" i="2"/>
  <c r="H138" i="2" l="1"/>
  <c r="I138" i="2" s="1"/>
  <c r="D139" i="2" s="1"/>
  <c r="G139" i="2" s="1"/>
  <c r="F138" i="2"/>
  <c r="E139" i="2" l="1"/>
  <c r="F139" i="2" s="1"/>
  <c r="H139" i="2"/>
  <c r="I139" i="2" s="1"/>
  <c r="D140" i="2" s="1"/>
  <c r="G140" i="2" l="1"/>
  <c r="E140" i="2"/>
  <c r="F140" i="2" l="1"/>
  <c r="H140" i="2"/>
  <c r="I140" i="2" s="1"/>
  <c r="D141" i="2" s="1"/>
  <c r="G141" i="2" l="1"/>
  <c r="E141" i="2"/>
  <c r="H141" i="2" l="1"/>
  <c r="I141" i="2" s="1"/>
  <c r="D142" i="2" s="1"/>
  <c r="G142" i="2"/>
  <c r="E142" i="2"/>
  <c r="H142" i="2" s="1"/>
  <c r="I142" i="2" s="1"/>
  <c r="D143" i="2" s="1"/>
  <c r="F141" i="2"/>
  <c r="G143" i="2" l="1"/>
  <c r="E143" i="2"/>
  <c r="F142" i="2"/>
  <c r="H143" i="2" l="1"/>
  <c r="I143" i="2" s="1"/>
  <c r="D144" i="2" s="1"/>
  <c r="E144" i="2" s="1"/>
  <c r="G144" i="2"/>
  <c r="F143" i="2"/>
  <c r="H144" i="2" l="1"/>
  <c r="I144" i="2" s="1"/>
  <c r="D145" i="2" s="1"/>
  <c r="G145" i="2" s="1"/>
  <c r="F144" i="2"/>
  <c r="E145" i="2"/>
  <c r="H145" i="2" s="1"/>
  <c r="I145" i="2" s="1"/>
  <c r="D146" i="2" s="1"/>
  <c r="F145" i="2" l="1"/>
  <c r="E146" i="2"/>
  <c r="F146" i="2" s="1"/>
  <c r="G146" i="2"/>
  <c r="H146" i="2" s="1"/>
  <c r="I146" i="2" s="1"/>
  <c r="D147" i="2" s="1"/>
  <c r="G147" i="2" s="1"/>
  <c r="E147" i="2" l="1"/>
  <c r="H147" i="2" s="1"/>
  <c r="I147" i="2" s="1"/>
  <c r="D148" i="2" s="1"/>
  <c r="E148" i="2" s="1"/>
  <c r="F148" i="2" s="1"/>
  <c r="F147" i="2" l="1"/>
  <c r="G148" i="2"/>
  <c r="H148" i="2"/>
  <c r="I148" i="2" s="1"/>
  <c r="D149" i="2" s="1"/>
  <c r="G149" i="2" s="1"/>
  <c r="E149" i="2" l="1"/>
  <c r="H149" i="2" s="1"/>
  <c r="I149" i="2" s="1"/>
  <c r="D150" i="2" s="1"/>
  <c r="E150" i="2" s="1"/>
  <c r="F149" i="2" l="1"/>
  <c r="F150" i="2"/>
  <c r="G150" i="2"/>
  <c r="H150" i="2" s="1"/>
  <c r="I150" i="2" s="1"/>
  <c r="D151" i="2" s="1"/>
  <c r="G151" i="2" s="1"/>
  <c r="E151" i="2" l="1"/>
  <c r="H151" i="2" s="1"/>
  <c r="I151" i="2" s="1"/>
  <c r="D152" i="2" s="1"/>
  <c r="E152" i="2" s="1"/>
  <c r="F151" i="2" l="1"/>
  <c r="G152" i="2"/>
  <c r="H152" i="2"/>
  <c r="I152" i="2" s="1"/>
  <c r="D153" i="2" s="1"/>
  <c r="G153" i="2" s="1"/>
  <c r="F152" i="2"/>
  <c r="E153" i="2" l="1"/>
  <c r="H153" i="2"/>
  <c r="I153" i="2" s="1"/>
  <c r="D154" i="2" s="1"/>
  <c r="G154" i="2" s="1"/>
  <c r="F153" i="2"/>
  <c r="E154" i="2" l="1"/>
  <c r="F154" i="2" s="1"/>
  <c r="H154" i="2" l="1"/>
  <c r="I154" i="2" s="1"/>
  <c r="D155" i="2" s="1"/>
  <c r="G155" i="2"/>
  <c r="E155" i="2"/>
  <c r="F155" i="2" s="1"/>
  <c r="H155" i="2" l="1"/>
  <c r="I155" i="2" s="1"/>
  <c r="D156" i="2" s="1"/>
  <c r="G156" i="2" l="1"/>
  <c r="E156" i="2"/>
  <c r="F156" i="2" s="1"/>
  <c r="H156" i="2" l="1"/>
  <c r="I156" i="2" s="1"/>
  <c r="D157" i="2" s="1"/>
  <c r="G157" i="2" l="1"/>
  <c r="E157" i="2"/>
  <c r="F157" i="2" s="1"/>
  <c r="H157" i="2" l="1"/>
  <c r="I157" i="2" s="1"/>
  <c r="D158" i="2" s="1"/>
  <c r="G158" i="2" l="1"/>
  <c r="E158" i="2"/>
  <c r="F158" i="2" s="1"/>
  <c r="H158" i="2" l="1"/>
  <c r="I158" i="2" s="1"/>
  <c r="D159" i="2" s="1"/>
  <c r="G159" i="2" l="1"/>
  <c r="E159" i="2"/>
  <c r="H159" i="2" l="1"/>
  <c r="I159" i="2" s="1"/>
  <c r="D160" i="2" s="1"/>
  <c r="G160" i="2" s="1"/>
  <c r="F159" i="2"/>
  <c r="E160" i="2" l="1"/>
  <c r="H160" i="2" s="1"/>
  <c r="I160" i="2" s="1"/>
  <c r="D161" i="2" s="1"/>
  <c r="G161" i="2" s="1"/>
  <c r="F160" i="2" l="1"/>
  <c r="E161" i="2"/>
  <c r="H161" i="2" s="1"/>
  <c r="I161" i="2" s="1"/>
  <c r="D162" i="2" s="1"/>
  <c r="G162" i="2" s="1"/>
  <c r="E162" i="2" l="1"/>
  <c r="F162" i="2" s="1"/>
  <c r="F161" i="2"/>
  <c r="H162" i="2"/>
  <c r="I162" i="2" s="1"/>
  <c r="D163" i="2" s="1"/>
  <c r="G163" i="2" l="1"/>
  <c r="E163" i="2"/>
  <c r="H163" i="2" s="1"/>
  <c r="I163" i="2" s="1"/>
  <c r="D164" i="2" s="1"/>
  <c r="G164" i="2" l="1"/>
  <c r="F163" i="2"/>
  <c r="E164" i="2"/>
  <c r="F164" i="2" s="1"/>
  <c r="H164" i="2" l="1"/>
  <c r="I164" i="2" s="1"/>
  <c r="D165" i="2" s="1"/>
  <c r="G165" i="2" l="1"/>
  <c r="E165" i="2"/>
  <c r="F165" i="2" s="1"/>
  <c r="H165" i="2" l="1"/>
  <c r="I165" i="2" s="1"/>
  <c r="D166" i="2" s="1"/>
  <c r="G166" i="2" l="1"/>
  <c r="E166" i="2"/>
  <c r="H166" i="2" l="1"/>
  <c r="I166" i="2" s="1"/>
  <c r="D167" i="2" s="1"/>
  <c r="E167" i="2" s="1"/>
  <c r="H167" i="2" s="1"/>
  <c r="I167" i="2" s="1"/>
  <c r="D168" i="2" s="1"/>
  <c r="G167" i="2"/>
  <c r="F166" i="2"/>
  <c r="G168" i="2" l="1"/>
  <c r="F167" i="2"/>
  <c r="E168" i="2"/>
  <c r="F168" i="2" s="1"/>
  <c r="H168" i="2" l="1"/>
  <c r="I168" i="2" s="1"/>
  <c r="D169" i="2" s="1"/>
  <c r="G169" i="2" l="1"/>
  <c r="E169" i="2"/>
  <c r="H169" i="2" s="1"/>
  <c r="I169" i="2" s="1"/>
  <c r="D170" i="2" s="1"/>
  <c r="G170" i="2" l="1"/>
  <c r="F169" i="2"/>
  <c r="E170" i="2"/>
  <c r="F170" i="2" s="1"/>
  <c r="H170" i="2" l="1"/>
  <c r="I170" i="2" s="1"/>
  <c r="D171" i="2" s="1"/>
  <c r="G171" i="2" l="1"/>
  <c r="E171" i="2"/>
  <c r="H171" i="2" s="1"/>
  <c r="I171" i="2" s="1"/>
  <c r="D172" i="2" s="1"/>
  <c r="G172" i="2" l="1"/>
  <c r="F171" i="2"/>
  <c r="E172" i="2"/>
  <c r="H172" i="2" s="1"/>
  <c r="I172" i="2" s="1"/>
  <c r="D173" i="2" s="1"/>
  <c r="G173" i="2" l="1"/>
  <c r="F172" i="2"/>
  <c r="E173" i="2"/>
  <c r="H173" i="2" s="1"/>
  <c r="I173" i="2" s="1"/>
  <c r="D174" i="2" s="1"/>
  <c r="G174" i="2" l="1"/>
  <c r="F173" i="2"/>
  <c r="E174" i="2"/>
  <c r="H174" i="2" s="1"/>
  <c r="I174" i="2" s="1"/>
  <c r="D175" i="2" s="1"/>
  <c r="G175" i="2" l="1"/>
  <c r="F174" i="2"/>
  <c r="E175" i="2"/>
  <c r="F175" i="2" s="1"/>
  <c r="H175" i="2" l="1"/>
  <c r="I175" i="2" s="1"/>
  <c r="D176" i="2" s="1"/>
  <c r="G176" i="2" l="1"/>
  <c r="E176" i="2"/>
  <c r="F176" i="2" s="1"/>
  <c r="H176" i="2" l="1"/>
  <c r="I176" i="2" s="1"/>
  <c r="D177" i="2" s="1"/>
  <c r="G177" i="2" l="1"/>
  <c r="E177" i="2"/>
  <c r="F177" i="2" s="1"/>
  <c r="H177" i="2" l="1"/>
  <c r="I177" i="2" s="1"/>
  <c r="D178" i="2" s="1"/>
  <c r="G178" i="2" l="1"/>
  <c r="E178" i="2"/>
  <c r="F178" i="2" s="1"/>
  <c r="H178" i="2" l="1"/>
  <c r="I178" i="2" s="1"/>
  <c r="D179" i="2" s="1"/>
  <c r="G179" i="2" l="1"/>
  <c r="E179" i="2"/>
  <c r="H179" i="2" l="1"/>
  <c r="I179" i="2" s="1"/>
  <c r="D180" i="2" s="1"/>
  <c r="G180" i="2" s="1"/>
  <c r="F179" i="2"/>
  <c r="E180" i="2" l="1"/>
  <c r="F180" i="2" s="1"/>
  <c r="H180" i="2" l="1"/>
  <c r="I180" i="2" s="1"/>
  <c r="D181" i="2" s="1"/>
  <c r="G181" i="2" s="1"/>
  <c r="E181" i="2" l="1"/>
  <c r="H181" i="2" s="1"/>
  <c r="I181" i="2" s="1"/>
  <c r="D182" i="2" s="1"/>
  <c r="G182" i="2" s="1"/>
  <c r="E182" i="2" l="1"/>
  <c r="M10" i="2" s="1"/>
  <c r="D6" i="4" s="1"/>
  <c r="F181" i="2"/>
  <c r="H182" i="2" l="1"/>
  <c r="I182" i="2" s="1"/>
  <c r="D183" i="2" s="1"/>
  <c r="G183" i="2" s="1"/>
  <c r="F182" i="2"/>
  <c r="E183" i="2" l="1"/>
  <c r="F183" i="2" s="1"/>
  <c r="H183" i="2" l="1"/>
  <c r="I183" i="2" s="1"/>
  <c r="D184" i="2" s="1"/>
  <c r="G184" i="2" s="1"/>
  <c r="E184" i="2" l="1"/>
  <c r="H184" i="2" s="1"/>
  <c r="I184" i="2" s="1"/>
  <c r="D185" i="2" s="1"/>
  <c r="G185" i="2" s="1"/>
  <c r="E185" i="2" l="1"/>
  <c r="H185" i="2" s="1"/>
  <c r="I185" i="2" s="1"/>
  <c r="D186" i="2" s="1"/>
  <c r="G186" i="2" s="1"/>
  <c r="F184" i="2"/>
  <c r="F185" i="2" l="1"/>
  <c r="E186" i="2"/>
  <c r="F186" i="2" s="1"/>
  <c r="H186" i="2" l="1"/>
  <c r="I186" i="2" s="1"/>
  <c r="D187" i="2" s="1"/>
  <c r="G187" i="2" s="1"/>
  <c r="E187" i="2" l="1"/>
  <c r="F187" i="2" s="1"/>
  <c r="H187" i="2" l="1"/>
  <c r="I187" i="2" s="1"/>
  <c r="D188" i="2" s="1"/>
  <c r="G188" i="2" s="1"/>
  <c r="E188" i="2" l="1"/>
  <c r="H188" i="2" s="1"/>
  <c r="I188" i="2" s="1"/>
  <c r="D189" i="2" s="1"/>
  <c r="G189" i="2" s="1"/>
  <c r="E189" i="2" l="1"/>
  <c r="H189" i="2" s="1"/>
  <c r="I189" i="2" s="1"/>
  <c r="D190" i="2" s="1"/>
  <c r="G190" i="2" s="1"/>
  <c r="F188" i="2"/>
  <c r="F189" i="2"/>
  <c r="E190" i="2" l="1"/>
  <c r="F190" i="2" s="1"/>
  <c r="H190" i="2" l="1"/>
  <c r="I190" i="2" s="1"/>
  <c r="D191" i="2" s="1"/>
  <c r="G191" i="2" s="1"/>
  <c r="E191" i="2" l="1"/>
  <c r="F191" i="2" s="1"/>
  <c r="H191" i="2" l="1"/>
  <c r="I191" i="2" s="1"/>
  <c r="D192" i="2" s="1"/>
  <c r="G192" i="2" s="1"/>
  <c r="E192" i="2" l="1"/>
  <c r="H192" i="2" s="1"/>
  <c r="I192" i="2" s="1"/>
  <c r="D193" i="2" s="1"/>
  <c r="G193" i="2" s="1"/>
  <c r="E193" i="2" l="1"/>
  <c r="H193" i="2" s="1"/>
  <c r="I193" i="2" s="1"/>
  <c r="D194" i="2" s="1"/>
  <c r="G194" i="2" s="1"/>
  <c r="F192" i="2"/>
  <c r="E194" i="2" l="1"/>
  <c r="H194" i="2" s="1"/>
  <c r="I194" i="2" s="1"/>
  <c r="D195" i="2" s="1"/>
  <c r="G195" i="2" s="1"/>
  <c r="F193" i="2"/>
  <c r="E195" i="2" l="1"/>
  <c r="H195" i="2" s="1"/>
  <c r="I195" i="2" s="1"/>
  <c r="D196" i="2" s="1"/>
  <c r="G196" i="2" s="1"/>
  <c r="F194" i="2"/>
  <c r="F195" i="2" l="1"/>
  <c r="E196" i="2"/>
  <c r="H196" i="2" s="1"/>
  <c r="I196" i="2" s="1"/>
  <c r="D197" i="2" s="1"/>
  <c r="G197" i="2" s="1"/>
  <c r="F196" i="2"/>
  <c r="E197" i="2" l="1"/>
  <c r="H197" i="2" s="1"/>
  <c r="I197" i="2" s="1"/>
  <c r="D198" i="2" s="1"/>
  <c r="G198" i="2" s="1"/>
  <c r="F197" i="2"/>
  <c r="E198" i="2" l="1"/>
  <c r="H198" i="2" s="1"/>
  <c r="I198" i="2" s="1"/>
  <c r="D199" i="2" s="1"/>
  <c r="G199" i="2" s="1"/>
  <c r="F198" i="2"/>
  <c r="E199" i="2"/>
  <c r="F199" i="2" s="1"/>
  <c r="H199" i="2" l="1"/>
  <c r="I199" i="2" s="1"/>
  <c r="D200" i="2" s="1"/>
  <c r="G200" i="2" s="1"/>
  <c r="E200" i="2" l="1"/>
  <c r="H200" i="2" s="1"/>
  <c r="I200" i="2" s="1"/>
  <c r="D201" i="2" s="1"/>
  <c r="G201" i="2" s="1"/>
  <c r="F200" i="2" l="1"/>
  <c r="E201" i="2"/>
  <c r="H201" i="2" s="1"/>
  <c r="I201" i="2" s="1"/>
  <c r="D202" i="2" s="1"/>
  <c r="G202" i="2" s="1"/>
  <c r="F201" i="2" l="1"/>
  <c r="E202" i="2"/>
  <c r="F202" i="2" s="1"/>
  <c r="H202" i="2" l="1"/>
  <c r="I202" i="2" s="1"/>
  <c r="D203" i="2" s="1"/>
  <c r="G203" i="2" s="1"/>
  <c r="E203" i="2" l="1"/>
  <c r="F203" i="2" s="1"/>
  <c r="H203" i="2" l="1"/>
  <c r="I203" i="2" s="1"/>
  <c r="D204" i="2" s="1"/>
  <c r="G204" i="2" s="1"/>
  <c r="E204" i="2" l="1"/>
  <c r="F204" i="2" s="1"/>
  <c r="H204" i="2" l="1"/>
  <c r="I204" i="2" s="1"/>
  <c r="D205" i="2" s="1"/>
  <c r="G205" i="2" s="1"/>
  <c r="E205" i="2" l="1"/>
  <c r="F205" i="2" s="1"/>
  <c r="H205" i="2" l="1"/>
  <c r="I205" i="2" s="1"/>
  <c r="D206" i="2" s="1"/>
  <c r="G206" i="2" s="1"/>
  <c r="E206" i="2" l="1"/>
  <c r="H206" i="2" s="1"/>
  <c r="I206" i="2" s="1"/>
  <c r="D207" i="2" s="1"/>
  <c r="G207" i="2" s="1"/>
  <c r="F206" i="2" l="1"/>
  <c r="E207" i="2"/>
  <c r="H207" i="2" s="1"/>
  <c r="I207" i="2" s="1"/>
  <c r="D208" i="2" s="1"/>
  <c r="G208" i="2" s="1"/>
  <c r="F207" i="2" l="1"/>
  <c r="E208" i="2"/>
  <c r="H208" i="2" s="1"/>
  <c r="I208" i="2" s="1"/>
  <c r="D209" i="2" s="1"/>
  <c r="G209" i="2" s="1"/>
  <c r="F208" i="2" l="1"/>
  <c r="E209" i="2"/>
  <c r="F209" i="2" s="1"/>
  <c r="H209" i="2" l="1"/>
  <c r="I209" i="2" s="1"/>
  <c r="D210" i="2" s="1"/>
  <c r="G210" i="2" s="1"/>
  <c r="E210" i="2" l="1"/>
  <c r="F210" i="2" s="1"/>
  <c r="H210" i="2" l="1"/>
  <c r="I210" i="2" s="1"/>
  <c r="D211" i="2" s="1"/>
  <c r="G211" i="2" s="1"/>
  <c r="E211" i="2" l="1"/>
  <c r="F211" i="2" s="1"/>
  <c r="H211" i="2" l="1"/>
  <c r="I211" i="2" s="1"/>
  <c r="D212" i="2" s="1"/>
  <c r="G212" i="2" s="1"/>
  <c r="E212" i="2" l="1"/>
  <c r="H212" i="2" s="1"/>
  <c r="I212" i="2" s="1"/>
  <c r="D213" i="2" s="1"/>
  <c r="G213" i="2" s="1"/>
  <c r="F212" i="2" l="1"/>
  <c r="E213" i="2"/>
  <c r="H213" i="2" s="1"/>
  <c r="I213" i="2" s="1"/>
  <c r="D214" i="2" s="1"/>
  <c r="G214" i="2" s="1"/>
  <c r="F213" i="2" l="1"/>
  <c r="E214" i="2"/>
  <c r="F214" i="2" s="1"/>
  <c r="H214" i="2" l="1"/>
  <c r="I214" i="2" s="1"/>
  <c r="D215" i="2" s="1"/>
  <c r="G215" i="2" s="1"/>
  <c r="E215" i="2" l="1"/>
  <c r="H215" i="2" s="1"/>
  <c r="I215" i="2" s="1"/>
  <c r="D216" i="2" s="1"/>
  <c r="G216" i="2" s="1"/>
  <c r="F215" i="2" l="1"/>
  <c r="E216" i="2"/>
  <c r="F216" i="2" s="1"/>
  <c r="H216" i="2" l="1"/>
  <c r="I216" i="2" s="1"/>
  <c r="D217" i="2" s="1"/>
  <c r="G217" i="2" s="1"/>
  <c r="E217" i="2" l="1"/>
  <c r="F217" i="2" s="1"/>
  <c r="H217" i="2" l="1"/>
  <c r="I217" i="2" s="1"/>
  <c r="D218" i="2" s="1"/>
  <c r="G218" i="2" s="1"/>
  <c r="E218" i="2" l="1"/>
  <c r="H218" i="2" s="1"/>
  <c r="I218" i="2" s="1"/>
  <c r="D219" i="2" s="1"/>
  <c r="G219" i="2" s="1"/>
  <c r="F218" i="2" l="1"/>
  <c r="E219" i="2"/>
  <c r="H219" i="2" s="1"/>
  <c r="I219" i="2" s="1"/>
  <c r="D220" i="2" s="1"/>
  <c r="G220" i="2" s="1"/>
  <c r="F219" i="2" l="1"/>
  <c r="E220" i="2"/>
  <c r="H220" i="2" s="1"/>
  <c r="I220" i="2" s="1"/>
  <c r="D221" i="2" s="1"/>
  <c r="G221" i="2" s="1"/>
  <c r="F220" i="2" l="1"/>
  <c r="E221" i="2"/>
  <c r="F221" i="2" s="1"/>
  <c r="H221" i="2" l="1"/>
  <c r="I221" i="2" s="1"/>
  <c r="D222" i="2" s="1"/>
  <c r="G222" i="2" s="1"/>
  <c r="E222" i="2" l="1"/>
  <c r="F222" i="2" s="1"/>
  <c r="H222" i="2" l="1"/>
  <c r="I222" i="2" s="1"/>
  <c r="D223" i="2" s="1"/>
  <c r="G223" i="2" s="1"/>
  <c r="E223" i="2" l="1"/>
  <c r="H223" i="2" s="1"/>
  <c r="I223" i="2" s="1"/>
  <c r="D224" i="2" s="1"/>
  <c r="G224" i="2" s="1"/>
  <c r="F223" i="2" l="1"/>
  <c r="E224" i="2"/>
  <c r="F224" i="2" s="1"/>
  <c r="H224" i="2" l="1"/>
  <c r="I224" i="2" s="1"/>
  <c r="D225" i="2" s="1"/>
  <c r="G225" i="2" s="1"/>
  <c r="E225" i="2" l="1"/>
  <c r="H225" i="2" s="1"/>
  <c r="I225" i="2" s="1"/>
  <c r="D226" i="2" s="1"/>
  <c r="G226" i="2" s="1"/>
  <c r="F225" i="2" l="1"/>
  <c r="E226" i="2"/>
  <c r="F226" i="2" s="1"/>
  <c r="H226" i="2" l="1"/>
  <c r="I226" i="2" s="1"/>
  <c r="D227" i="2" s="1"/>
  <c r="G227" i="2" s="1"/>
  <c r="E227" i="2" l="1"/>
  <c r="H227" i="2" s="1"/>
  <c r="I227" i="2" s="1"/>
  <c r="D228" i="2" s="1"/>
  <c r="G228" i="2" s="1"/>
  <c r="F227" i="2" l="1"/>
  <c r="E228" i="2"/>
  <c r="H228" i="2" s="1"/>
  <c r="I228" i="2" s="1"/>
  <c r="D229" i="2" s="1"/>
  <c r="G229" i="2" s="1"/>
  <c r="F228" i="2" l="1"/>
  <c r="E229" i="2"/>
  <c r="F229" i="2" s="1"/>
  <c r="H229" i="2" l="1"/>
  <c r="I229" i="2" s="1"/>
  <c r="D230" i="2" s="1"/>
  <c r="G230" i="2" s="1"/>
  <c r="E230" i="2" l="1"/>
  <c r="F230" i="2" s="1"/>
  <c r="H230" i="2" l="1"/>
  <c r="I230" i="2" s="1"/>
  <c r="D231" i="2" s="1"/>
  <c r="G231" i="2" s="1"/>
  <c r="E231" i="2" l="1"/>
  <c r="H231" i="2" s="1"/>
  <c r="I231" i="2" s="1"/>
  <c r="D232" i="2" s="1"/>
  <c r="G232" i="2" s="1"/>
  <c r="F231" i="2" l="1"/>
  <c r="E232" i="2"/>
  <c r="F232" i="2" s="1"/>
  <c r="H232" i="2" l="1"/>
  <c r="I232" i="2" s="1"/>
  <c r="D233" i="2" s="1"/>
  <c r="G233" i="2" s="1"/>
  <c r="E233" i="2" l="1"/>
  <c r="H233" i="2" s="1"/>
  <c r="I233" i="2" s="1"/>
  <c r="D234" i="2" s="1"/>
  <c r="G234" i="2" s="1"/>
  <c r="F233" i="2" l="1"/>
  <c r="E234" i="2"/>
  <c r="F234" i="2" s="1"/>
  <c r="H234" i="2" l="1"/>
  <c r="I234" i="2" s="1"/>
  <c r="D235" i="2" s="1"/>
  <c r="G235" i="2" s="1"/>
  <c r="E235" i="2" l="1"/>
  <c r="H235" i="2" s="1"/>
  <c r="I235" i="2" s="1"/>
  <c r="D236" i="2" s="1"/>
  <c r="G236" i="2" s="1"/>
  <c r="F235" i="2" l="1"/>
  <c r="E236" i="2"/>
  <c r="H236" i="2" s="1"/>
  <c r="I236" i="2" s="1"/>
  <c r="D237" i="2" s="1"/>
  <c r="G237" i="2" s="1"/>
  <c r="F236" i="2" l="1"/>
  <c r="E237" i="2"/>
  <c r="F237" i="2" s="1"/>
  <c r="H237" i="2" l="1"/>
  <c r="I237" i="2" s="1"/>
  <c r="D238" i="2" s="1"/>
  <c r="G238" i="2" s="1"/>
  <c r="E238" i="2" l="1"/>
  <c r="F238" i="2" s="1"/>
  <c r="H238" i="2" l="1"/>
  <c r="I238" i="2" s="1"/>
  <c r="D239" i="2" s="1"/>
  <c r="G239" i="2" s="1"/>
  <c r="E239" i="2" l="1"/>
  <c r="F239" i="2" s="1"/>
  <c r="H239" i="2" l="1"/>
  <c r="I239" i="2" s="1"/>
  <c r="D240" i="2" s="1"/>
  <c r="G240" i="2" s="1"/>
  <c r="E240" i="2" l="1"/>
  <c r="F240" i="2" s="1"/>
  <c r="H240" i="2" l="1"/>
  <c r="I240" i="2" s="1"/>
  <c r="D241" i="2" s="1"/>
  <c r="G241" i="2" s="1"/>
  <c r="E241" i="2" l="1"/>
  <c r="F241" i="2" s="1"/>
  <c r="H241" i="2" l="1"/>
  <c r="I241" i="2" s="1"/>
  <c r="D242" i="2" s="1"/>
  <c r="G242" i="2" s="1"/>
  <c r="E242" i="2" l="1"/>
  <c r="F242" i="2" s="1"/>
  <c r="H242" i="2" l="1"/>
  <c r="I242" i="2" s="1"/>
  <c r="D243" i="2" s="1"/>
  <c r="G243" i="2" s="1"/>
  <c r="E243" i="2" l="1"/>
  <c r="F243" i="2" s="1"/>
  <c r="H243" i="2" l="1"/>
  <c r="I243" i="2" s="1"/>
  <c r="D244" i="2" s="1"/>
  <c r="G244" i="2" s="1"/>
  <c r="E244" i="2" l="1"/>
  <c r="F244" i="2" s="1"/>
  <c r="H244" i="2" l="1"/>
  <c r="I244" i="2" s="1"/>
  <c r="D245" i="2" s="1"/>
  <c r="G245" i="2" s="1"/>
  <c r="E245" i="2" l="1"/>
  <c r="H245" i="2" s="1"/>
  <c r="I245" i="2" s="1"/>
  <c r="D246" i="2" s="1"/>
  <c r="G246" i="2" s="1"/>
  <c r="F245" i="2" l="1"/>
  <c r="E246" i="2"/>
  <c r="F246" i="2" s="1"/>
  <c r="H246" i="2" l="1"/>
  <c r="I246" i="2" s="1"/>
  <c r="D247" i="2" s="1"/>
  <c r="G247" i="2" s="1"/>
  <c r="E247" i="2" l="1"/>
  <c r="F247" i="2" s="1"/>
  <c r="H247" i="2" l="1"/>
  <c r="I247" i="2" s="1"/>
  <c r="D248" i="2" s="1"/>
  <c r="G248" i="2" s="1"/>
  <c r="E248" i="2" l="1"/>
  <c r="H248" i="2" s="1"/>
  <c r="I248" i="2" s="1"/>
  <c r="D249" i="2" s="1"/>
  <c r="G249" i="2" s="1"/>
  <c r="F248" i="2" l="1"/>
  <c r="E249" i="2"/>
  <c r="F249" i="2" s="1"/>
  <c r="H249" i="2" l="1"/>
  <c r="I249" i="2" s="1"/>
  <c r="D250" i="2" s="1"/>
  <c r="G250" i="2" s="1"/>
  <c r="E250" i="2" l="1"/>
  <c r="F250" i="2" s="1"/>
  <c r="H250" i="2" l="1"/>
  <c r="I250" i="2" s="1"/>
  <c r="D251" i="2" s="1"/>
  <c r="G251" i="2" s="1"/>
  <c r="E251" i="2" l="1"/>
  <c r="H251" i="2" s="1"/>
  <c r="I251" i="2" s="1"/>
  <c r="D252" i="2" s="1"/>
  <c r="G252" i="2" s="1"/>
  <c r="F251" i="2" l="1"/>
  <c r="E252" i="2"/>
  <c r="H252" i="2" s="1"/>
  <c r="I252" i="2" s="1"/>
  <c r="D253" i="2" s="1"/>
  <c r="G253" i="2" s="1"/>
  <c r="F252" i="2" l="1"/>
  <c r="E253" i="2"/>
  <c r="H253" i="2" s="1"/>
  <c r="I253" i="2" s="1"/>
  <c r="D254" i="2" s="1"/>
  <c r="G254" i="2" s="1"/>
  <c r="F253" i="2" l="1"/>
  <c r="E254" i="2"/>
  <c r="H254" i="2" s="1"/>
  <c r="I254" i="2" s="1"/>
  <c r="D255" i="2" s="1"/>
  <c r="G255" i="2" s="1"/>
  <c r="F254" i="2" l="1"/>
  <c r="E255" i="2"/>
  <c r="F255" i="2" s="1"/>
  <c r="H255" i="2" l="1"/>
  <c r="I255" i="2" s="1"/>
  <c r="D256" i="2" s="1"/>
  <c r="G256" i="2" s="1"/>
  <c r="E256" i="2" l="1"/>
  <c r="H256" i="2" s="1"/>
  <c r="I256" i="2" s="1"/>
  <c r="D257" i="2" s="1"/>
  <c r="G257" i="2" s="1"/>
  <c r="F256" i="2" l="1"/>
  <c r="E257" i="2"/>
  <c r="H257" i="2" s="1"/>
  <c r="I257" i="2" s="1"/>
  <c r="D258" i="2" s="1"/>
  <c r="G258" i="2" s="1"/>
  <c r="F257" i="2" l="1"/>
  <c r="E258" i="2"/>
  <c r="F258" i="2" s="1"/>
  <c r="H258" i="2" l="1"/>
  <c r="I258" i="2" s="1"/>
  <c r="D259" i="2" s="1"/>
  <c r="G259" i="2" s="1"/>
  <c r="E259" i="2" l="1"/>
  <c r="H259" i="2" s="1"/>
  <c r="I259" i="2" s="1"/>
  <c r="D260" i="2" s="1"/>
  <c r="G260" i="2" s="1"/>
  <c r="F259" i="2" l="1"/>
  <c r="E260" i="2"/>
  <c r="F260" i="2" s="1"/>
  <c r="H260" i="2" l="1"/>
  <c r="I260" i="2" s="1"/>
  <c r="D261" i="2" s="1"/>
  <c r="G261" i="2" s="1"/>
  <c r="E261" i="2" l="1"/>
  <c r="F261" i="2" s="1"/>
  <c r="H261" i="2" l="1"/>
  <c r="I261" i="2" s="1"/>
  <c r="D262" i="2" s="1"/>
  <c r="G262" i="2" s="1"/>
  <c r="E262" i="2" l="1"/>
  <c r="F262" i="2" s="1"/>
  <c r="H262" i="2" l="1"/>
  <c r="I262" i="2" s="1"/>
  <c r="D263" i="2" s="1"/>
  <c r="G263" i="2" s="1"/>
  <c r="E263" i="2" l="1"/>
  <c r="H263" i="2" s="1"/>
  <c r="I263" i="2" s="1"/>
  <c r="D264" i="2" s="1"/>
  <c r="G264" i="2" s="1"/>
  <c r="F263" i="2" l="1"/>
  <c r="E264" i="2"/>
  <c r="H264" i="2" s="1"/>
  <c r="I264" i="2" s="1"/>
  <c r="D265" i="2" s="1"/>
  <c r="G265" i="2" s="1"/>
  <c r="F264" i="2" l="1"/>
  <c r="E265" i="2"/>
  <c r="F265" i="2" s="1"/>
  <c r="H265" i="2" l="1"/>
  <c r="I265" i="2" s="1"/>
  <c r="D266" i="2" s="1"/>
  <c r="G266" i="2" s="1"/>
  <c r="E266" i="2" l="1"/>
  <c r="H266" i="2" s="1"/>
  <c r="I266" i="2" s="1"/>
  <c r="D267" i="2" s="1"/>
  <c r="G267" i="2" s="1"/>
  <c r="F266" i="2" l="1"/>
  <c r="E267" i="2"/>
  <c r="H267" i="2" s="1"/>
  <c r="I267" i="2" s="1"/>
  <c r="D268" i="2" s="1"/>
  <c r="G268" i="2" s="1"/>
  <c r="F267" i="2" l="1"/>
  <c r="E268" i="2"/>
  <c r="F268" i="2" s="1"/>
  <c r="H268" i="2" l="1"/>
  <c r="I268" i="2" s="1"/>
  <c r="D269" i="2" s="1"/>
  <c r="G269" i="2" s="1"/>
  <c r="E269" i="2" l="1"/>
  <c r="F269" i="2" s="1"/>
  <c r="H269" i="2" l="1"/>
  <c r="I269" i="2" s="1"/>
  <c r="D270" i="2" s="1"/>
  <c r="G270" i="2" s="1"/>
  <c r="E270" i="2" l="1"/>
  <c r="F270" i="2" s="1"/>
  <c r="H270" i="2" l="1"/>
  <c r="I270" i="2" s="1"/>
  <c r="D271" i="2" s="1"/>
  <c r="G271" i="2" s="1"/>
  <c r="E271" i="2" l="1"/>
  <c r="H271" i="2" s="1"/>
  <c r="I271" i="2" s="1"/>
  <c r="D272" i="2" s="1"/>
  <c r="G272" i="2" s="1"/>
  <c r="F271" i="2" l="1"/>
  <c r="E272" i="2"/>
  <c r="H272" i="2" s="1"/>
  <c r="I272" i="2" s="1"/>
  <c r="D273" i="2" s="1"/>
  <c r="G273" i="2" s="1"/>
  <c r="F272" i="2" l="1"/>
  <c r="E273" i="2"/>
  <c r="H273" i="2" s="1"/>
  <c r="I273" i="2" s="1"/>
  <c r="D274" i="2" s="1"/>
  <c r="G274" i="2" s="1"/>
  <c r="F273" i="2" l="1"/>
  <c r="E274" i="2"/>
  <c r="H274" i="2" s="1"/>
  <c r="I274" i="2" s="1"/>
  <c r="D275" i="2" s="1"/>
  <c r="G275" i="2" s="1"/>
  <c r="F274" i="2" l="1"/>
  <c r="E275" i="2"/>
  <c r="F275" i="2" s="1"/>
  <c r="H275" i="2" l="1"/>
  <c r="I275" i="2" s="1"/>
  <c r="D276" i="2" s="1"/>
  <c r="G276" i="2" s="1"/>
  <c r="E276" i="2" l="1"/>
  <c r="H276" i="2" s="1"/>
  <c r="I276" i="2" s="1"/>
  <c r="D277" i="2" s="1"/>
  <c r="G277" i="2" s="1"/>
  <c r="F276" i="2" l="1"/>
  <c r="E277" i="2"/>
  <c r="H277" i="2" s="1"/>
  <c r="I277" i="2" s="1"/>
  <c r="D278" i="2" s="1"/>
  <c r="G278" i="2" s="1"/>
  <c r="F277" i="2" l="1"/>
  <c r="E278" i="2"/>
  <c r="F278" i="2" s="1"/>
  <c r="H278" i="2" l="1"/>
  <c r="I278" i="2" s="1"/>
  <c r="D279" i="2" s="1"/>
  <c r="G279" i="2" s="1"/>
  <c r="E279" i="2" l="1"/>
  <c r="F279" i="2" s="1"/>
  <c r="H279" i="2" l="1"/>
  <c r="I279" i="2" s="1"/>
  <c r="D280" i="2" s="1"/>
  <c r="G280" i="2" s="1"/>
  <c r="E280" i="2" l="1"/>
  <c r="F280" i="2" s="1"/>
  <c r="H280" i="2" l="1"/>
  <c r="I280" i="2" s="1"/>
  <c r="D281" i="2" s="1"/>
  <c r="G281" i="2" s="1"/>
  <c r="E281" i="2" l="1"/>
  <c r="F281" i="2" s="1"/>
  <c r="H281" i="2" l="1"/>
  <c r="I281" i="2" s="1"/>
  <c r="D282" i="2" s="1"/>
  <c r="G282" i="2" s="1"/>
  <c r="E282" i="2" l="1"/>
  <c r="F282" i="2" s="1"/>
  <c r="H282" i="2" l="1"/>
  <c r="I282" i="2" s="1"/>
  <c r="D283" i="2" s="1"/>
  <c r="G283" i="2" s="1"/>
  <c r="E283" i="2" l="1"/>
  <c r="F283" i="2" s="1"/>
  <c r="H283" i="2" l="1"/>
  <c r="I283" i="2" s="1"/>
  <c r="D284" i="2" s="1"/>
  <c r="G284" i="2" s="1"/>
  <c r="E284" i="2" l="1"/>
  <c r="H284" i="2" s="1"/>
  <c r="I284" i="2" s="1"/>
  <c r="D285" i="2" s="1"/>
  <c r="G285" i="2" s="1"/>
  <c r="F284" i="2" l="1"/>
  <c r="E285" i="2"/>
  <c r="H285" i="2" s="1"/>
  <c r="I285" i="2" s="1"/>
  <c r="D286" i="2" s="1"/>
  <c r="G286" i="2" s="1"/>
  <c r="F285" i="2" l="1"/>
  <c r="E286" i="2"/>
  <c r="H286" i="2" s="1"/>
  <c r="I286" i="2" s="1"/>
  <c r="D287" i="2" s="1"/>
  <c r="G287" i="2" s="1"/>
  <c r="F286" i="2" l="1"/>
  <c r="E287" i="2"/>
  <c r="H287" i="2" s="1"/>
  <c r="I287" i="2" s="1"/>
  <c r="D288" i="2" s="1"/>
  <c r="G288" i="2" s="1"/>
  <c r="F287" i="2" l="1"/>
  <c r="E288" i="2"/>
  <c r="H288" i="2" s="1"/>
  <c r="I288" i="2" s="1"/>
  <c r="D289" i="2" s="1"/>
  <c r="G289" i="2" s="1"/>
  <c r="F288" i="2" l="1"/>
  <c r="E289" i="2"/>
  <c r="F289" i="2" s="1"/>
  <c r="H289" i="2" l="1"/>
  <c r="I289" i="2" s="1"/>
  <c r="D290" i="2" s="1"/>
  <c r="G290" i="2" s="1"/>
  <c r="E290" i="2" l="1"/>
  <c r="F290" i="2" s="1"/>
  <c r="H290" i="2" l="1"/>
  <c r="I290" i="2" s="1"/>
  <c r="D291" i="2" s="1"/>
  <c r="G291" i="2" s="1"/>
  <c r="E291" i="2" l="1"/>
  <c r="F291" i="2" s="1"/>
  <c r="H291" i="2" l="1"/>
  <c r="I291" i="2" s="1"/>
  <c r="D292" i="2" s="1"/>
  <c r="G292" i="2" s="1"/>
  <c r="E292" i="2" l="1"/>
  <c r="H292" i="2" s="1"/>
  <c r="I292" i="2" s="1"/>
  <c r="D293" i="2" s="1"/>
  <c r="G293" i="2" s="1"/>
  <c r="F292" i="2" l="1"/>
  <c r="E293" i="2"/>
  <c r="F293" i="2" s="1"/>
  <c r="H293" i="2" l="1"/>
  <c r="I293" i="2" s="1"/>
  <c r="D294" i="2" s="1"/>
  <c r="G294" i="2" s="1"/>
  <c r="E294" i="2" l="1"/>
  <c r="F294" i="2" s="1"/>
  <c r="H294" i="2" l="1"/>
  <c r="I294" i="2" s="1"/>
  <c r="D295" i="2" s="1"/>
  <c r="G295" i="2" s="1"/>
  <c r="E295" i="2" l="1"/>
  <c r="H295" i="2" s="1"/>
  <c r="I295" i="2" s="1"/>
  <c r="D296" i="2" s="1"/>
  <c r="G296" i="2" s="1"/>
  <c r="F295" i="2" l="1"/>
  <c r="E296" i="2"/>
  <c r="F296" i="2" s="1"/>
  <c r="H296" i="2" l="1"/>
  <c r="I296" i="2" s="1"/>
  <c r="D297" i="2" s="1"/>
  <c r="G297" i="2" s="1"/>
  <c r="E297" i="2" l="1"/>
  <c r="H297" i="2" s="1"/>
  <c r="I297" i="2" s="1"/>
  <c r="D298" i="2" s="1"/>
  <c r="G298" i="2" s="1"/>
  <c r="F297" i="2" l="1"/>
  <c r="E298" i="2"/>
  <c r="F298" i="2" s="1"/>
  <c r="H298" i="2" l="1"/>
  <c r="I298" i="2" s="1"/>
  <c r="D299" i="2" s="1"/>
  <c r="G299" i="2" s="1"/>
  <c r="E299" i="2" l="1"/>
  <c r="H299" i="2" s="1"/>
  <c r="I299" i="2" s="1"/>
  <c r="D300" i="2" s="1"/>
  <c r="G300" i="2" s="1"/>
  <c r="F299" i="2" l="1"/>
  <c r="E300" i="2"/>
  <c r="H300" i="2" s="1"/>
  <c r="I300" i="2" s="1"/>
  <c r="D301" i="2" s="1"/>
  <c r="G301" i="2" s="1"/>
  <c r="F300" i="2" l="1"/>
  <c r="E301" i="2"/>
  <c r="F301" i="2" s="1"/>
  <c r="H301" i="2" l="1"/>
  <c r="I301" i="2" s="1"/>
  <c r="D302" i="2" s="1"/>
  <c r="G302" i="2" s="1"/>
  <c r="E302" i="2" l="1"/>
  <c r="F302" i="2" s="1"/>
  <c r="H302" i="2" l="1"/>
  <c r="I302" i="2" s="1"/>
  <c r="D303" i="2" s="1"/>
  <c r="G303" i="2" s="1"/>
  <c r="E303" i="2" l="1"/>
  <c r="F303" i="2" s="1"/>
  <c r="H303" i="2" l="1"/>
  <c r="I303" i="2" s="1"/>
  <c r="D304" i="2" s="1"/>
  <c r="G304" i="2" s="1"/>
  <c r="E304" i="2" l="1"/>
  <c r="H304" i="2" s="1"/>
  <c r="I304" i="2" s="1"/>
  <c r="D305" i="2" s="1"/>
  <c r="G305" i="2" s="1"/>
  <c r="F304" i="2" l="1"/>
  <c r="E305" i="2"/>
  <c r="H305" i="2" s="1"/>
  <c r="I305" i="2" s="1"/>
  <c r="D306" i="2" s="1"/>
  <c r="G306" i="2" s="1"/>
  <c r="F305" i="2" l="1"/>
  <c r="E306" i="2"/>
  <c r="F306" i="2" s="1"/>
  <c r="H306" i="2" l="1"/>
  <c r="I306" i="2" s="1"/>
  <c r="D307" i="2" s="1"/>
  <c r="G307" i="2" s="1"/>
  <c r="E307" i="2" l="1"/>
  <c r="H307" i="2" s="1"/>
  <c r="I307" i="2" s="1"/>
  <c r="D308" i="2" s="1"/>
  <c r="G308" i="2" s="1"/>
  <c r="F307" i="2" l="1"/>
  <c r="E308" i="2"/>
  <c r="F308" i="2" s="1"/>
  <c r="H308" i="2" l="1"/>
  <c r="I308" i="2" s="1"/>
  <c r="D309" i="2" s="1"/>
  <c r="G309" i="2" s="1"/>
  <c r="E309" i="2" l="1"/>
  <c r="H309" i="2" s="1"/>
  <c r="I309" i="2" s="1"/>
  <c r="D310" i="2" s="1"/>
  <c r="G310" i="2" s="1"/>
  <c r="F309" i="2" l="1"/>
  <c r="E310" i="2"/>
  <c r="H310" i="2" s="1"/>
  <c r="I310" i="2" s="1"/>
  <c r="D311" i="2" s="1"/>
  <c r="G311" i="2" s="1"/>
  <c r="F310" i="2" l="1"/>
  <c r="E311" i="2"/>
  <c r="F311" i="2" s="1"/>
  <c r="H311" i="2" l="1"/>
  <c r="I311" i="2" s="1"/>
  <c r="D312" i="2" s="1"/>
  <c r="G312" i="2" s="1"/>
  <c r="E312" i="2" l="1"/>
  <c r="F312" i="2" s="1"/>
  <c r="H312" i="2" l="1"/>
  <c r="I312" i="2" s="1"/>
  <c r="D313" i="2" s="1"/>
  <c r="G313" i="2" s="1"/>
  <c r="E313" i="2" l="1"/>
  <c r="H313" i="2" s="1"/>
  <c r="I313" i="2" s="1"/>
  <c r="D314" i="2" s="1"/>
  <c r="G314" i="2" s="1"/>
  <c r="F313" i="2" l="1"/>
  <c r="E314" i="2"/>
  <c r="F314" i="2" s="1"/>
  <c r="H314" i="2" l="1"/>
  <c r="I314" i="2" s="1"/>
  <c r="D315" i="2" s="1"/>
  <c r="G315" i="2" s="1"/>
  <c r="E315" i="2" l="1"/>
  <c r="F315" i="2" s="1"/>
  <c r="H315" i="2" l="1"/>
  <c r="I315" i="2" s="1"/>
  <c r="D316" i="2" s="1"/>
  <c r="G316" i="2" s="1"/>
  <c r="E316" i="2" l="1"/>
  <c r="F316" i="2" s="1"/>
  <c r="H316" i="2" l="1"/>
  <c r="I316" i="2" s="1"/>
  <c r="D317" i="2" s="1"/>
  <c r="G317" i="2" s="1"/>
  <c r="E317" i="2" l="1"/>
  <c r="F317" i="2" s="1"/>
  <c r="H317" i="2" l="1"/>
  <c r="I317" i="2" s="1"/>
  <c r="D318" i="2" s="1"/>
  <c r="G318" i="2" s="1"/>
  <c r="E318" i="2" l="1"/>
  <c r="F318" i="2" s="1"/>
  <c r="H318" i="2" l="1"/>
  <c r="I318" i="2" s="1"/>
  <c r="D319" i="2" s="1"/>
  <c r="G319" i="2" s="1"/>
  <c r="E319" i="2" l="1"/>
  <c r="H319" i="2" s="1"/>
  <c r="I319" i="2" s="1"/>
  <c r="D320" i="2" s="1"/>
  <c r="G320" i="2" s="1"/>
  <c r="F319" i="2" l="1"/>
  <c r="E320" i="2"/>
  <c r="F320" i="2" s="1"/>
  <c r="H320" i="2" l="1"/>
  <c r="I320" i="2" s="1"/>
  <c r="D321" i="2" s="1"/>
  <c r="G321" i="2" s="1"/>
  <c r="E321" i="2" l="1"/>
  <c r="H321" i="2" s="1"/>
  <c r="I321" i="2" s="1"/>
  <c r="D322" i="2" s="1"/>
  <c r="G322" i="2" s="1"/>
  <c r="F321" i="2" l="1"/>
  <c r="E322" i="2"/>
  <c r="F322" i="2" s="1"/>
  <c r="H322" i="2" l="1"/>
  <c r="I322" i="2" s="1"/>
  <c r="D323" i="2" s="1"/>
  <c r="G323" i="2" s="1"/>
  <c r="E323" i="2" l="1"/>
  <c r="F323" i="2" s="1"/>
  <c r="H323" i="2" l="1"/>
  <c r="I323" i="2" s="1"/>
  <c r="D324" i="2" s="1"/>
  <c r="G324" i="2" s="1"/>
  <c r="E324" i="2" l="1"/>
  <c r="H324" i="2" s="1"/>
  <c r="I324" i="2" s="1"/>
  <c r="D325" i="2" s="1"/>
  <c r="G325" i="2" s="1"/>
  <c r="F324" i="2" l="1"/>
  <c r="E325" i="2"/>
  <c r="F325" i="2" s="1"/>
  <c r="H325" i="2" l="1"/>
  <c r="I325" i="2" s="1"/>
  <c r="D326" i="2" s="1"/>
  <c r="G326" i="2" s="1"/>
  <c r="E326" i="2" l="1"/>
  <c r="F326" i="2" s="1"/>
  <c r="H326" i="2" l="1"/>
  <c r="I326" i="2" s="1"/>
  <c r="D327" i="2" s="1"/>
  <c r="G327" i="2" s="1"/>
  <c r="E327" i="2" l="1"/>
  <c r="H327" i="2" s="1"/>
  <c r="I327" i="2" s="1"/>
  <c r="D328" i="2" s="1"/>
  <c r="G328" i="2" s="1"/>
  <c r="F327" i="2" l="1"/>
  <c r="E328" i="2"/>
  <c r="F328" i="2" s="1"/>
  <c r="H328" i="2" l="1"/>
  <c r="I328" i="2" s="1"/>
  <c r="D329" i="2" s="1"/>
  <c r="G329" i="2" s="1"/>
  <c r="E329" i="2" l="1"/>
  <c r="H329" i="2" s="1"/>
  <c r="I329" i="2" s="1"/>
  <c r="D330" i="2" s="1"/>
  <c r="G330" i="2" s="1"/>
  <c r="F329" i="2" l="1"/>
  <c r="E330" i="2"/>
  <c r="F330" i="2" s="1"/>
  <c r="H330" i="2" l="1"/>
  <c r="I330" i="2" s="1"/>
  <c r="D331" i="2" s="1"/>
  <c r="G331" i="2" s="1"/>
  <c r="E331" i="2" l="1"/>
  <c r="H331" i="2" s="1"/>
  <c r="I331" i="2" s="1"/>
  <c r="D332" i="2" s="1"/>
  <c r="G332" i="2" s="1"/>
  <c r="F331" i="2" l="1"/>
  <c r="E332" i="2"/>
  <c r="F332" i="2" s="1"/>
  <c r="H332" i="2" l="1"/>
  <c r="I332" i="2" s="1"/>
  <c r="D333" i="2" s="1"/>
  <c r="G333" i="2" s="1"/>
  <c r="E333" i="2" l="1"/>
  <c r="F333" i="2" s="1"/>
  <c r="H333" i="2" l="1"/>
  <c r="I333" i="2" s="1"/>
  <c r="D334" i="2" s="1"/>
  <c r="G334" i="2" s="1"/>
  <c r="E334" i="2" l="1"/>
  <c r="F334" i="2" s="1"/>
  <c r="H334" i="2" l="1"/>
  <c r="I334" i="2" s="1"/>
  <c r="D335" i="2" s="1"/>
  <c r="G335" i="2" s="1"/>
  <c r="E335" i="2" l="1"/>
  <c r="H335" i="2" s="1"/>
  <c r="I335" i="2" s="1"/>
  <c r="D336" i="2" s="1"/>
  <c r="G336" i="2" s="1"/>
  <c r="F335" i="2" l="1"/>
  <c r="E336" i="2"/>
  <c r="H336" i="2" s="1"/>
  <c r="I336" i="2" s="1"/>
  <c r="D337" i="2" s="1"/>
  <c r="G337" i="2" s="1"/>
  <c r="F336" i="2" l="1"/>
  <c r="E337" i="2"/>
  <c r="F337" i="2" s="1"/>
  <c r="H337" i="2" l="1"/>
  <c r="I337" i="2" s="1"/>
  <c r="D338" i="2" s="1"/>
  <c r="G338" i="2" s="1"/>
  <c r="E338" i="2" l="1"/>
  <c r="F338" i="2" s="1"/>
  <c r="H338" i="2" l="1"/>
  <c r="I338" i="2" s="1"/>
  <c r="D339" i="2" s="1"/>
  <c r="G339" i="2" s="1"/>
  <c r="E339" i="2" l="1"/>
  <c r="F339" i="2" s="1"/>
  <c r="H339" i="2" l="1"/>
  <c r="I339" i="2" s="1"/>
  <c r="D340" i="2" s="1"/>
  <c r="G340" i="2" s="1"/>
  <c r="E340" i="2" l="1"/>
  <c r="F340" i="2" s="1"/>
  <c r="H340" i="2" l="1"/>
  <c r="I340" i="2" s="1"/>
  <c r="D341" i="2" s="1"/>
  <c r="G341" i="2" s="1"/>
  <c r="E341" i="2" l="1"/>
  <c r="H341" i="2" s="1"/>
  <c r="I341" i="2" s="1"/>
  <c r="D342" i="2" s="1"/>
  <c r="G342" i="2" s="1"/>
  <c r="F341" i="2" l="1"/>
  <c r="E342" i="2"/>
  <c r="F342" i="2" s="1"/>
  <c r="H342" i="2" l="1"/>
  <c r="I342" i="2" s="1"/>
  <c r="D343" i="2" s="1"/>
  <c r="G343" i="2" s="1"/>
  <c r="E343" i="2" l="1"/>
  <c r="H343" i="2" s="1"/>
  <c r="I343" i="2" s="1"/>
  <c r="D344" i="2" s="1"/>
  <c r="G344" i="2" s="1"/>
  <c r="F343" i="2" l="1"/>
  <c r="E344" i="2"/>
  <c r="F344" i="2" s="1"/>
  <c r="H344" i="2" l="1"/>
  <c r="I344" i="2" s="1"/>
  <c r="D345" i="2" s="1"/>
  <c r="G345" i="2" s="1"/>
  <c r="E345" i="2" l="1"/>
  <c r="H345" i="2" s="1"/>
  <c r="I345" i="2" s="1"/>
  <c r="D346" i="2" s="1"/>
  <c r="G346" i="2" s="1"/>
  <c r="F345" i="2" l="1"/>
  <c r="E346" i="2"/>
  <c r="F346" i="2" s="1"/>
  <c r="H346" i="2" l="1"/>
  <c r="I346" i="2" s="1"/>
  <c r="D347" i="2" s="1"/>
  <c r="G347" i="2" s="1"/>
  <c r="E347" i="2" l="1"/>
  <c r="F347" i="2" s="1"/>
  <c r="H347" i="2" l="1"/>
  <c r="I347" i="2" s="1"/>
  <c r="D348" i="2" s="1"/>
  <c r="G348" i="2" s="1"/>
  <c r="E348" i="2" l="1"/>
  <c r="F348" i="2" s="1"/>
  <c r="H348" i="2" l="1"/>
  <c r="I348" i="2" s="1"/>
  <c r="D349" i="2" s="1"/>
  <c r="G349" i="2" s="1"/>
  <c r="E349" i="2" l="1"/>
  <c r="H349" i="2" s="1"/>
  <c r="I349" i="2" s="1"/>
  <c r="D350" i="2" s="1"/>
  <c r="G350" i="2" s="1"/>
  <c r="F349" i="2" l="1"/>
  <c r="E350" i="2"/>
  <c r="H350" i="2" s="1"/>
  <c r="I350" i="2" s="1"/>
  <c r="D351" i="2" s="1"/>
  <c r="G351" i="2" s="1"/>
  <c r="F350" i="2" l="1"/>
  <c r="E351" i="2"/>
  <c r="F351" i="2" s="1"/>
  <c r="H351" i="2" l="1"/>
  <c r="I351" i="2" s="1"/>
  <c r="D352" i="2" s="1"/>
  <c r="G352" i="2" s="1"/>
  <c r="E352" i="2" l="1"/>
  <c r="F352" i="2" s="1"/>
  <c r="H352" i="2" l="1"/>
  <c r="I352" i="2" s="1"/>
  <c r="D353" i="2" s="1"/>
  <c r="G353" i="2" s="1"/>
  <c r="E353" i="2" l="1"/>
  <c r="H353" i="2" s="1"/>
  <c r="I353" i="2" s="1"/>
  <c r="D354" i="2" s="1"/>
  <c r="G354" i="2" s="1"/>
  <c r="F353" i="2" l="1"/>
  <c r="E354" i="2"/>
  <c r="F354" i="2" s="1"/>
  <c r="H354" i="2" l="1"/>
  <c r="I354" i="2" s="1"/>
  <c r="D355" i="2" s="1"/>
  <c r="G355" i="2" s="1"/>
  <c r="E355" i="2" l="1"/>
  <c r="F355" i="2" s="1"/>
  <c r="H355" i="2" l="1"/>
  <c r="I355" i="2" s="1"/>
  <c r="D356" i="2" s="1"/>
  <c r="G356" i="2" s="1"/>
  <c r="E356" i="2" l="1"/>
  <c r="F356" i="2" s="1"/>
  <c r="H356" i="2" l="1"/>
  <c r="I356" i="2" s="1"/>
  <c r="D357" i="2" s="1"/>
  <c r="G357" i="2" s="1"/>
  <c r="E357" i="2" l="1"/>
  <c r="F357" i="2" s="1"/>
  <c r="H357" i="2" l="1"/>
  <c r="I357" i="2" s="1"/>
  <c r="D358" i="2" s="1"/>
  <c r="G358" i="2" s="1"/>
  <c r="E358" i="2" l="1"/>
  <c r="H358" i="2" s="1"/>
  <c r="I358" i="2" s="1"/>
  <c r="D359" i="2" s="1"/>
  <c r="G359" i="2" s="1"/>
  <c r="F358" i="2" l="1"/>
  <c r="E359" i="2"/>
  <c r="H359" i="2" s="1"/>
  <c r="I359" i="2" s="1"/>
  <c r="D360" i="2" s="1"/>
  <c r="G360" i="2" s="1"/>
  <c r="F359" i="2" l="1"/>
  <c r="E360" i="2"/>
  <c r="F360" i="2" s="1"/>
  <c r="H360" i="2" l="1"/>
  <c r="I360" i="2" s="1"/>
  <c r="D361" i="2" s="1"/>
  <c r="G361" i="2" s="1"/>
  <c r="E361" i="2" l="1"/>
  <c r="F361" i="2" s="1"/>
  <c r="H361" i="2" l="1"/>
  <c r="I361" i="2" s="1"/>
  <c r="D362" i="2" s="1"/>
  <c r="G362" i="2" s="1"/>
  <c r="E362" i="2" l="1"/>
  <c r="F362" i="2" s="1"/>
  <c r="H362" i="2" l="1"/>
  <c r="I362" i="2" s="1"/>
</calcChain>
</file>

<file path=xl/sharedStrings.xml><?xml version="1.0" encoding="utf-8"?>
<sst xmlns="http://schemas.openxmlformats.org/spreadsheetml/2006/main" count="207" uniqueCount="104">
  <si>
    <t>Property Name</t>
  </si>
  <si>
    <t>Property Type</t>
  </si>
  <si>
    <t>Units</t>
  </si>
  <si>
    <t>Year Built</t>
  </si>
  <si>
    <t>Occupancy rate</t>
  </si>
  <si>
    <t>Market</t>
  </si>
  <si>
    <t>Average Unit Side</t>
  </si>
  <si>
    <t>Test Property 1</t>
  </si>
  <si>
    <t>Garden Style Multifamily</t>
  </si>
  <si>
    <t>Secondary metro, growing pop</t>
  </si>
  <si>
    <t>900 Sq Ft</t>
  </si>
  <si>
    <t>Income Assumptions</t>
  </si>
  <si>
    <t>Property Overview</t>
  </si>
  <si>
    <t>Average In-place rent</t>
  </si>
  <si>
    <t>Market Rent</t>
  </si>
  <si>
    <t>Economic Vacancy</t>
  </si>
  <si>
    <t>Annual rent growth</t>
  </si>
  <si>
    <t>Other income (as a % of gross potential rent)</t>
  </si>
  <si>
    <t>Operating Expenses</t>
  </si>
  <si>
    <t>Reparis &amp; maintenance</t>
  </si>
  <si>
    <t>payroll &amp; admin</t>
  </si>
  <si>
    <t>Utilities</t>
  </si>
  <si>
    <t>management fee</t>
  </si>
  <si>
    <t>insurance</t>
  </si>
  <si>
    <t>replacement reserves</t>
  </si>
  <si>
    <t>As a % of EGI</t>
  </si>
  <si>
    <t>Property taxes (as a % of purchase price)</t>
  </si>
  <si>
    <t>$ Per unit per year</t>
  </si>
  <si>
    <t>Acquisition assumptions</t>
  </si>
  <si>
    <t>Debt Terms</t>
  </si>
  <si>
    <t>Minimum DSCR</t>
  </si>
  <si>
    <t>Maximum LTV</t>
  </si>
  <si>
    <t>Minimum Debt Yield</t>
  </si>
  <si>
    <t>Property DSCR</t>
  </si>
  <si>
    <t>Property LTV</t>
  </si>
  <si>
    <t>Property Debt Yield</t>
  </si>
  <si>
    <t>month</t>
  </si>
  <si>
    <t>PMT</t>
  </si>
  <si>
    <t>After pmt mortgage amount</t>
  </si>
  <si>
    <t>Interest amount</t>
  </si>
  <si>
    <t>Interest Rate (annual)</t>
  </si>
  <si>
    <t>Principal paid</t>
  </si>
  <si>
    <t>Fixed or Adjustable rate</t>
  </si>
  <si>
    <t>ARM Mode Enabled?</t>
  </si>
  <si>
    <t>Green = Yes             Red = No</t>
  </si>
  <si>
    <t>Month of adjustment</t>
  </si>
  <si>
    <t>New annual rate</t>
  </si>
  <si>
    <t>ARM Adjustment check</t>
  </si>
  <si>
    <t>Interest rate</t>
  </si>
  <si>
    <t>Amortization Length</t>
  </si>
  <si>
    <t>Loan Length</t>
  </si>
  <si>
    <t>Beginning Balance</t>
  </si>
  <si>
    <t>End of Month Balance</t>
  </si>
  <si>
    <t>Year 1 Financials</t>
  </si>
  <si>
    <t>Year 2 Financials</t>
  </si>
  <si>
    <t>Year 3 Financials</t>
  </si>
  <si>
    <t>Year 4 Financials</t>
  </si>
  <si>
    <t>Custom Amort and Loan Length Inputs</t>
  </si>
  <si>
    <t>Vacancy Loss</t>
  </si>
  <si>
    <t>Effective Rental Income</t>
  </si>
  <si>
    <t>Other Income</t>
  </si>
  <si>
    <t>Gross Potential Rent</t>
  </si>
  <si>
    <t>Effective Gross Income</t>
  </si>
  <si>
    <t>Income</t>
  </si>
  <si>
    <t>Expenses</t>
  </si>
  <si>
    <t>Repairs &amp; Maintenance</t>
  </si>
  <si>
    <t>Payroll &amp; Admin</t>
  </si>
  <si>
    <t>Management Fees</t>
  </si>
  <si>
    <t>Variable Expenses</t>
  </si>
  <si>
    <t>Insurance</t>
  </si>
  <si>
    <t>Replacement Reserves</t>
  </si>
  <si>
    <t>Fixed Per Unit Expenses</t>
  </si>
  <si>
    <t>Taxes</t>
  </si>
  <si>
    <t>Loan Maturity Month</t>
  </si>
  <si>
    <t>balloon payment</t>
  </si>
  <si>
    <t>Select Custom Inputs in B25 and E25 to enable</t>
  </si>
  <si>
    <t>Custom Loan Length (months)</t>
  </si>
  <si>
    <t>Custom Amortization Period (months)</t>
  </si>
  <si>
    <t>Loan Details</t>
  </si>
  <si>
    <t>Balloon Payment</t>
  </si>
  <si>
    <t>Monthly Payment (ignoring interest rate changes)</t>
  </si>
  <si>
    <t>Limits On Loan</t>
  </si>
  <si>
    <t>Maximum Loan for property</t>
  </si>
  <si>
    <t>Property Income</t>
  </si>
  <si>
    <t>Gross Potential Rent (historic)</t>
  </si>
  <si>
    <t>Annual Payments (monthly payment * 12)</t>
  </si>
  <si>
    <t>Net Operating Income</t>
  </si>
  <si>
    <t>Loan Amount</t>
  </si>
  <si>
    <t>Down Payment</t>
  </si>
  <si>
    <t>ARM Rate Adjustments</t>
  </si>
  <si>
    <t>Tax Rate</t>
  </si>
  <si>
    <t>Total Debt Service for year 1</t>
  </si>
  <si>
    <t>Appraised Value</t>
  </si>
  <si>
    <t>Purchase Price (including fees)</t>
  </si>
  <si>
    <t>Debt Service</t>
  </si>
  <si>
    <t>ARM</t>
  </si>
  <si>
    <t>Trailing 12 Months</t>
  </si>
  <si>
    <t>DSCR</t>
  </si>
  <si>
    <t>Per Unit expense growth</t>
  </si>
  <si>
    <t>Prepayment of Loan In $ (manual input to adjust for  prepayment of loan)</t>
  </si>
  <si>
    <t>Tax Expense Growth Rate</t>
  </si>
  <si>
    <t>Stress Test Debt</t>
  </si>
  <si>
    <t>Stress Test Inputs</t>
  </si>
  <si>
    <t>Debt Terms do NOT match input data unless specifically changed to the  same value, all other terms will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</si>
</sst>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0.00&quot;x&quot;"/>
    <numFmt numFmtId="165" formatCode="0&quot; Years&quot;"/>
    <numFmt numFmtId="166" formatCode="0&quot; Year&quot;"/>
    <numFmt numFmtId="167" formatCode="_(&quot;$&quot;* #,##0_);_(&quot;$&quot;* \(#,##0\);_(&quot;$&quot;* &quot;-&quot;??_);_(@_)"/>
    <numFmt numFmtId="168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9" fontId="0" fillId="2" borderId="3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44" fontId="0" fillId="0" borderId="0" xfId="1" applyFont="1"/>
    <xf numFmtId="10" fontId="0" fillId="0" borderId="0" xfId="2" applyNumberFormat="1" applyFont="1"/>
    <xf numFmtId="44" fontId="0" fillId="0" borderId="0" xfId="0" applyNumberFormat="1"/>
    <xf numFmtId="1" fontId="0" fillId="0" borderId="0" xfId="0" applyNumberFormat="1"/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5" fillId="0" borderId="0" xfId="0" applyFont="1"/>
    <xf numFmtId="0" fontId="0" fillId="0" borderId="6" xfId="0" applyBorder="1"/>
    <xf numFmtId="44" fontId="0" fillId="0" borderId="6" xfId="0" applyNumberFormat="1" applyBorder="1"/>
    <xf numFmtId="0" fontId="2" fillId="0" borderId="0" xfId="0" applyFont="1"/>
    <xf numFmtId="167" fontId="0" fillId="0" borderId="0" xfId="0" applyNumberFormat="1"/>
    <xf numFmtId="167" fontId="0" fillId="0" borderId="0" xfId="1" applyNumberFormat="1" applyFont="1" applyFill="1"/>
    <xf numFmtId="167" fontId="0" fillId="0" borderId="0" xfId="1" applyNumberFormat="1" applyFont="1"/>
    <xf numFmtId="0" fontId="0" fillId="0" borderId="5" xfId="0" applyBorder="1"/>
    <xf numFmtId="0" fontId="0" fillId="0" borderId="7" xfId="0" applyBorder="1"/>
    <xf numFmtId="0" fontId="0" fillId="0" borderId="8" xfId="0" applyBorder="1"/>
    <xf numFmtId="167" fontId="0" fillId="0" borderId="9" xfId="1" applyNumberFormat="1" applyFont="1" applyBorder="1"/>
    <xf numFmtId="2" fontId="0" fillId="0" borderId="0" xfId="0" applyNumberFormat="1"/>
    <xf numFmtId="44" fontId="0" fillId="2" borderId="8" xfId="1" applyFont="1" applyFill="1" applyBorder="1" applyAlignment="1">
      <alignment horizontal="center"/>
    </xf>
    <xf numFmtId="44" fontId="0" fillId="2" borderId="9" xfId="1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4" fontId="0" fillId="2" borderId="8" xfId="1" applyFont="1" applyFill="1" applyBorder="1" applyAlignment="1">
      <alignment horizontal="center"/>
    </xf>
    <xf numFmtId="44" fontId="0" fillId="2" borderId="9" xfId="1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0" xfId="0" applyFill="1"/>
    <xf numFmtId="0" fontId="5" fillId="3" borderId="0" xfId="0" applyFont="1" applyFill="1"/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wrapText="1"/>
    </xf>
    <xf numFmtId="0" fontId="4" fillId="3" borderId="0" xfId="0" applyFont="1" applyFill="1"/>
    <xf numFmtId="0" fontId="0" fillId="3" borderId="0" xfId="0" applyFill="1" applyAlignment="1">
      <alignment horizontal="center"/>
    </xf>
    <xf numFmtId="44" fontId="0" fillId="3" borderId="0" xfId="0" applyNumberFormat="1" applyFill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1" fontId="0" fillId="4" borderId="5" xfId="0" applyNumberFormat="1" applyFill="1" applyBorder="1"/>
    <xf numFmtId="10" fontId="0" fillId="4" borderId="7" xfId="2" applyNumberFormat="1" applyFont="1" applyFill="1" applyBorder="1"/>
    <xf numFmtId="1" fontId="0" fillId="4" borderId="10" xfId="0" applyNumberFormat="1" applyFill="1" applyBorder="1"/>
    <xf numFmtId="10" fontId="0" fillId="4" borderId="11" xfId="2" applyNumberFormat="1" applyFont="1" applyFill="1" applyBorder="1"/>
    <xf numFmtId="1" fontId="0" fillId="4" borderId="8" xfId="0" applyNumberFormat="1" applyFill="1" applyBorder="1"/>
    <xf numFmtId="10" fontId="0" fillId="4" borderId="9" xfId="2" applyNumberFormat="1" applyFont="1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6" xfId="0" applyFill="1" applyBorder="1" applyAlignment="1">
      <alignment horizontal="center"/>
    </xf>
    <xf numFmtId="10" fontId="0" fillId="2" borderId="8" xfId="2" applyNumberFormat="1" applyFont="1" applyFill="1" applyBorder="1" applyAlignment="1">
      <alignment horizontal="center"/>
    </xf>
    <xf numFmtId="10" fontId="0" fillId="2" borderId="3" xfId="2" applyNumberFormat="1" applyFont="1" applyFill="1" applyBorder="1" applyAlignment="1">
      <alignment horizontal="center"/>
    </xf>
    <xf numFmtId="10" fontId="0" fillId="2" borderId="8" xfId="2" applyNumberFormat="1" applyFont="1" applyFill="1" applyBorder="1" applyAlignment="1">
      <alignment horizontal="center"/>
    </xf>
    <xf numFmtId="10" fontId="0" fillId="2" borderId="9" xfId="2" applyNumberFormat="1" applyFont="1" applyFill="1" applyBorder="1" applyAlignment="1">
      <alignment horizontal="center"/>
    </xf>
    <xf numFmtId="44" fontId="0" fillId="2" borderId="4" xfId="1" applyFont="1" applyFill="1" applyBorder="1" applyAlignment="1">
      <alignment horizontal="center"/>
    </xf>
    <xf numFmtId="9" fontId="0" fillId="2" borderId="3" xfId="1" applyNumberFormat="1" applyFont="1" applyFill="1" applyBorder="1" applyAlignment="1">
      <alignment horizontal="center"/>
    </xf>
    <xf numFmtId="0" fontId="6" fillId="2" borderId="12" xfId="0" applyFont="1" applyFill="1" applyBorder="1" applyAlignment="1">
      <alignment horizontal="right"/>
    </xf>
    <xf numFmtId="0" fontId="6" fillId="2" borderId="13" xfId="0" applyFont="1" applyFill="1" applyBorder="1" applyAlignment="1">
      <alignment horizontal="right"/>
    </xf>
    <xf numFmtId="0" fontId="0" fillId="2" borderId="1" xfId="0" applyFill="1" applyBorder="1"/>
    <xf numFmtId="9" fontId="0" fillId="2" borderId="8" xfId="0" applyNumberFormat="1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9" fontId="0" fillId="2" borderId="9" xfId="0" applyNumberFormat="1" applyFill="1" applyBorder="1" applyAlignment="1">
      <alignment horizontal="center"/>
    </xf>
    <xf numFmtId="10" fontId="0" fillId="2" borderId="9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6" fontId="0" fillId="2" borderId="8" xfId="0" applyNumberFormat="1" applyFill="1" applyBorder="1" applyAlignment="1">
      <alignment horizontal="center"/>
    </xf>
    <xf numFmtId="10" fontId="0" fillId="2" borderId="4" xfId="2" applyNumberFormat="1" applyFon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9" fontId="0" fillId="2" borderId="9" xfId="0" applyNumberFormat="1" applyFill="1" applyBorder="1" applyAlignment="1">
      <alignment horizontal="center"/>
    </xf>
    <xf numFmtId="0" fontId="0" fillId="5" borderId="0" xfId="0" applyFill="1"/>
    <xf numFmtId="0" fontId="0" fillId="2" borderId="6" xfId="0" applyFill="1" applyBorder="1" applyAlignment="1">
      <alignment horizontal="center"/>
    </xf>
    <xf numFmtId="10" fontId="0" fillId="2" borderId="9" xfId="2" applyNumberFormat="1" applyFont="1" applyFill="1" applyBorder="1" applyAlignment="1">
      <alignment horizontal="center"/>
    </xf>
    <xf numFmtId="44" fontId="0" fillId="2" borderId="4" xfId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0" fillId="5" borderId="0" xfId="0" applyFill="1" applyAlignment="1">
      <alignment horizontal="center" wrapText="1"/>
    </xf>
    <xf numFmtId="0" fontId="5" fillId="5" borderId="0" xfId="0" applyFont="1" applyFill="1"/>
    <xf numFmtId="0" fontId="4" fillId="5" borderId="0" xfId="0" applyFont="1" applyFill="1"/>
    <xf numFmtId="167" fontId="0" fillId="5" borderId="0" xfId="0" applyNumberFormat="1" applyFill="1"/>
    <xf numFmtId="44" fontId="0" fillId="5" borderId="0" xfId="1" applyFont="1" applyFill="1"/>
    <xf numFmtId="0" fontId="0" fillId="5" borderId="0" xfId="0" applyFill="1" applyAlignment="1">
      <alignment horizontal="center"/>
    </xf>
    <xf numFmtId="44" fontId="0" fillId="5" borderId="0" xfId="0" applyNumberFormat="1" applyFill="1" applyAlignment="1">
      <alignment horizontal="center"/>
    </xf>
    <xf numFmtId="0" fontId="8" fillId="5" borderId="0" xfId="0" applyFont="1" applyFill="1"/>
    <xf numFmtId="0" fontId="6" fillId="2" borderId="12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9" fontId="0" fillId="2" borderId="8" xfId="2" applyFont="1" applyFill="1" applyBorder="1" applyAlignment="1">
      <alignment horizontal="center"/>
    </xf>
    <xf numFmtId="168" fontId="0" fillId="2" borderId="8" xfId="2" applyNumberFormat="1" applyFont="1" applyFill="1" applyBorder="1" applyAlignment="1">
      <alignment horizontal="center"/>
    </xf>
    <xf numFmtId="167" fontId="0" fillId="2" borderId="8" xfId="1" applyNumberFormat="1" applyFont="1" applyFill="1" applyBorder="1" applyAlignment="1">
      <alignment horizontal="center"/>
    </xf>
    <xf numFmtId="0" fontId="0" fillId="6" borderId="1" xfId="0" applyFill="1" applyBorder="1"/>
    <xf numFmtId="167" fontId="0" fillId="6" borderId="1" xfId="0" applyNumberFormat="1" applyFill="1" applyBorder="1"/>
    <xf numFmtId="10" fontId="0" fillId="6" borderId="1" xfId="0" applyNumberFormat="1" applyFill="1" applyBorder="1"/>
    <xf numFmtId="1" fontId="0" fillId="6" borderId="1" xfId="0" applyNumberFormat="1" applyFill="1" applyBorder="1"/>
    <xf numFmtId="167" fontId="0" fillId="6" borderId="1" xfId="1" applyNumberFormat="1" applyFont="1" applyFill="1" applyBorder="1"/>
    <xf numFmtId="10" fontId="0" fillId="6" borderId="1" xfId="2" applyNumberFormat="1" applyFont="1" applyFill="1" applyBorder="1"/>
    <xf numFmtId="0" fontId="0" fillId="6" borderId="5" xfId="0" applyFill="1" applyBorder="1"/>
    <xf numFmtId="0" fontId="0" fillId="6" borderId="7" xfId="0" applyFill="1" applyBorder="1"/>
    <xf numFmtId="0" fontId="0" fillId="6" borderId="8" xfId="0" applyFill="1" applyBorder="1"/>
    <xf numFmtId="167" fontId="0" fillId="6" borderId="9" xfId="1" applyNumberFormat="1" applyFont="1" applyFill="1" applyBorder="1"/>
    <xf numFmtId="9" fontId="0" fillId="2" borderId="4" xfId="2" applyFont="1" applyFill="1" applyBorder="1" applyAlignment="1">
      <alignment horizontal="center"/>
    </xf>
    <xf numFmtId="9" fontId="0" fillId="2" borderId="9" xfId="2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 wrapText="1"/>
    </xf>
  </cellXfs>
  <cellStyles count="3">
    <cellStyle name="Currency" xfId="1" builtinId="4"/>
    <cellStyle name="Normal" xfId="0" builtinId="0"/>
    <cellStyle name="Percent" xfId="2" builtinId="5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G68"/>
  <sheetViews>
    <sheetView showGridLines="0" zoomScaleNormal="100" workbookViewId="0">
      <selection activeCell="B2" sqref="B2"/>
    </sheetView>
  </sheetViews>
  <sheetFormatPr defaultColWidth="9.28515625" defaultRowHeight="15" x14ac:dyDescent="0.25"/>
  <cols>
    <col min="2" max="2" width="28.7109375" bestFit="1" customWidth="1"/>
    <col min="3" max="3" width="23.42578125" bestFit="1" customWidth="1"/>
    <col min="4" max="4" width="20.5703125" bestFit="1" customWidth="1"/>
    <col min="5" max="5" width="19.42578125" bestFit="1" customWidth="1"/>
    <col min="6" max="6" width="18.7109375" customWidth="1"/>
    <col min="7" max="7" width="18.28515625" customWidth="1"/>
    <col min="8" max="8" width="18.42578125" bestFit="1" customWidth="1"/>
    <col min="9" max="9" width="16.85546875" bestFit="1" customWidth="1"/>
    <col min="10" max="10" width="6" customWidth="1"/>
    <col min="11" max="11" width="16.85546875" customWidth="1"/>
    <col min="13" max="13" width="34.5703125" customWidth="1"/>
    <col min="14" max="14" width="20" bestFit="1" customWidth="1"/>
    <col min="15" max="15" width="9.5703125" customWidth="1"/>
    <col min="17" max="17" width="39.7109375" bestFit="1" customWidth="1"/>
    <col min="18" max="18" width="15.7109375" bestFit="1" customWidth="1"/>
    <col min="19" max="19" width="2.42578125" hidden="1" customWidth="1"/>
    <col min="20" max="20" width="0.85546875" hidden="1" customWidth="1"/>
    <col min="21" max="21" width="39.7109375" bestFit="1" customWidth="1"/>
    <col min="22" max="22" width="13.85546875" bestFit="1" customWidth="1"/>
  </cols>
  <sheetData>
    <row r="1" spans="1:33" ht="23.25" x14ac:dyDescent="0.35">
      <c r="A1" s="35"/>
      <c r="B1" s="34" t="s">
        <v>12</v>
      </c>
      <c r="C1" s="34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</row>
    <row r="2" spans="1:33" ht="15.75" x14ac:dyDescent="0.25">
      <c r="A2" s="35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28" t="s">
        <v>5</v>
      </c>
      <c r="H2" s="29"/>
      <c r="I2" s="3" t="s">
        <v>6</v>
      </c>
      <c r="J2" s="28" t="s">
        <v>92</v>
      </c>
      <c r="K2" s="29"/>
      <c r="L2" s="35"/>
      <c r="M2" s="36" t="s">
        <v>57</v>
      </c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</row>
    <row r="3" spans="1:33" x14ac:dyDescent="0.25">
      <c r="A3" s="35"/>
      <c r="B3" s="4" t="s">
        <v>7</v>
      </c>
      <c r="C3" s="4" t="s">
        <v>8</v>
      </c>
      <c r="D3" s="4">
        <v>96</v>
      </c>
      <c r="E3" s="4">
        <v>1998</v>
      </c>
      <c r="F3" s="5">
        <v>0.93</v>
      </c>
      <c r="G3" s="32" t="s">
        <v>9</v>
      </c>
      <c r="H3" s="33"/>
      <c r="I3" s="6" t="s">
        <v>10</v>
      </c>
      <c r="J3" s="30">
        <v>16800000</v>
      </c>
      <c r="K3" s="31"/>
      <c r="L3" s="35"/>
      <c r="M3" s="63" t="s">
        <v>75</v>
      </c>
      <c r="N3" s="64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</row>
    <row r="4" spans="1:33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65" t="s">
        <v>76</v>
      </c>
      <c r="N4" s="65">
        <v>22</v>
      </c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</row>
    <row r="5" spans="1:33" x14ac:dyDescent="0.2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65" t="s">
        <v>77</v>
      </c>
      <c r="N5" s="65">
        <v>25</v>
      </c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</row>
    <row r="6" spans="1:33" ht="23.25" x14ac:dyDescent="0.35">
      <c r="A6" s="35"/>
      <c r="B6" s="37" t="s">
        <v>11</v>
      </c>
      <c r="C6" s="37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25">
      <c r="A7" s="35"/>
      <c r="B7" s="11" t="s">
        <v>13</v>
      </c>
      <c r="C7" s="11" t="s">
        <v>14</v>
      </c>
      <c r="D7" s="3" t="s">
        <v>15</v>
      </c>
      <c r="E7" s="28" t="s">
        <v>17</v>
      </c>
      <c r="F7" s="56"/>
      <c r="G7" s="29"/>
      <c r="H7" s="12" t="s">
        <v>16</v>
      </c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</row>
    <row r="8" spans="1:33" x14ac:dyDescent="0.25">
      <c r="A8" s="35"/>
      <c r="B8" s="26">
        <v>1425</v>
      </c>
      <c r="C8" s="26">
        <v>1500</v>
      </c>
      <c r="D8" s="5">
        <v>7.0000000000000007E-2</v>
      </c>
      <c r="E8" s="66">
        <v>0.03</v>
      </c>
      <c r="F8" s="67"/>
      <c r="G8" s="68"/>
      <c r="H8" s="69">
        <v>2.75E-2</v>
      </c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</row>
    <row r="9" spans="1:33" x14ac:dyDescent="0.25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</row>
    <row r="10" spans="1:33" ht="23.25" x14ac:dyDescent="0.35">
      <c r="A10" s="35"/>
      <c r="B10" s="37" t="s">
        <v>18</v>
      </c>
      <c r="C10" s="37"/>
      <c r="D10" s="35" t="s">
        <v>25</v>
      </c>
      <c r="E10" s="35"/>
      <c r="F10" s="35"/>
      <c r="G10" s="35"/>
      <c r="H10" s="35" t="s">
        <v>27</v>
      </c>
      <c r="I10" s="35"/>
      <c r="J10" s="35"/>
      <c r="K10" s="35"/>
      <c r="L10" s="35"/>
      <c r="M10" s="38" t="s">
        <v>43</v>
      </c>
      <c r="N10" s="38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</row>
    <row r="11" spans="1:33" x14ac:dyDescent="0.25">
      <c r="A11" s="35"/>
      <c r="B11" s="11" t="s">
        <v>19</v>
      </c>
      <c r="C11" s="3" t="s">
        <v>20</v>
      </c>
      <c r="D11" s="3" t="s">
        <v>21</v>
      </c>
      <c r="E11" s="3" t="s">
        <v>22</v>
      </c>
      <c r="F11" s="28" t="s">
        <v>26</v>
      </c>
      <c r="G11" s="29"/>
      <c r="H11" s="12" t="s">
        <v>23</v>
      </c>
      <c r="I11" s="28" t="s">
        <v>24</v>
      </c>
      <c r="J11" s="56"/>
      <c r="K11" s="3" t="s">
        <v>90</v>
      </c>
      <c r="L11" s="35"/>
      <c r="M11" s="39" t="s">
        <v>44</v>
      </c>
      <c r="N11" s="39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25">
      <c r="A12" s="35"/>
      <c r="B12" s="57">
        <v>0.06</v>
      </c>
      <c r="C12" s="58">
        <v>0.05</v>
      </c>
      <c r="D12" s="58">
        <v>7.4999999999999997E-2</v>
      </c>
      <c r="E12" s="58">
        <v>0.05</v>
      </c>
      <c r="F12" s="59">
        <v>1.2500000000000001E-2</v>
      </c>
      <c r="G12" s="60"/>
      <c r="H12" s="27">
        <v>425</v>
      </c>
      <c r="I12" s="30">
        <v>300</v>
      </c>
      <c r="J12" s="61"/>
      <c r="K12" s="62">
        <v>0.22</v>
      </c>
      <c r="L12" s="35"/>
      <c r="M12" s="39"/>
      <c r="N12" s="39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2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spans="1:33" x14ac:dyDescent="0.25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</row>
    <row r="15" spans="1:33" ht="23.25" x14ac:dyDescent="0.35">
      <c r="A15" s="35"/>
      <c r="B15" s="37" t="s">
        <v>28</v>
      </c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</row>
    <row r="16" spans="1:33" ht="18.75" x14ac:dyDescent="0.3">
      <c r="A16" s="35"/>
      <c r="B16" s="53" t="s">
        <v>93</v>
      </c>
      <c r="C16" s="55" t="s">
        <v>88</v>
      </c>
      <c r="D16" s="35"/>
      <c r="E16" s="35"/>
      <c r="F16" s="35"/>
      <c r="G16" s="35"/>
      <c r="H16" s="35"/>
      <c r="I16" s="35"/>
      <c r="J16" s="35"/>
      <c r="K16" s="35"/>
      <c r="L16" s="35"/>
      <c r="M16" s="43" t="s">
        <v>89</v>
      </c>
      <c r="N16" s="44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</row>
    <row r="17" spans="1:33" x14ac:dyDescent="0.25">
      <c r="A17" s="35"/>
      <c r="B17" s="26">
        <v>16800000</v>
      </c>
      <c r="C17" s="76">
        <v>0.4</v>
      </c>
      <c r="D17" s="35"/>
      <c r="E17" s="35"/>
      <c r="F17" s="35"/>
      <c r="G17" s="35"/>
      <c r="H17" s="35"/>
      <c r="I17" s="35"/>
      <c r="J17" s="35"/>
      <c r="K17" s="35"/>
      <c r="L17" s="35"/>
      <c r="M17" s="45" t="s">
        <v>45</v>
      </c>
      <c r="N17" s="46" t="s">
        <v>46</v>
      </c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</row>
    <row r="18" spans="1:33" ht="15" customHeight="1" x14ac:dyDescent="0.2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47">
        <v>7</v>
      </c>
      <c r="N18" s="48">
        <v>0.04</v>
      </c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spans="1:33" x14ac:dyDescent="0.2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49">
        <v>12</v>
      </c>
      <c r="N19" s="50">
        <v>6.0999999999999999E-2</v>
      </c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</row>
    <row r="20" spans="1:33" x14ac:dyDescent="0.25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49">
        <v>30</v>
      </c>
      <c r="N20" s="50">
        <v>0.05</v>
      </c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</row>
    <row r="21" spans="1:33" ht="15.75" x14ac:dyDescent="0.25">
      <c r="A21" s="35"/>
      <c r="B21" s="36" t="s">
        <v>29</v>
      </c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49">
        <v>100</v>
      </c>
      <c r="N21" s="50">
        <v>6.5000000000000002E-2</v>
      </c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</row>
    <row r="22" spans="1:33" x14ac:dyDescent="0.25">
      <c r="A22" s="35"/>
      <c r="B22" s="53" t="s">
        <v>50</v>
      </c>
      <c r="C22" s="54" t="s">
        <v>42</v>
      </c>
      <c r="D22" s="54" t="s">
        <v>40</v>
      </c>
      <c r="E22" s="55" t="s">
        <v>49</v>
      </c>
      <c r="F22" s="35"/>
      <c r="G22" s="35"/>
      <c r="H22" s="35"/>
      <c r="I22" s="35"/>
      <c r="J22" s="35"/>
      <c r="K22" s="35"/>
      <c r="L22" s="35"/>
      <c r="M22" s="49"/>
      <c r="N22" s="50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</row>
    <row r="23" spans="1:33" x14ac:dyDescent="0.25">
      <c r="A23" s="35"/>
      <c r="B23" s="71">
        <v>10</v>
      </c>
      <c r="C23" s="70" t="s">
        <v>95</v>
      </c>
      <c r="D23" s="72">
        <v>6.3500000000000001E-2</v>
      </c>
      <c r="E23" s="73">
        <v>15</v>
      </c>
      <c r="F23" s="35"/>
      <c r="G23" s="35"/>
      <c r="H23" s="35"/>
      <c r="I23" s="35"/>
      <c r="J23" s="35"/>
      <c r="K23" s="35"/>
      <c r="L23" s="35"/>
      <c r="M23" s="49"/>
      <c r="N23" s="50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</row>
    <row r="24" spans="1:33" x14ac:dyDescent="0.25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49"/>
      <c r="N24" s="50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</row>
    <row r="25" spans="1:33" x14ac:dyDescent="0.25">
      <c r="A25" s="35"/>
      <c r="B25" s="40" t="s">
        <v>81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49"/>
      <c r="N25" s="50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</row>
    <row r="26" spans="1:33" x14ac:dyDescent="0.25">
      <c r="A26" s="35"/>
      <c r="B26" s="53" t="s">
        <v>30</v>
      </c>
      <c r="C26" s="54" t="s">
        <v>31</v>
      </c>
      <c r="D26" s="55" t="s">
        <v>32</v>
      </c>
      <c r="E26" s="35"/>
      <c r="F26" s="35"/>
      <c r="G26" s="35"/>
      <c r="H26" s="35"/>
      <c r="I26" s="35"/>
      <c r="J26" s="35"/>
      <c r="K26" s="35"/>
      <c r="L26" s="35"/>
      <c r="M26" s="49"/>
      <c r="N26" s="50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</row>
    <row r="27" spans="1:33" x14ac:dyDescent="0.25">
      <c r="A27" s="35"/>
      <c r="B27" s="74">
        <v>1.25</v>
      </c>
      <c r="C27" s="75">
        <v>0.65</v>
      </c>
      <c r="D27" s="69">
        <v>8.7499999999999994E-2</v>
      </c>
      <c r="E27" s="35"/>
      <c r="F27" s="41"/>
      <c r="G27" s="41"/>
      <c r="H27" s="35"/>
      <c r="I27" s="35"/>
      <c r="J27" s="35"/>
      <c r="K27" s="35"/>
      <c r="L27" s="35"/>
      <c r="M27" s="49"/>
      <c r="N27" s="50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</row>
    <row r="28" spans="1:33" x14ac:dyDescent="0.25">
      <c r="A28" s="35"/>
      <c r="B28" s="35"/>
      <c r="C28" s="35"/>
      <c r="D28" s="35"/>
      <c r="E28" s="35"/>
      <c r="F28" s="42"/>
      <c r="G28" s="42"/>
      <c r="H28" s="35"/>
      <c r="I28" s="35"/>
      <c r="J28" s="35"/>
      <c r="K28" s="35"/>
      <c r="L28" s="35"/>
      <c r="M28" s="49"/>
      <c r="N28" s="50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</row>
    <row r="29" spans="1:33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49"/>
      <c r="N29" s="50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</row>
    <row r="30" spans="1:33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51"/>
      <c r="N30" s="52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</row>
    <row r="31" spans="1:33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</row>
    <row r="32" spans="1:33" x14ac:dyDescent="0.25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</row>
    <row r="33" spans="1:33" x14ac:dyDescent="0.25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</row>
    <row r="34" spans="1:33" x14ac:dyDescent="0.25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</row>
    <row r="35" spans="1:33" x14ac:dyDescent="0.2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</row>
    <row r="36" spans="1:33" x14ac:dyDescent="0.25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</row>
    <row r="37" spans="1:33" x14ac:dyDescent="0.25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</row>
    <row r="38" spans="1:33" x14ac:dyDescent="0.25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</row>
    <row r="39" spans="1:33" x14ac:dyDescent="0.25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</row>
    <row r="40" spans="1:33" x14ac:dyDescent="0.2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</row>
    <row r="41" spans="1:33" x14ac:dyDescent="0.2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</row>
    <row r="42" spans="1:33" x14ac:dyDescent="0.2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</row>
    <row r="43" spans="1:33" x14ac:dyDescent="0.25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</row>
    <row r="44" spans="1:33" x14ac:dyDescent="0.25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</row>
    <row r="45" spans="1:33" x14ac:dyDescent="0.2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</row>
    <row r="46" spans="1:33" x14ac:dyDescent="0.25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</row>
    <row r="47" spans="1:33" x14ac:dyDescent="0.25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</row>
    <row r="48" spans="1:33" x14ac:dyDescent="0.25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</row>
    <row r="49" spans="1:33" x14ac:dyDescent="0.25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</row>
    <row r="50" spans="1:33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</row>
    <row r="51" spans="1:33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</row>
    <row r="52" spans="1:33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</row>
    <row r="53" spans="1:33" x14ac:dyDescent="0.25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</row>
    <row r="54" spans="1:33" x14ac:dyDescent="0.2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</row>
    <row r="55" spans="1:33" x14ac:dyDescent="0.2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</row>
    <row r="56" spans="1:33" x14ac:dyDescent="0.25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</row>
    <row r="57" spans="1:33" x14ac:dyDescent="0.25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</row>
    <row r="58" spans="1:33" x14ac:dyDescent="0.25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</row>
    <row r="59" spans="1:33" x14ac:dyDescent="0.25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</row>
    <row r="60" spans="1:33" x14ac:dyDescent="0.25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</row>
    <row r="61" spans="1:33" x14ac:dyDescent="0.25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</row>
    <row r="62" spans="1:33" x14ac:dyDescent="0.25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</row>
    <row r="63" spans="1:33" x14ac:dyDescent="0.25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</row>
    <row r="64" spans="1:33" x14ac:dyDescent="0.25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</row>
    <row r="65" spans="1:33" x14ac:dyDescent="0.2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</row>
    <row r="66" spans="1:33" x14ac:dyDescent="0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</row>
    <row r="67" spans="1:33" x14ac:dyDescent="0.25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</row>
    <row r="68" spans="1:33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</row>
  </sheetData>
  <mergeCells count="20">
    <mergeCell ref="B10:C10"/>
    <mergeCell ref="F11:G11"/>
    <mergeCell ref="F12:G12"/>
    <mergeCell ref="F28:G28"/>
    <mergeCell ref="B15:C15"/>
    <mergeCell ref="M10:N10"/>
    <mergeCell ref="M11:N12"/>
    <mergeCell ref="F27:G27"/>
    <mergeCell ref="B1:C1"/>
    <mergeCell ref="B6:C6"/>
    <mergeCell ref="E7:G7"/>
    <mergeCell ref="E8:G8"/>
    <mergeCell ref="G2:H2"/>
    <mergeCell ref="G3:H3"/>
    <mergeCell ref="M3:N3"/>
    <mergeCell ref="M16:N16"/>
    <mergeCell ref="I11:J11"/>
    <mergeCell ref="I12:J12"/>
    <mergeCell ref="J2:K2"/>
    <mergeCell ref="J3:K3"/>
  </mergeCells>
  <phoneticPr fontId="7" type="noConversion"/>
  <conditionalFormatting sqref="M13:N13">
    <cfRule type="expression" dxfId="27" priority="9">
      <formula>$C$23="FRM"</formula>
    </cfRule>
    <cfRule type="expression" dxfId="26" priority="10">
      <formula>$C$23="ARM"</formula>
    </cfRule>
  </conditionalFormatting>
  <dataValidations count="3">
    <dataValidation type="list" allowBlank="1" showInputMessage="1" showErrorMessage="1" sqref="B23" xr:uid="{FC357456-91AA-4689-964F-E414C0D83E6B}">
      <formula1>"10, 15 , 30,$V$3"</formula1>
    </dataValidation>
    <dataValidation type="list" allowBlank="1" showInputMessage="1" showErrorMessage="1" sqref="E23" xr:uid="{C450F64E-19C8-4B41-BC06-ED748FE2B506}">
      <formula1>"10, 15, 30,=$V$4"</formula1>
    </dataValidation>
    <dataValidation type="list" allowBlank="1" showInputMessage="1" showErrorMessage="1" sqref="C23" xr:uid="{232904E2-56E0-44B0-93A5-1257433B68E3}">
      <formula1>"FRM,ARM"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65845-2EF4-4A19-A1C1-3026C1087859}">
  <sheetPr>
    <tabColor theme="9"/>
  </sheetPr>
  <dimension ref="A2:M362"/>
  <sheetViews>
    <sheetView topLeftCell="B1" workbookViewId="0">
      <selection activeCell="O36" sqref="O36"/>
    </sheetView>
  </sheetViews>
  <sheetFormatPr defaultRowHeight="15" x14ac:dyDescent="0.25"/>
  <cols>
    <col min="1" max="1" width="7.85546875" hidden="1" customWidth="1"/>
    <col min="2" max="2" width="12" bestFit="1" customWidth="1"/>
    <col min="3" max="3" width="7.28515625" customWidth="1"/>
    <col min="4" max="4" width="17.5703125" style="18" bestFit="1" customWidth="1"/>
    <col min="5" max="5" width="15.85546875" style="18" customWidth="1"/>
    <col min="6" max="6" width="26.28515625" style="18" bestFit="1" customWidth="1"/>
    <col min="7" max="7" width="15.42578125" style="18" bestFit="1" customWidth="1"/>
    <col min="8" max="8" width="29.7109375" style="18" customWidth="1"/>
    <col min="9" max="9" width="29.7109375" style="18" bestFit="1" customWidth="1"/>
    <col min="10" max="10" width="70.5703125" bestFit="1" customWidth="1"/>
    <col min="12" max="12" width="21.7109375" bestFit="1" customWidth="1"/>
    <col min="13" max="13" width="16" bestFit="1" customWidth="1"/>
  </cols>
  <sheetData>
    <row r="2" spans="1:13" x14ac:dyDescent="0.25">
      <c r="A2" t="s">
        <v>47</v>
      </c>
      <c r="B2" t="s">
        <v>48</v>
      </c>
      <c r="C2" t="s">
        <v>36</v>
      </c>
      <c r="D2" s="18" t="s">
        <v>51</v>
      </c>
      <c r="E2" s="18" t="s">
        <v>37</v>
      </c>
      <c r="F2" s="18" t="s">
        <v>38</v>
      </c>
      <c r="G2" s="18" t="s">
        <v>39</v>
      </c>
      <c r="H2" s="18" t="s">
        <v>41</v>
      </c>
      <c r="I2" s="18" t="s">
        <v>52</v>
      </c>
      <c r="J2" t="s">
        <v>99</v>
      </c>
    </row>
    <row r="3" spans="1:13" x14ac:dyDescent="0.25">
      <c r="A3" t="b">
        <f>IF(('Input Data'!$C$23)="FRM", FALSE, ISNUMBER(MATCH(C3,'Input Data'!$M$18:$M$30,0)))</f>
        <v>0</v>
      </c>
      <c r="B3" s="2">
        <f>'Input Data'!$D$23</f>
        <v>6.3500000000000001E-2</v>
      </c>
      <c r="C3" s="10">
        <v>1</v>
      </c>
      <c r="D3" s="19">
        <f>'Input Data'!B17*(1-'Input Data'!C17)</f>
        <v>10080000</v>
      </c>
      <c r="E3" s="18">
        <f>IF(OR(D3&lt;=0,C3&gt;'Input Data'!$B$23*12),0,IF(AND(C3='Input Data'!$B$23*12,'Input Data'!$E$23&gt;'Input Data'!$B$23),D3+D3*B3/12,IF('Input Data'!$C$23="FRM",-PMT($B$3/12,'Input Data'!$E$23*12,$D$3),IF($A3,-PMT(B3/12,('Input Data'!$E$23*12)-C3+1,D3),-PMT(B3/12,'Input Data'!E23*12,'Debt calculations'!D3)))))</f>
        <v>86978.555849390395</v>
      </c>
      <c r="F3" s="18">
        <f>IF(D3-E3&lt;0,0,D3-E3)</f>
        <v>9993021.4441506099</v>
      </c>
      <c r="G3" s="18">
        <f>IF(C3&gt;'Input Data'!$B$23*12,0,D3*B3/12)</f>
        <v>53340</v>
      </c>
      <c r="H3" s="18">
        <f t="shared" ref="H3:H66" si="0">MIN(E3-G3,D3)</f>
        <v>33638.555849390395</v>
      </c>
      <c r="I3" s="18">
        <f>IF(ROUND(D3-H3,2)=0,0,D3-H3)</f>
        <v>10046361.44415061</v>
      </c>
    </row>
    <row r="4" spans="1:13" x14ac:dyDescent="0.25">
      <c r="A4" t="b">
        <f>IF(('Input Data'!$C$23)="FRM", FALSE, ISNUMBER(MATCH(C4,'Input Data'!$M$18:$M$30,0)))</f>
        <v>0</v>
      </c>
      <c r="B4" s="8">
        <f>IF($A4, _xlfn.XLOOKUP(C4,'Input Data'!$M$17:$M$29,'Input Data'!$N$17:$N$29),$B3)</f>
        <v>6.3500000000000001E-2</v>
      </c>
      <c r="C4" s="10">
        <f>C3+1</f>
        <v>2</v>
      </c>
      <c r="D4" s="18">
        <f>IF(I3&gt;0,I3-J3,0)</f>
        <v>10046361.44415061</v>
      </c>
      <c r="E4" s="18">
        <f>IF(OR(D4&lt;=0,C4&gt;'Input Data'!$B$23*12),0,IF(AND(C4='Input Data'!$B$23*12,'Input Data'!$E$23&gt;'Input Data'!$B$23),D4+D4*B4/12,IF('Input Data'!$C$23="FRM",-PMT($B$3/12,'Input Data'!$E$23*12,$D$3),IF($A4,-PMT(B4/12,('Input Data'!$E$23*12)-C4+1,D4),E3))))</f>
        <v>86978.555849390395</v>
      </c>
      <c r="F4" s="18">
        <f t="shared" ref="F4:F67" si="1">IF(D4-E4&lt;0,0,D4-E4)</f>
        <v>9959382.8883012198</v>
      </c>
      <c r="G4" s="18">
        <f>IF(C4&gt;'Input Data'!$B$23*12,0,D4*B4/12)</f>
        <v>53161.995975296973</v>
      </c>
      <c r="H4" s="18">
        <f t="shared" si="0"/>
        <v>33816.559874093422</v>
      </c>
      <c r="I4" s="18">
        <f>IF(ROUND(D4-H4,2)=0,0,D4-H4)</f>
        <v>10012544.884276517</v>
      </c>
    </row>
    <row r="5" spans="1:13" x14ac:dyDescent="0.25">
      <c r="A5" t="b">
        <f>IF(('Input Data'!$C$23)="FRM", FALSE, ISNUMBER(MATCH(C5,'Input Data'!$M$18:$M$30,0)))</f>
        <v>0</v>
      </c>
      <c r="B5" s="8">
        <f>IF($A5, _xlfn.XLOOKUP(C5,'Input Data'!$M$17:$M$29,'Input Data'!$N$17:$N$29),$B4)</f>
        <v>6.3500000000000001E-2</v>
      </c>
      <c r="C5" s="10">
        <f t="shared" ref="C5:C68" si="2">C4+1</f>
        <v>3</v>
      </c>
      <c r="D5" s="18">
        <f>IF(I4&gt;0,I4-J4,0)</f>
        <v>10012544.884276517</v>
      </c>
      <c r="E5" s="18">
        <f>IF(OR(D5&lt;=0,C5&gt;'Input Data'!$B$23*12),0,IF(AND(C5='Input Data'!$B$23*12,'Input Data'!$E$23&gt;'Input Data'!$B$23),D5+D5*B5/12,IF('Input Data'!$C$23="FRM",-PMT($B$3/12,'Input Data'!$E$23*12,$D$3),IF($A5,-PMT(B5/12,('Input Data'!$E$23*12)-C5+1,D5),E4))))</f>
        <v>86978.555849390395</v>
      </c>
      <c r="F5" s="18">
        <f t="shared" si="1"/>
        <v>9925566.3284271266</v>
      </c>
      <c r="G5" s="18">
        <f>IF(C5&gt;'Input Data'!$B$23*12,0,D5*B5/12)</f>
        <v>52983.050012629908</v>
      </c>
      <c r="H5" s="18">
        <f t="shared" si="0"/>
        <v>33995.505836760487</v>
      </c>
      <c r="I5" s="18">
        <f t="shared" ref="I5:I67" si="3">IF(ROUND(D5-H5,2)=0,0,D5-H5)</f>
        <v>9978549.3784397561</v>
      </c>
    </row>
    <row r="6" spans="1:13" x14ac:dyDescent="0.25">
      <c r="A6" t="b">
        <f>IF(('Input Data'!$C$23)="FRM", FALSE, ISNUMBER(MATCH(C6,'Input Data'!$M$18:$M$30,0)))</f>
        <v>0</v>
      </c>
      <c r="B6" s="8">
        <f>IF($A6, _xlfn.XLOOKUP(C6,'Input Data'!$M$17:$M$29,'Input Data'!$N$17:$N$29),$B5)</f>
        <v>6.3500000000000001E-2</v>
      </c>
      <c r="C6" s="10">
        <f t="shared" si="2"/>
        <v>4</v>
      </c>
      <c r="D6" s="18">
        <f>IF(I5&gt;0,I5-J5,0)</f>
        <v>9978549.3784397561</v>
      </c>
      <c r="E6" s="18">
        <f>IF(OR(D6&lt;=0,C6&gt;'Input Data'!$B$23*12),0,IF(AND(C6='Input Data'!$B$23*12,'Input Data'!$E$23&gt;'Input Data'!$B$23),D6+D6*B6/12,IF('Input Data'!$C$23="FRM",-PMT($B$3/12,'Input Data'!$E$23*12,$D$3),IF($A6,-PMT(B6/12,('Input Data'!$E$23*12)-C6+1,D6),E5))))</f>
        <v>86978.555849390395</v>
      </c>
      <c r="F6" s="18">
        <f t="shared" si="1"/>
        <v>9891570.822590366</v>
      </c>
      <c r="G6" s="18">
        <f>IF(C6&gt;'Input Data'!$B$23*12,0,D6*B6/12)</f>
        <v>52803.157127577048</v>
      </c>
      <c r="H6" s="18">
        <f t="shared" si="0"/>
        <v>34175.398721813348</v>
      </c>
      <c r="I6" s="18">
        <f t="shared" si="3"/>
        <v>9944373.979717942</v>
      </c>
    </row>
    <row r="7" spans="1:13" x14ac:dyDescent="0.25">
      <c r="A7" t="b">
        <f>IF(('Input Data'!$C$23)="FRM", FALSE, ISNUMBER(MATCH(C7,'Input Data'!$M$18:$M$30,0)))</f>
        <v>0</v>
      </c>
      <c r="B7" s="8">
        <f>IF($A7, _xlfn.XLOOKUP(C7,'Input Data'!$M$17:$M$29,'Input Data'!$N$17:$N$29),$B6)</f>
        <v>6.3500000000000001E-2</v>
      </c>
      <c r="C7" s="10">
        <f>C6+1</f>
        <v>5</v>
      </c>
      <c r="D7" s="18">
        <f t="shared" ref="D7:D68" si="4">IF(I6&gt;0,I6-J6,0)</f>
        <v>9944373.979717942</v>
      </c>
      <c r="E7" s="18">
        <f>IF(OR(D7&lt;=0,C7&gt;'Input Data'!$B$23*12),0,IF(AND(C7='Input Data'!$B$23*12,'Input Data'!$E$23&gt;'Input Data'!$B$23),D7+D7*B7/12,IF('Input Data'!$C$23="FRM",-PMT($B$3/12,'Input Data'!$E$23*12,$D$3),IF($A7,-PMT(B7/12,('Input Data'!$E$23*12)-C7+1,D7),E6))))</f>
        <v>86978.555849390395</v>
      </c>
      <c r="F7" s="18">
        <f t="shared" si="1"/>
        <v>9857395.4238685519</v>
      </c>
      <c r="G7" s="18">
        <f>IF(C7&gt;'Input Data'!$B$23*12,0,D7*B7/12)</f>
        <v>52622.312309340778</v>
      </c>
      <c r="H7" s="18">
        <f t="shared" si="0"/>
        <v>34356.243540049618</v>
      </c>
      <c r="I7" s="18">
        <f t="shared" si="3"/>
        <v>9910017.7361778915</v>
      </c>
    </row>
    <row r="8" spans="1:13" x14ac:dyDescent="0.25">
      <c r="A8" t="b">
        <f>IF(('Input Data'!$C$23)="FRM", FALSE, ISNUMBER(MATCH(C8,'Input Data'!$M$18:$M$30,0)))</f>
        <v>0</v>
      </c>
      <c r="B8" s="8">
        <f>IF($A8, _xlfn.XLOOKUP(C8,'Input Data'!$M$17:$M$29,'Input Data'!$N$17:$N$29),$B7)</f>
        <v>6.3500000000000001E-2</v>
      </c>
      <c r="C8" s="10">
        <f t="shared" si="2"/>
        <v>6</v>
      </c>
      <c r="D8" s="18">
        <f t="shared" si="4"/>
        <v>9910017.7361778915</v>
      </c>
      <c r="E8" s="18">
        <f>IF(OR(D8&lt;=0,C8&gt;'Input Data'!$B$23*12),0,IF(AND(C8='Input Data'!$B$23*12,'Input Data'!$E$23&gt;'Input Data'!$B$23),D8+D8*B8/12,IF('Input Data'!$C$23="FRM",-PMT($B$3/12,'Input Data'!$E$23*12,$D$3),IF($A8,-PMT(B8/12,('Input Data'!$E$23*12)-C8+1,D8),E7))))</f>
        <v>86978.555849390395</v>
      </c>
      <c r="F8" s="18">
        <f t="shared" si="1"/>
        <v>9823039.1803285014</v>
      </c>
      <c r="G8" s="18">
        <f>IF(C8&gt;'Input Data'!$B$23*12,0,D8*B8/12)</f>
        <v>52440.510520608012</v>
      </c>
      <c r="H8" s="18">
        <f t="shared" si="0"/>
        <v>34538.045328782384</v>
      </c>
      <c r="I8" s="18">
        <f t="shared" si="3"/>
        <v>9875479.6908491086</v>
      </c>
      <c r="M8" s="7"/>
    </row>
    <row r="9" spans="1:13" x14ac:dyDescent="0.25">
      <c r="A9" t="b">
        <f>IF(('Input Data'!$C$23)="FRM", FALSE, ISNUMBER(MATCH(C9,'Input Data'!$M$18:$M$30,0)))</f>
        <v>1</v>
      </c>
      <c r="B9" s="8">
        <f>IF($A9, _xlfn.XLOOKUP(C9,'Input Data'!$M$17:$M$29,'Input Data'!$N$17:$N$29),$B8)</f>
        <v>0.04</v>
      </c>
      <c r="C9" s="10">
        <f t="shared" si="2"/>
        <v>7</v>
      </c>
      <c r="D9" s="18">
        <f t="shared" si="4"/>
        <v>9875479.6908491086</v>
      </c>
      <c r="E9" s="18">
        <f>IF(OR(D9&lt;=0,C9&gt;'Input Data'!$B$23*12),0,IF(AND(C9='Input Data'!$B$23*12,'Input Data'!$E$23&gt;'Input Data'!$B$23),D9+D9*B9/12,IF('Input Data'!$C$23="FRM",-PMT($B$3/12,'Input Data'!$E$23*12,$D$3),IF($A9,-PMT(B9/12,('Input Data'!$E$23*12)-C9+1,D9),E8))))</f>
        <v>74888.901326286214</v>
      </c>
      <c r="F9" s="18">
        <f t="shared" si="1"/>
        <v>9800590.7895228229</v>
      </c>
      <c r="G9" s="18">
        <f>IF(C9&gt;'Input Data'!$B$23*12,0,D9*B9/12)</f>
        <v>32918.265636163698</v>
      </c>
      <c r="H9" s="18">
        <f t="shared" si="0"/>
        <v>41970.635690122515</v>
      </c>
      <c r="I9" s="18">
        <f t="shared" si="3"/>
        <v>9833509.0551589858</v>
      </c>
      <c r="L9" s="21" t="s">
        <v>73</v>
      </c>
      <c r="M9" s="22">
        <f>12*'Input Data'!B23</f>
        <v>120</v>
      </c>
    </row>
    <row r="10" spans="1:13" x14ac:dyDescent="0.25">
      <c r="A10" t="b">
        <f>IF(('Input Data'!$C$23)="FRM", FALSE, ISNUMBER(MATCH(C10,'Input Data'!$M$18:$M$30,0)))</f>
        <v>0</v>
      </c>
      <c r="B10" s="8">
        <f>IF($A10, _xlfn.XLOOKUP(C10,'Input Data'!$M$17:$M$29,'Input Data'!$N$17:$N$29),$B9)</f>
        <v>0.04</v>
      </c>
      <c r="C10" s="10">
        <f t="shared" si="2"/>
        <v>8</v>
      </c>
      <c r="D10" s="18">
        <f t="shared" si="4"/>
        <v>9833509.0551589858</v>
      </c>
      <c r="E10" s="18">
        <f>IF(OR(D10&lt;=0,C10&gt;'Input Data'!$B$23*12),0,IF(AND(C10='Input Data'!$B$23*12,'Input Data'!$E$23&gt;'Input Data'!$B$23),D10+D10*B10/12,IF('Input Data'!$C$23="FRM",-PMT($B$3/12,'Input Data'!$E$23*12,$D$3),IF($A10,-PMT(B10/12,('Input Data'!$E$23*12)-C10+1,D10),E9))))</f>
        <v>74888.901326286214</v>
      </c>
      <c r="F10" s="18">
        <f t="shared" si="1"/>
        <v>9758620.1538327001</v>
      </c>
      <c r="G10" s="18">
        <f>IF(C10&gt;'Input Data'!$B$23*12,0,D10*B10/12)</f>
        <v>32778.363517196623</v>
      </c>
      <c r="H10" s="18">
        <f t="shared" si="0"/>
        <v>42110.53780908959</v>
      </c>
      <c r="I10" s="18">
        <f t="shared" si="3"/>
        <v>9791398.517349897</v>
      </c>
      <c r="L10" s="23" t="s">
        <v>74</v>
      </c>
      <c r="M10" s="24">
        <f>IF('Input Data'!$E$23&lt;='Input Data'!$B$23,"No Balloon Payment",_xlfn.XLOOKUP(M9,C3:C362,E3:E362,"Value Not  Found"))</f>
        <v>4387655.5279469965</v>
      </c>
    </row>
    <row r="11" spans="1:13" x14ac:dyDescent="0.25">
      <c r="A11" t="b">
        <f>IF(('Input Data'!$C$23)="FRM", FALSE, ISNUMBER(MATCH(C11,'Input Data'!$M$18:$M$30,0)))</f>
        <v>0</v>
      </c>
      <c r="B11" s="8">
        <f>IF($A11, _xlfn.XLOOKUP(C11,'Input Data'!$M$17:$M$29,'Input Data'!$N$17:$N$29),$B10)</f>
        <v>0.04</v>
      </c>
      <c r="C11" s="10">
        <f t="shared" si="2"/>
        <v>9</v>
      </c>
      <c r="D11" s="18">
        <f t="shared" si="4"/>
        <v>9791398.517349897</v>
      </c>
      <c r="E11" s="18">
        <f>IF(OR(D11&lt;=0,C11&gt;'Input Data'!$B$23*12),0,IF(AND(C11='Input Data'!$B$23*12,'Input Data'!$E$23&gt;'Input Data'!$B$23),D11+D11*B11/12,IF('Input Data'!$C$23="FRM",-PMT($B$3/12,'Input Data'!$E$23*12,$D$3),IF($A11,-PMT(B11/12,('Input Data'!$E$23*12)-C11+1,D11),E10))))</f>
        <v>74888.901326286214</v>
      </c>
      <c r="F11" s="18">
        <f t="shared" si="1"/>
        <v>9716509.6160236113</v>
      </c>
      <c r="G11" s="18">
        <f>IF(C11&gt;'Input Data'!$B$23*12,0,D11*B11/12)</f>
        <v>32637.995057832992</v>
      </c>
      <c r="H11" s="18">
        <f t="shared" si="0"/>
        <v>42250.906268453225</v>
      </c>
      <c r="I11" s="18">
        <f t="shared" si="3"/>
        <v>9749147.6110814437</v>
      </c>
    </row>
    <row r="12" spans="1:13" x14ac:dyDescent="0.25">
      <c r="A12" t="b">
        <f>IF(('Input Data'!$C$23)="FRM", FALSE, ISNUMBER(MATCH(C12,'Input Data'!$M$18:$M$30,0)))</f>
        <v>0</v>
      </c>
      <c r="B12" s="8">
        <f>IF($A12, _xlfn.XLOOKUP(C12,'Input Data'!$M$17:$M$29,'Input Data'!$N$17:$N$29),$B11)</f>
        <v>0.04</v>
      </c>
      <c r="C12" s="10">
        <f t="shared" si="2"/>
        <v>10</v>
      </c>
      <c r="D12" s="18">
        <f t="shared" si="4"/>
        <v>9749147.6110814437</v>
      </c>
      <c r="E12" s="18">
        <f>IF(OR(D12&lt;=0,C12&gt;'Input Data'!$B$23*12),0,IF(AND(C12='Input Data'!$B$23*12,'Input Data'!$E$23&gt;'Input Data'!$B$23),D12+D12*B12/12,IF('Input Data'!$C$23="FRM",-PMT($B$3/12,'Input Data'!$E$23*12,$D$3),IF($A12,-PMT(B12/12,('Input Data'!$E$23*12)-C12+1,D12),E11))))</f>
        <v>74888.901326286214</v>
      </c>
      <c r="F12" s="18">
        <f t="shared" si="1"/>
        <v>9674258.7097551581</v>
      </c>
      <c r="G12" s="18">
        <f>IF(C12&gt;'Input Data'!$B$23*12,0,D12*B12/12)</f>
        <v>32497.158703604815</v>
      </c>
      <c r="H12" s="18">
        <f t="shared" si="0"/>
        <v>42391.742622681399</v>
      </c>
      <c r="I12" s="18">
        <f t="shared" si="3"/>
        <v>9706755.8684587628</v>
      </c>
    </row>
    <row r="13" spans="1:13" x14ac:dyDescent="0.25">
      <c r="A13" t="b">
        <f>IF(('Input Data'!$C$23)="FRM", FALSE, ISNUMBER(MATCH(C13,'Input Data'!$M$18:$M$30,0)))</f>
        <v>0</v>
      </c>
      <c r="B13" s="8">
        <f>IF($A13, _xlfn.XLOOKUP(C13,'Input Data'!$M$17:$M$29,'Input Data'!$N$17:$N$29),$B12)</f>
        <v>0.04</v>
      </c>
      <c r="C13" s="10">
        <f t="shared" si="2"/>
        <v>11</v>
      </c>
      <c r="D13" s="18">
        <f t="shared" si="4"/>
        <v>9706755.8684587628</v>
      </c>
      <c r="E13" s="18">
        <f>IF(OR(D13&lt;=0,C13&gt;'Input Data'!$B$23*12),0,IF(AND(C13='Input Data'!$B$23*12,'Input Data'!$E$23&gt;'Input Data'!$B$23),D13+D13*B13/12,IF('Input Data'!$C$23="FRM",-PMT($B$3/12,'Input Data'!$E$23*12,$D$3),IF($A13,-PMT(B13/12,('Input Data'!$E$23*12)-C13+1,D13),E12))))</f>
        <v>74888.901326286214</v>
      </c>
      <c r="F13" s="18">
        <f t="shared" si="1"/>
        <v>9631866.9671324771</v>
      </c>
      <c r="G13" s="18">
        <f>IF(C13&gt;'Input Data'!$B$23*12,0,D13*B13/12)</f>
        <v>32355.852894862543</v>
      </c>
      <c r="H13" s="18">
        <f t="shared" si="0"/>
        <v>42533.048431423667</v>
      </c>
      <c r="I13" s="18">
        <f t="shared" si="3"/>
        <v>9664222.8200273383</v>
      </c>
    </row>
    <row r="14" spans="1:13" x14ac:dyDescent="0.25">
      <c r="A14" t="b">
        <f>IF(('Input Data'!$C$23)="FRM", FALSE, ISNUMBER(MATCH(C14,'Input Data'!$M$18:$M$30,0)))</f>
        <v>1</v>
      </c>
      <c r="B14" s="8">
        <f>IF($A14, _xlfn.XLOOKUP(C14,'Input Data'!$M$17:$M$29,'Input Data'!$N$17:$N$29),$B13)</f>
        <v>6.0999999999999999E-2</v>
      </c>
      <c r="C14" s="10">
        <f t="shared" si="2"/>
        <v>12</v>
      </c>
      <c r="D14" s="18">
        <f t="shared" si="4"/>
        <v>9664222.8200273383</v>
      </c>
      <c r="E14" s="18">
        <f>IF(OR(D14&lt;=0,C14&gt;'Input Data'!$B$23*12),0,IF(AND(C14='Input Data'!$B$23*12,'Input Data'!$E$23&gt;'Input Data'!$B$23),D14+D14*B14/12,IF('Input Data'!$C$23="FRM",-PMT($B$3/12,'Input Data'!$E$23*12,$D$3),IF($A14,-PMT(B14/12,('Input Data'!$E$23*12)-C14+1,D14),E13))))</f>
        <v>85359.078440742815</v>
      </c>
      <c r="F14" s="18">
        <f t="shared" si="1"/>
        <v>9578863.7415865958</v>
      </c>
      <c r="G14" s="18">
        <f>IF(C14&gt;'Input Data'!$B$23*12,0,D14*B14/12)</f>
        <v>49126.466001805638</v>
      </c>
      <c r="H14" s="18">
        <f t="shared" si="0"/>
        <v>36232.612438937176</v>
      </c>
      <c r="I14" s="18">
        <f t="shared" si="3"/>
        <v>9627990.2075884007</v>
      </c>
    </row>
    <row r="15" spans="1:13" x14ac:dyDescent="0.25">
      <c r="A15" t="b">
        <f>IF(('Input Data'!$C$23)="FRM", FALSE, ISNUMBER(MATCH(C15,'Input Data'!$M$18:$M$30,0)))</f>
        <v>0</v>
      </c>
      <c r="B15" s="8">
        <f>IF($A15, _xlfn.XLOOKUP(C15,'Input Data'!$M$17:$M$29,'Input Data'!$N$17:$N$29),$B14)</f>
        <v>6.0999999999999999E-2</v>
      </c>
      <c r="C15" s="10">
        <f t="shared" si="2"/>
        <v>13</v>
      </c>
      <c r="D15" s="18">
        <f t="shared" si="4"/>
        <v>9627990.2075884007</v>
      </c>
      <c r="E15" s="18">
        <f>IF(OR(D15&lt;=0,C15&gt;'Input Data'!$B$23*12),0,IF(AND(C15='Input Data'!$B$23*12,'Input Data'!$E$23&gt;'Input Data'!$B$23),D15+D15*B15/12,IF('Input Data'!$C$23="FRM",-PMT($B$3/12,'Input Data'!$E$23*12,$D$3),IF($A15,-PMT(B15/12,('Input Data'!$E$23*12)-C15+1,D15),E14))))</f>
        <v>85359.078440742815</v>
      </c>
      <c r="F15" s="18">
        <f t="shared" si="1"/>
        <v>9542631.1291476581</v>
      </c>
      <c r="G15" s="18">
        <f>IF(C15&gt;'Input Data'!$B$23*12,0,D15*B15/12)</f>
        <v>48942.28355524104</v>
      </c>
      <c r="H15" s="18">
        <f t="shared" si="0"/>
        <v>36416.794885501775</v>
      </c>
      <c r="I15" s="18">
        <f t="shared" si="3"/>
        <v>9591573.4127028994</v>
      </c>
    </row>
    <row r="16" spans="1:13" x14ac:dyDescent="0.25">
      <c r="A16" t="b">
        <f>IF(('Input Data'!$C$23)="FRM", FALSE, ISNUMBER(MATCH(C16,'Input Data'!$M$18:$M$30,0)))</f>
        <v>0</v>
      </c>
      <c r="B16" s="8">
        <f>IF($A16, _xlfn.XLOOKUP(C16,'Input Data'!$M$17:$M$29,'Input Data'!$N$17:$N$29),$B15)</f>
        <v>6.0999999999999999E-2</v>
      </c>
      <c r="C16" s="10">
        <f t="shared" si="2"/>
        <v>14</v>
      </c>
      <c r="D16" s="18">
        <f t="shared" si="4"/>
        <v>9591573.4127028994</v>
      </c>
      <c r="E16" s="18">
        <f>IF(OR(D16&lt;=0,C16&gt;'Input Data'!$B$23*12),0,IF(AND(C16='Input Data'!$B$23*12,'Input Data'!$E$23&gt;'Input Data'!$B$23),D16+D16*B16/12,IF('Input Data'!$C$23="FRM",-PMT($B$3/12,'Input Data'!$E$23*12,$D$3),IF($A16,-PMT(B16/12,('Input Data'!$E$23*12)-C16+1,D16),E15))))</f>
        <v>85359.078440742815</v>
      </c>
      <c r="F16" s="18">
        <f t="shared" si="1"/>
        <v>9506214.3342621569</v>
      </c>
      <c r="G16" s="18">
        <f>IF(C16&gt;'Input Data'!$B$23*12,0,D16*B16/12)</f>
        <v>48757.16484790641</v>
      </c>
      <c r="H16" s="18">
        <f t="shared" si="0"/>
        <v>36601.913592836405</v>
      </c>
      <c r="I16" s="18">
        <f t="shared" si="3"/>
        <v>9554971.4991100635</v>
      </c>
    </row>
    <row r="17" spans="1:9" x14ac:dyDescent="0.25">
      <c r="A17" t="b">
        <f>IF(('Input Data'!$C$23)="FRM", FALSE, ISNUMBER(MATCH(C17,'Input Data'!$M$18:$M$30,0)))</f>
        <v>0</v>
      </c>
      <c r="B17" s="8">
        <f>IF($A17, _xlfn.XLOOKUP(C17,'Input Data'!$M$17:$M$29,'Input Data'!$N$17:$N$29),$B16)</f>
        <v>6.0999999999999999E-2</v>
      </c>
      <c r="C17" s="10">
        <f t="shared" si="2"/>
        <v>15</v>
      </c>
      <c r="D17" s="18">
        <f t="shared" si="4"/>
        <v>9554971.4991100635</v>
      </c>
      <c r="E17" s="18">
        <f>IF(OR(D17&lt;=0,C17&gt;'Input Data'!$B$23*12),0,IF(AND(C17='Input Data'!$B$23*12,'Input Data'!$E$23&gt;'Input Data'!$B$23),D17+D17*B17/12,IF('Input Data'!$C$23="FRM",-PMT($B$3/12,'Input Data'!$E$23*12,$D$3),IF($A17,-PMT(B17/12,('Input Data'!$E$23*12)-C17+1,D17),E16))))</f>
        <v>85359.078440742815</v>
      </c>
      <c r="F17" s="18">
        <f t="shared" si="1"/>
        <v>9469612.420669321</v>
      </c>
      <c r="G17" s="18">
        <f>IF(C17&gt;'Input Data'!$B$23*12,0,D17*B17/12)</f>
        <v>48571.105120476153</v>
      </c>
      <c r="H17" s="18">
        <f t="shared" si="0"/>
        <v>36787.973320266661</v>
      </c>
      <c r="I17" s="18">
        <f t="shared" si="3"/>
        <v>9518183.5257897973</v>
      </c>
    </row>
    <row r="18" spans="1:9" x14ac:dyDescent="0.25">
      <c r="A18" t="b">
        <f>IF(('Input Data'!$C$23)="FRM", FALSE, ISNUMBER(MATCH(C18,'Input Data'!$M$18:$M$30,0)))</f>
        <v>0</v>
      </c>
      <c r="B18" s="8">
        <f>IF($A18, _xlfn.XLOOKUP(C18,'Input Data'!$M$17:$M$29,'Input Data'!$N$17:$N$29),$B17)</f>
        <v>6.0999999999999999E-2</v>
      </c>
      <c r="C18" s="10">
        <f t="shared" si="2"/>
        <v>16</v>
      </c>
      <c r="D18" s="18">
        <f t="shared" si="4"/>
        <v>9518183.5257897973</v>
      </c>
      <c r="E18" s="18">
        <f>IF(OR(D18&lt;=0,C18&gt;'Input Data'!$B$23*12),0,IF(AND(C18='Input Data'!$B$23*12,'Input Data'!$E$23&gt;'Input Data'!$B$23),D18+D18*B18/12,IF('Input Data'!$C$23="FRM",-PMT($B$3/12,'Input Data'!$E$23*12,$D$3),IF($A18,-PMT(B18/12,('Input Data'!$E$23*12)-C18+1,D18),E17))))</f>
        <v>85359.078440742815</v>
      </c>
      <c r="F18" s="18">
        <f t="shared" si="1"/>
        <v>9432824.4473490547</v>
      </c>
      <c r="G18" s="18">
        <f>IF(C18&gt;'Input Data'!$B$23*12,0,D18*B18/12)</f>
        <v>48384.099589431462</v>
      </c>
      <c r="H18" s="18">
        <f t="shared" si="0"/>
        <v>36974.978851311353</v>
      </c>
      <c r="I18" s="18">
        <f t="shared" si="3"/>
        <v>9481208.5469384864</v>
      </c>
    </row>
    <row r="19" spans="1:9" x14ac:dyDescent="0.25">
      <c r="A19" t="b">
        <f>IF(('Input Data'!$C$23)="FRM", FALSE, ISNUMBER(MATCH(C19,'Input Data'!$M$18:$M$30,0)))</f>
        <v>0</v>
      </c>
      <c r="B19" s="8">
        <f>IF($A19, _xlfn.XLOOKUP(C19,'Input Data'!$M$17:$M$29,'Input Data'!$N$17:$N$29),$B18)</f>
        <v>6.0999999999999999E-2</v>
      </c>
      <c r="C19" s="10">
        <f t="shared" si="2"/>
        <v>17</v>
      </c>
      <c r="D19" s="18">
        <f t="shared" si="4"/>
        <v>9481208.5469384864</v>
      </c>
      <c r="E19" s="18">
        <f>IF(OR(D19&lt;=0,C19&gt;'Input Data'!$B$23*12),0,IF(AND(C19='Input Data'!$B$23*12,'Input Data'!$E$23&gt;'Input Data'!$B$23),D19+D19*B19/12,IF('Input Data'!$C$23="FRM",-PMT($B$3/12,'Input Data'!$E$23*12,$D$3),IF($A19,-PMT(B19/12,('Input Data'!$E$23*12)-C19+1,D19),E18))))</f>
        <v>85359.078440742815</v>
      </c>
      <c r="F19" s="18">
        <f t="shared" si="1"/>
        <v>9395849.4684977438</v>
      </c>
      <c r="G19" s="18">
        <f>IF(C19&gt;'Input Data'!$B$23*12,0,D19*B19/12)</f>
        <v>48196.143446937298</v>
      </c>
      <c r="H19" s="18">
        <f t="shared" si="0"/>
        <v>37162.934993805517</v>
      </c>
      <c r="I19" s="18">
        <f t="shared" si="3"/>
        <v>9444045.611944681</v>
      </c>
    </row>
    <row r="20" spans="1:9" x14ac:dyDescent="0.25">
      <c r="A20" t="b">
        <f>IF(('Input Data'!$C$23)="FRM", FALSE, ISNUMBER(MATCH(C20,'Input Data'!$M$18:$M$30,0)))</f>
        <v>0</v>
      </c>
      <c r="B20" s="8">
        <f>IF($A20, _xlfn.XLOOKUP(C20,'Input Data'!$M$17:$M$29,'Input Data'!$N$17:$N$29),$B19)</f>
        <v>6.0999999999999999E-2</v>
      </c>
      <c r="C20" s="10">
        <f t="shared" si="2"/>
        <v>18</v>
      </c>
      <c r="D20" s="18">
        <f t="shared" si="4"/>
        <v>9444045.611944681</v>
      </c>
      <c r="E20" s="18">
        <f>IF(OR(D20&lt;=0,C20&gt;'Input Data'!$B$23*12),0,IF(AND(C20='Input Data'!$B$23*12,'Input Data'!$E$23&gt;'Input Data'!$B$23),D20+D20*B20/12,IF('Input Data'!$C$23="FRM",-PMT($B$3/12,'Input Data'!$E$23*12,$D$3),IF($A20,-PMT(B20/12,('Input Data'!$E$23*12)-C20+1,D20),E19))))</f>
        <v>85359.078440742815</v>
      </c>
      <c r="F20" s="18">
        <f t="shared" si="1"/>
        <v>9358686.5335039385</v>
      </c>
      <c r="G20" s="18">
        <f>IF(C20&gt;'Input Data'!$B$23*12,0,D20*B20/12)</f>
        <v>48007.231860718799</v>
      </c>
      <c r="H20" s="18">
        <f t="shared" si="0"/>
        <v>37351.846580024016</v>
      </c>
      <c r="I20" s="18">
        <f t="shared" si="3"/>
        <v>9406693.7653646562</v>
      </c>
    </row>
    <row r="21" spans="1:9" x14ac:dyDescent="0.25">
      <c r="A21" t="b">
        <f>IF(('Input Data'!$C$23)="FRM", FALSE, ISNUMBER(MATCH(C21,'Input Data'!$M$18:$M$30,0)))</f>
        <v>0</v>
      </c>
      <c r="B21" s="8">
        <f>IF($A21, _xlfn.XLOOKUP(C21,'Input Data'!$M$17:$M$29,'Input Data'!$N$17:$N$29),$B20)</f>
        <v>6.0999999999999999E-2</v>
      </c>
      <c r="C21" s="10">
        <f t="shared" si="2"/>
        <v>19</v>
      </c>
      <c r="D21" s="18">
        <f t="shared" si="4"/>
        <v>9406693.7653646562</v>
      </c>
      <c r="E21" s="18">
        <f>IF(OR(D21&lt;=0,C21&gt;'Input Data'!$B$23*12),0,IF(AND(C21='Input Data'!$B$23*12,'Input Data'!$E$23&gt;'Input Data'!$B$23),D21+D21*B21/12,IF('Input Data'!$C$23="FRM",-PMT($B$3/12,'Input Data'!$E$23*12,$D$3),IF($A21,-PMT(B21/12,('Input Data'!$E$23*12)-C21+1,D21),E20))))</f>
        <v>85359.078440742815</v>
      </c>
      <c r="F21" s="18">
        <f t="shared" si="1"/>
        <v>9321334.6869239137</v>
      </c>
      <c r="G21" s="18">
        <f>IF(C21&gt;'Input Data'!$B$23*12,0,D21*B21/12)</f>
        <v>47817.359973937004</v>
      </c>
      <c r="H21" s="18">
        <f t="shared" si="0"/>
        <v>37541.718466805811</v>
      </c>
      <c r="I21" s="18">
        <f t="shared" si="3"/>
        <v>9369152.0468978509</v>
      </c>
    </row>
    <row r="22" spans="1:9" x14ac:dyDescent="0.25">
      <c r="A22" t="b">
        <f>IF(('Input Data'!$C$23)="FRM", FALSE, ISNUMBER(MATCH(C22,'Input Data'!$M$18:$M$30,0)))</f>
        <v>0</v>
      </c>
      <c r="B22" s="8">
        <f>IF($A22, _xlfn.XLOOKUP(C22,'Input Data'!$M$17:$M$29,'Input Data'!$N$17:$N$29),$B21)</f>
        <v>6.0999999999999999E-2</v>
      </c>
      <c r="C22" s="10">
        <f t="shared" si="2"/>
        <v>20</v>
      </c>
      <c r="D22" s="18">
        <f t="shared" si="4"/>
        <v>9369152.0468978509</v>
      </c>
      <c r="E22" s="18">
        <f>IF(OR(D22&lt;=0,C22&gt;'Input Data'!$B$23*12),0,IF(AND(C22='Input Data'!$B$23*12,'Input Data'!$E$23&gt;'Input Data'!$B$23),D22+D22*B22/12,IF('Input Data'!$C$23="FRM",-PMT($B$3/12,'Input Data'!$E$23*12,$D$3),IF($A22,-PMT(B22/12,('Input Data'!$E$23*12)-C22+1,D22),E21))))</f>
        <v>85359.078440742815</v>
      </c>
      <c r="F22" s="18">
        <f t="shared" si="1"/>
        <v>9283792.9684571084</v>
      </c>
      <c r="G22" s="18">
        <f>IF(C22&gt;'Input Data'!$B$23*12,0,D22*B22/12)</f>
        <v>47626.522905064077</v>
      </c>
      <c r="H22" s="18">
        <f t="shared" si="0"/>
        <v>37732.555535678737</v>
      </c>
      <c r="I22" s="18">
        <f t="shared" si="3"/>
        <v>9331419.4913621731</v>
      </c>
    </row>
    <row r="23" spans="1:9" x14ac:dyDescent="0.25">
      <c r="A23" t="b">
        <f>IF(('Input Data'!$C$23)="FRM", FALSE, ISNUMBER(MATCH(C23,'Input Data'!$M$18:$M$30,0)))</f>
        <v>0</v>
      </c>
      <c r="B23" s="8">
        <f>IF($A23, _xlfn.XLOOKUP(C23,'Input Data'!$M$17:$M$29,'Input Data'!$N$17:$N$29),$B22)</f>
        <v>6.0999999999999999E-2</v>
      </c>
      <c r="C23" s="10">
        <f t="shared" si="2"/>
        <v>21</v>
      </c>
      <c r="D23" s="18">
        <f t="shared" si="4"/>
        <v>9331419.4913621731</v>
      </c>
      <c r="E23" s="18">
        <f>IF(OR(D23&lt;=0,C23&gt;'Input Data'!$B$23*12),0,IF(AND(C23='Input Data'!$B$23*12,'Input Data'!$E$23&gt;'Input Data'!$B$23),D23+D23*B23/12,IF('Input Data'!$C$23="FRM",-PMT($B$3/12,'Input Data'!$E$23*12,$D$3),IF($A23,-PMT(B23/12,('Input Data'!$E$23*12)-C23+1,D23),E22))))</f>
        <v>85359.078440742815</v>
      </c>
      <c r="F23" s="18">
        <f t="shared" si="1"/>
        <v>9246060.4129214305</v>
      </c>
      <c r="G23" s="18">
        <f>IF(C23&gt;'Input Data'!$B$23*12,0,D23*B23/12)</f>
        <v>47434.715747757706</v>
      </c>
      <c r="H23" s="18">
        <f t="shared" si="0"/>
        <v>37924.362692985109</v>
      </c>
      <c r="I23" s="18">
        <f t="shared" si="3"/>
        <v>9293495.1286691874</v>
      </c>
    </row>
    <row r="24" spans="1:9" x14ac:dyDescent="0.25">
      <c r="A24" t="b">
        <f>IF(('Input Data'!$C$23)="FRM", FALSE, ISNUMBER(MATCH(C24,'Input Data'!$M$18:$M$30,0)))</f>
        <v>0</v>
      </c>
      <c r="B24" s="8">
        <f>IF($A24, _xlfn.XLOOKUP(C24,'Input Data'!$M$17:$M$29,'Input Data'!$N$17:$N$29),$B23)</f>
        <v>6.0999999999999999E-2</v>
      </c>
      <c r="C24" s="10">
        <f t="shared" si="2"/>
        <v>22</v>
      </c>
      <c r="D24" s="18">
        <f t="shared" si="4"/>
        <v>9293495.1286691874</v>
      </c>
      <c r="E24" s="18">
        <f>IF(OR(D24&lt;=0,C24&gt;'Input Data'!$B$23*12),0,IF(AND(C24='Input Data'!$B$23*12,'Input Data'!$E$23&gt;'Input Data'!$B$23),D24+D24*B24/12,IF('Input Data'!$C$23="FRM",-PMT($B$3/12,'Input Data'!$E$23*12,$D$3),IF($A24,-PMT(B24/12,('Input Data'!$E$23*12)-C24+1,D24),E23))))</f>
        <v>85359.078440742815</v>
      </c>
      <c r="F24" s="18">
        <f t="shared" si="1"/>
        <v>9208136.0502284449</v>
      </c>
      <c r="G24" s="18">
        <f>IF(C24&gt;'Input Data'!$B$23*12,0,D24*B24/12)</f>
        <v>47241.933570735033</v>
      </c>
      <c r="H24" s="18">
        <f t="shared" si="0"/>
        <v>38117.144870007782</v>
      </c>
      <c r="I24" s="18">
        <f t="shared" si="3"/>
        <v>9255377.98379918</v>
      </c>
    </row>
    <row r="25" spans="1:9" x14ac:dyDescent="0.25">
      <c r="A25" t="b">
        <f>IF(('Input Data'!$C$23)="FRM", FALSE, ISNUMBER(MATCH(C25,'Input Data'!$M$18:$M$30,0)))</f>
        <v>0</v>
      </c>
      <c r="B25" s="8">
        <f>IF($A25, _xlfn.XLOOKUP(C25,'Input Data'!$M$17:$M$29,'Input Data'!$N$17:$N$29),$B24)</f>
        <v>6.0999999999999999E-2</v>
      </c>
      <c r="C25" s="10">
        <f t="shared" si="2"/>
        <v>23</v>
      </c>
      <c r="D25" s="18">
        <f t="shared" si="4"/>
        <v>9255377.98379918</v>
      </c>
      <c r="E25" s="18">
        <f>IF(OR(D25&lt;=0,C25&gt;'Input Data'!$B$23*12),0,IF(AND(C25='Input Data'!$B$23*12,'Input Data'!$E$23&gt;'Input Data'!$B$23),D25+D25*B25/12,IF('Input Data'!$C$23="FRM",-PMT($B$3/12,'Input Data'!$E$23*12,$D$3),IF($A25,-PMT(B25/12,('Input Data'!$E$23*12)-C25+1,D25),E24))))</f>
        <v>85359.078440742815</v>
      </c>
      <c r="F25" s="18">
        <f t="shared" si="1"/>
        <v>9170018.9053584374</v>
      </c>
      <c r="G25" s="18">
        <f>IF(C25&gt;'Input Data'!$B$23*12,0,D25*B25/12)</f>
        <v>47048.171417645826</v>
      </c>
      <c r="H25" s="18">
        <f t="shared" si="0"/>
        <v>38310.907023096988</v>
      </c>
      <c r="I25" s="18">
        <f t="shared" si="3"/>
        <v>9217067.0767760836</v>
      </c>
    </row>
    <row r="26" spans="1:9" x14ac:dyDescent="0.25">
      <c r="A26" t="b">
        <f>IF(('Input Data'!$C$23)="FRM", FALSE, ISNUMBER(MATCH(C26,'Input Data'!$M$18:$M$30,0)))</f>
        <v>0</v>
      </c>
      <c r="B26" s="8">
        <f>IF($A26, _xlfn.XLOOKUP(C26,'Input Data'!$M$17:$M$29,'Input Data'!$N$17:$N$29),$B25)</f>
        <v>6.0999999999999999E-2</v>
      </c>
      <c r="C26" s="10">
        <f t="shared" si="2"/>
        <v>24</v>
      </c>
      <c r="D26" s="18">
        <f t="shared" si="4"/>
        <v>9217067.0767760836</v>
      </c>
      <c r="E26" s="18">
        <f>IF(OR(D26&lt;=0,C26&gt;'Input Data'!$B$23*12),0,IF(AND(C26='Input Data'!$B$23*12,'Input Data'!$E$23&gt;'Input Data'!$B$23),D26+D26*B26/12,IF('Input Data'!$C$23="FRM",-PMT($B$3/12,'Input Data'!$E$23*12,$D$3),IF($A26,-PMT(B26/12,('Input Data'!$E$23*12)-C26+1,D26),E25))))</f>
        <v>85359.078440742815</v>
      </c>
      <c r="F26" s="18">
        <f t="shared" si="1"/>
        <v>9131707.998335341</v>
      </c>
      <c r="G26" s="18">
        <f>IF(C26&gt;'Input Data'!$B$23*12,0,D26*B26/12)</f>
        <v>46853.424306945089</v>
      </c>
      <c r="H26" s="18">
        <f t="shared" si="0"/>
        <v>38505.654133797725</v>
      </c>
      <c r="I26" s="18">
        <f t="shared" si="3"/>
        <v>9178561.422642285</v>
      </c>
    </row>
    <row r="27" spans="1:9" x14ac:dyDescent="0.25">
      <c r="A27" t="b">
        <f>IF(('Input Data'!$C$23)="FRM", FALSE, ISNUMBER(MATCH(C27,'Input Data'!$M$18:$M$30,0)))</f>
        <v>0</v>
      </c>
      <c r="B27" s="8">
        <f>IF($A27, _xlfn.XLOOKUP(C27,'Input Data'!$M$17:$M$29,'Input Data'!$N$17:$N$29),$B26)</f>
        <v>6.0999999999999999E-2</v>
      </c>
      <c r="C27" s="10">
        <f t="shared" si="2"/>
        <v>25</v>
      </c>
      <c r="D27" s="18">
        <f t="shared" si="4"/>
        <v>9178561.422642285</v>
      </c>
      <c r="E27" s="18">
        <f>IF(OR(D27&lt;=0,C27&gt;'Input Data'!$B$23*12),0,IF(AND(C27='Input Data'!$B$23*12,'Input Data'!$E$23&gt;'Input Data'!$B$23),D27+D27*B27/12,IF('Input Data'!$C$23="FRM",-PMT($B$3/12,'Input Data'!$E$23*12,$D$3),IF($A27,-PMT(B27/12,('Input Data'!$E$23*12)-C27+1,D27),E26))))</f>
        <v>85359.078440742815</v>
      </c>
      <c r="F27" s="18">
        <f t="shared" si="1"/>
        <v>9093202.3442015424</v>
      </c>
      <c r="G27" s="18">
        <f>IF(C27&gt;'Input Data'!$B$23*12,0,D27*B27/12)</f>
        <v>46657.687231764947</v>
      </c>
      <c r="H27" s="18">
        <f t="shared" si="0"/>
        <v>38701.391208977868</v>
      </c>
      <c r="I27" s="18">
        <f t="shared" si="3"/>
        <v>9139860.0314333066</v>
      </c>
    </row>
    <row r="28" spans="1:9" x14ac:dyDescent="0.25">
      <c r="A28" t="b">
        <f>IF(('Input Data'!$C$23)="FRM", FALSE, ISNUMBER(MATCH(C28,'Input Data'!$M$18:$M$30,0)))</f>
        <v>0</v>
      </c>
      <c r="B28" s="8">
        <f>IF($A28, _xlfn.XLOOKUP(C28,'Input Data'!$M$17:$M$29,'Input Data'!$N$17:$N$29),$B27)</f>
        <v>6.0999999999999999E-2</v>
      </c>
      <c r="C28" s="10">
        <f t="shared" si="2"/>
        <v>26</v>
      </c>
      <c r="D28" s="18">
        <f t="shared" si="4"/>
        <v>9139860.0314333066</v>
      </c>
      <c r="E28" s="18">
        <f>IF(OR(D28&lt;=0,C28&gt;'Input Data'!$B$23*12),0,IF(AND(C28='Input Data'!$B$23*12,'Input Data'!$E$23&gt;'Input Data'!$B$23),D28+D28*B28/12,IF('Input Data'!$C$23="FRM",-PMT($B$3/12,'Input Data'!$E$23*12,$D$3),IF($A28,-PMT(B28/12,('Input Data'!$E$23*12)-C28+1,D28),E27))))</f>
        <v>85359.078440742815</v>
      </c>
      <c r="F28" s="18">
        <f t="shared" si="1"/>
        <v>9054500.9529925641</v>
      </c>
      <c r="G28" s="18">
        <f>IF(C28&gt;'Input Data'!$B$23*12,0,D28*B28/12)</f>
        <v>46460.955159785975</v>
      </c>
      <c r="H28" s="18">
        <f t="shared" si="0"/>
        <v>38898.123280956839</v>
      </c>
      <c r="I28" s="18">
        <f t="shared" si="3"/>
        <v>9100961.9081523493</v>
      </c>
    </row>
    <row r="29" spans="1:9" x14ac:dyDescent="0.25">
      <c r="A29" t="b">
        <f>IF(('Input Data'!$C$23)="FRM", FALSE, ISNUMBER(MATCH(C29,'Input Data'!$M$18:$M$30,0)))</f>
        <v>0</v>
      </c>
      <c r="B29" s="8">
        <f>IF($A29, _xlfn.XLOOKUP(C29,'Input Data'!$M$17:$M$29,'Input Data'!$N$17:$N$29),$B28)</f>
        <v>6.0999999999999999E-2</v>
      </c>
      <c r="C29" s="10">
        <f t="shared" si="2"/>
        <v>27</v>
      </c>
      <c r="D29" s="18">
        <f t="shared" si="4"/>
        <v>9100961.9081523493</v>
      </c>
      <c r="E29" s="18">
        <f>IF(OR(D29&lt;=0,C29&gt;'Input Data'!$B$23*12),0,IF(AND(C29='Input Data'!$B$23*12,'Input Data'!$E$23&gt;'Input Data'!$B$23),D29+D29*B29/12,IF('Input Data'!$C$23="FRM",-PMT($B$3/12,'Input Data'!$E$23*12,$D$3),IF($A29,-PMT(B29/12,('Input Data'!$E$23*12)-C29+1,D29),E28))))</f>
        <v>85359.078440742815</v>
      </c>
      <c r="F29" s="18">
        <f t="shared" si="1"/>
        <v>9015602.8297116067</v>
      </c>
      <c r="G29" s="18">
        <f>IF(C29&gt;'Input Data'!$B$23*12,0,D29*B29/12)</f>
        <v>46263.223033107781</v>
      </c>
      <c r="H29" s="18">
        <f t="shared" si="0"/>
        <v>39095.855407635034</v>
      </c>
      <c r="I29" s="18">
        <f t="shared" si="3"/>
        <v>9061866.0527447145</v>
      </c>
    </row>
    <row r="30" spans="1:9" x14ac:dyDescent="0.25">
      <c r="A30" t="b">
        <f>IF(('Input Data'!$C$23)="FRM", FALSE, ISNUMBER(MATCH(C30,'Input Data'!$M$18:$M$30,0)))</f>
        <v>0</v>
      </c>
      <c r="B30" s="8">
        <f>IF($A30, _xlfn.XLOOKUP(C30,'Input Data'!$M$17:$M$29,'Input Data'!$N$17:$N$29),$B29)</f>
        <v>6.0999999999999999E-2</v>
      </c>
      <c r="C30" s="10">
        <f t="shared" si="2"/>
        <v>28</v>
      </c>
      <c r="D30" s="18">
        <f t="shared" si="4"/>
        <v>9061866.0527447145</v>
      </c>
      <c r="E30" s="18">
        <f>IF(OR(D30&lt;=0,C30&gt;'Input Data'!$B$23*12),0,IF(AND(C30='Input Data'!$B$23*12,'Input Data'!$E$23&gt;'Input Data'!$B$23),D30+D30*B30/12,IF('Input Data'!$C$23="FRM",-PMT($B$3/12,'Input Data'!$E$23*12,$D$3),IF($A30,-PMT(B30/12,('Input Data'!$E$23*12)-C30+1,D30),E29))))</f>
        <v>85359.078440742815</v>
      </c>
      <c r="F30" s="18">
        <f t="shared" si="1"/>
        <v>8976506.974303972</v>
      </c>
      <c r="G30" s="18">
        <f>IF(C30&gt;'Input Data'!$B$23*12,0,D30*B30/12)</f>
        <v>46064.485768118961</v>
      </c>
      <c r="H30" s="18">
        <f t="shared" si="0"/>
        <v>39294.592672623854</v>
      </c>
      <c r="I30" s="18">
        <f t="shared" si="3"/>
        <v>9022571.4600720908</v>
      </c>
    </row>
    <row r="31" spans="1:9" x14ac:dyDescent="0.25">
      <c r="A31" t="b">
        <f>IF(('Input Data'!$C$23)="FRM", FALSE, ISNUMBER(MATCH(C31,'Input Data'!$M$18:$M$30,0)))</f>
        <v>0</v>
      </c>
      <c r="B31" s="8">
        <f>IF($A31, _xlfn.XLOOKUP(C31,'Input Data'!$M$17:$M$29,'Input Data'!$N$17:$N$29),$B30)</f>
        <v>6.0999999999999999E-2</v>
      </c>
      <c r="C31" s="10">
        <f t="shared" si="2"/>
        <v>29</v>
      </c>
      <c r="D31" s="18">
        <f t="shared" si="4"/>
        <v>9022571.4600720908</v>
      </c>
      <c r="E31" s="18">
        <f>IF(OR(D31&lt;=0,C31&gt;'Input Data'!$B$23*12),0,IF(AND(C31='Input Data'!$B$23*12,'Input Data'!$E$23&gt;'Input Data'!$B$23),D31+D31*B31/12,IF('Input Data'!$C$23="FRM",-PMT($B$3/12,'Input Data'!$E$23*12,$D$3),IF($A31,-PMT(B31/12,('Input Data'!$E$23*12)-C31+1,D31),E30))))</f>
        <v>85359.078440742815</v>
      </c>
      <c r="F31" s="18">
        <f t="shared" si="1"/>
        <v>8937212.3816313483</v>
      </c>
      <c r="G31" s="18">
        <f>IF(C31&gt;'Input Data'!$B$23*12,0,D31*B31/12)</f>
        <v>45864.738255366457</v>
      </c>
      <c r="H31" s="18">
        <f t="shared" si="0"/>
        <v>39494.340185376357</v>
      </c>
      <c r="I31" s="18">
        <f t="shared" si="3"/>
        <v>8983077.119886715</v>
      </c>
    </row>
    <row r="32" spans="1:9" x14ac:dyDescent="0.25">
      <c r="A32" t="b">
        <f>IF(('Input Data'!$C$23)="FRM", FALSE, ISNUMBER(MATCH(C32,'Input Data'!$M$18:$M$30,0)))</f>
        <v>1</v>
      </c>
      <c r="B32" s="8">
        <f>IF($A32, _xlfn.XLOOKUP(C32,'Input Data'!$M$17:$M$29,'Input Data'!$N$17:$N$29),$B31)</f>
        <v>0.05</v>
      </c>
      <c r="C32" s="10">
        <f t="shared" si="2"/>
        <v>30</v>
      </c>
      <c r="D32" s="18">
        <f t="shared" si="4"/>
        <v>8983077.119886715</v>
      </c>
      <c r="E32" s="18">
        <f>IF(OR(D32&lt;=0,C32&gt;'Input Data'!$B$23*12),0,IF(AND(C32='Input Data'!$B$23*12,'Input Data'!$E$23&gt;'Input Data'!$B$23),D32+D32*B32/12,IF('Input Data'!$C$23="FRM",-PMT($B$3/12,'Input Data'!$E$23*12,$D$3),IF($A32,-PMT(B32/12,('Input Data'!$E$23*12)-C32+1,D32),E31))))</f>
        <v>80274.798338602559</v>
      </c>
      <c r="F32" s="18">
        <f t="shared" si="1"/>
        <v>8902802.3215481117</v>
      </c>
      <c r="G32" s="18">
        <f>IF(C32&gt;'Input Data'!$B$23*12,0,D32*B32/12)</f>
        <v>37429.487999527984</v>
      </c>
      <c r="H32" s="18">
        <f t="shared" si="0"/>
        <v>42845.310339074575</v>
      </c>
      <c r="I32" s="18">
        <f t="shared" si="3"/>
        <v>8940231.8095476404</v>
      </c>
    </row>
    <row r="33" spans="1:9" x14ac:dyDescent="0.25">
      <c r="A33" t="b">
        <f>IF(('Input Data'!$C$23)="FRM", FALSE, ISNUMBER(MATCH(C33,'Input Data'!$M$18:$M$30,0)))</f>
        <v>0</v>
      </c>
      <c r="B33" s="8">
        <f>IF($A33, _xlfn.XLOOKUP(C33,'Input Data'!$M$17:$M$29,'Input Data'!$N$17:$N$29),$B32)</f>
        <v>0.05</v>
      </c>
      <c r="C33" s="10">
        <f t="shared" si="2"/>
        <v>31</v>
      </c>
      <c r="D33" s="18">
        <f t="shared" si="4"/>
        <v>8940231.8095476404</v>
      </c>
      <c r="E33" s="18">
        <f>IF(OR(D33&lt;=0,C33&gt;'Input Data'!$B$23*12),0,IF(AND(C33='Input Data'!$B$23*12,'Input Data'!$E$23&gt;'Input Data'!$B$23),D33+D33*B33/12,IF('Input Data'!$C$23="FRM",-PMT($B$3/12,'Input Data'!$E$23*12,$D$3),IF($A33,-PMT(B33/12,('Input Data'!$E$23*12)-C33+1,D33),E32))))</f>
        <v>80274.798338602559</v>
      </c>
      <c r="F33" s="18">
        <f t="shared" si="1"/>
        <v>8859957.0112090372</v>
      </c>
      <c r="G33" s="18">
        <f>IF(C33&gt;'Input Data'!$B$23*12,0,D33*B33/12)</f>
        <v>37250.965873115172</v>
      </c>
      <c r="H33" s="18">
        <f t="shared" si="0"/>
        <v>43023.832465487387</v>
      </c>
      <c r="I33" s="18">
        <f t="shared" si="3"/>
        <v>8897207.9770821538</v>
      </c>
    </row>
    <row r="34" spans="1:9" x14ac:dyDescent="0.25">
      <c r="A34" t="b">
        <f>IF(('Input Data'!$C$23)="FRM", FALSE, ISNUMBER(MATCH(C34,'Input Data'!$M$18:$M$30,0)))</f>
        <v>0</v>
      </c>
      <c r="B34" s="8">
        <f>IF($A34, _xlfn.XLOOKUP(C34,'Input Data'!$M$17:$M$29,'Input Data'!$N$17:$N$29),$B33)</f>
        <v>0.05</v>
      </c>
      <c r="C34" s="10">
        <f t="shared" si="2"/>
        <v>32</v>
      </c>
      <c r="D34" s="18">
        <f t="shared" si="4"/>
        <v>8897207.9770821538</v>
      </c>
      <c r="E34" s="18">
        <f>IF(OR(D34&lt;=0,C34&gt;'Input Data'!$B$23*12),0,IF(AND(C34='Input Data'!$B$23*12,'Input Data'!$E$23&gt;'Input Data'!$B$23),D34+D34*B34/12,IF('Input Data'!$C$23="FRM",-PMT($B$3/12,'Input Data'!$E$23*12,$D$3),IF($A34,-PMT(B34/12,('Input Data'!$E$23*12)-C34+1,D34),E33))))</f>
        <v>80274.798338602559</v>
      </c>
      <c r="F34" s="18">
        <f t="shared" si="1"/>
        <v>8816933.1787435506</v>
      </c>
      <c r="G34" s="18">
        <f>IF(C34&gt;'Input Data'!$B$23*12,0,D34*B34/12)</f>
        <v>37071.699904508976</v>
      </c>
      <c r="H34" s="18">
        <f t="shared" si="0"/>
        <v>43203.098434093583</v>
      </c>
      <c r="I34" s="18">
        <f t="shared" si="3"/>
        <v>8854004.8786480594</v>
      </c>
    </row>
    <row r="35" spans="1:9" x14ac:dyDescent="0.25">
      <c r="A35" t="b">
        <f>IF(('Input Data'!$C$23)="FRM", FALSE, ISNUMBER(MATCH(C35,'Input Data'!$M$18:$M$30,0)))</f>
        <v>0</v>
      </c>
      <c r="B35" s="8">
        <f>IF($A35, _xlfn.XLOOKUP(C35,'Input Data'!$M$17:$M$29,'Input Data'!$N$17:$N$29),$B34)</f>
        <v>0.05</v>
      </c>
      <c r="C35" s="10">
        <f t="shared" si="2"/>
        <v>33</v>
      </c>
      <c r="D35" s="18">
        <f t="shared" si="4"/>
        <v>8854004.8786480594</v>
      </c>
      <c r="E35" s="18">
        <f>IF(OR(D35&lt;=0,C35&gt;'Input Data'!$B$23*12),0,IF(AND(C35='Input Data'!$B$23*12,'Input Data'!$E$23&gt;'Input Data'!$B$23),D35+D35*B35/12,IF('Input Data'!$C$23="FRM",-PMT($B$3/12,'Input Data'!$E$23*12,$D$3),IF($A35,-PMT(B35/12,('Input Data'!$E$23*12)-C35+1,D35),E34))))</f>
        <v>80274.798338602559</v>
      </c>
      <c r="F35" s="18">
        <f t="shared" si="1"/>
        <v>8773730.0803094562</v>
      </c>
      <c r="G35" s="18">
        <f>IF(C35&gt;'Input Data'!$B$23*12,0,D35*B35/12)</f>
        <v>36891.686994366915</v>
      </c>
      <c r="H35" s="18">
        <f t="shared" si="0"/>
        <v>43383.111344235644</v>
      </c>
      <c r="I35" s="18">
        <f t="shared" si="3"/>
        <v>8810621.7673038244</v>
      </c>
    </row>
    <row r="36" spans="1:9" x14ac:dyDescent="0.25">
      <c r="A36" t="b">
        <f>IF(('Input Data'!$C$23)="FRM", FALSE, ISNUMBER(MATCH(C36,'Input Data'!$M$18:$M$30,0)))</f>
        <v>0</v>
      </c>
      <c r="B36" s="8">
        <f>IF($A36, _xlfn.XLOOKUP(C36,'Input Data'!$M$17:$M$29,'Input Data'!$N$17:$N$29),$B35)</f>
        <v>0.05</v>
      </c>
      <c r="C36" s="10">
        <f t="shared" si="2"/>
        <v>34</v>
      </c>
      <c r="D36" s="18">
        <f t="shared" si="4"/>
        <v>8810621.7673038244</v>
      </c>
      <c r="E36" s="18">
        <f>IF(OR(D36&lt;=0,C36&gt;'Input Data'!$B$23*12),0,IF(AND(C36='Input Data'!$B$23*12,'Input Data'!$E$23&gt;'Input Data'!$B$23),D36+D36*B36/12,IF('Input Data'!$C$23="FRM",-PMT($B$3/12,'Input Data'!$E$23*12,$D$3),IF($A36,-PMT(B36/12,('Input Data'!$E$23*12)-C36+1,D36),E35))))</f>
        <v>80274.798338602559</v>
      </c>
      <c r="F36" s="18">
        <f t="shared" si="1"/>
        <v>8730346.9689652212</v>
      </c>
      <c r="G36" s="18">
        <f>IF(C36&gt;'Input Data'!$B$23*12,0,D36*B36/12)</f>
        <v>36710.924030432601</v>
      </c>
      <c r="H36" s="18">
        <f t="shared" si="0"/>
        <v>43563.874308169958</v>
      </c>
      <c r="I36" s="18">
        <f t="shared" si="3"/>
        <v>8767057.8929956537</v>
      </c>
    </row>
    <row r="37" spans="1:9" x14ac:dyDescent="0.25">
      <c r="A37" t="b">
        <f>IF(('Input Data'!$C$23)="FRM", FALSE, ISNUMBER(MATCH(C37,'Input Data'!$M$18:$M$30,0)))</f>
        <v>0</v>
      </c>
      <c r="B37" s="8">
        <f>IF($A37, _xlfn.XLOOKUP(C37,'Input Data'!$M$17:$M$29,'Input Data'!$N$17:$N$29),$B36)</f>
        <v>0.05</v>
      </c>
      <c r="C37" s="10">
        <f t="shared" si="2"/>
        <v>35</v>
      </c>
      <c r="D37" s="18">
        <f t="shared" si="4"/>
        <v>8767057.8929956537</v>
      </c>
      <c r="E37" s="18">
        <f>IF(OR(D37&lt;=0,C37&gt;'Input Data'!$B$23*12),0,IF(AND(C37='Input Data'!$B$23*12,'Input Data'!$E$23&gt;'Input Data'!$B$23),D37+D37*B37/12,IF('Input Data'!$C$23="FRM",-PMT($B$3/12,'Input Data'!$E$23*12,$D$3),IF($A37,-PMT(B37/12,('Input Data'!$E$23*12)-C37+1,D37),E36))))</f>
        <v>80274.798338602559</v>
      </c>
      <c r="F37" s="18">
        <f t="shared" si="1"/>
        <v>8686783.0946570504</v>
      </c>
      <c r="G37" s="18">
        <f>IF(C37&gt;'Input Data'!$B$23*12,0,D37*B37/12)</f>
        <v>36529.407887481888</v>
      </c>
      <c r="H37" s="18">
        <f t="shared" si="0"/>
        <v>43745.390451120671</v>
      </c>
      <c r="I37" s="18">
        <f t="shared" si="3"/>
        <v>8723312.5025445335</v>
      </c>
    </row>
    <row r="38" spans="1:9" x14ac:dyDescent="0.25">
      <c r="A38" t="b">
        <f>IF(('Input Data'!$C$23)="FRM", FALSE, ISNUMBER(MATCH(C38,'Input Data'!$M$18:$M$30,0)))</f>
        <v>0</v>
      </c>
      <c r="B38" s="8">
        <f>IF($A38, _xlfn.XLOOKUP(C38,'Input Data'!$M$17:$M$29,'Input Data'!$N$17:$N$29),$B37)</f>
        <v>0.05</v>
      </c>
      <c r="C38" s="10">
        <f t="shared" si="2"/>
        <v>36</v>
      </c>
      <c r="D38" s="18">
        <f t="shared" si="4"/>
        <v>8723312.5025445335</v>
      </c>
      <c r="E38" s="18">
        <f>IF(OR(D38&lt;=0,C38&gt;'Input Data'!$B$23*12),0,IF(AND(C38='Input Data'!$B$23*12,'Input Data'!$E$23&gt;'Input Data'!$B$23),D38+D38*B38/12,IF('Input Data'!$C$23="FRM",-PMT($B$3/12,'Input Data'!$E$23*12,$D$3),IF($A38,-PMT(B38/12,('Input Data'!$E$23*12)-C38+1,D38),E37))))</f>
        <v>80274.798338602559</v>
      </c>
      <c r="F38" s="18">
        <f t="shared" si="1"/>
        <v>8643037.7042059302</v>
      </c>
      <c r="G38" s="18">
        <f>IF(C38&gt;'Input Data'!$B$23*12,0,D38*B38/12)</f>
        <v>36347.135427268891</v>
      </c>
      <c r="H38" s="18">
        <f t="shared" si="0"/>
        <v>43927.662911333668</v>
      </c>
      <c r="I38" s="18">
        <f t="shared" si="3"/>
        <v>8679384.8396332003</v>
      </c>
    </row>
    <row r="39" spans="1:9" x14ac:dyDescent="0.25">
      <c r="A39" t="b">
        <f>IF(('Input Data'!$C$23)="FRM", FALSE, ISNUMBER(MATCH(C39,'Input Data'!$M$18:$M$30,0)))</f>
        <v>0</v>
      </c>
      <c r="B39" s="8">
        <f>IF($A39, _xlfn.XLOOKUP(C39,'Input Data'!$M$17:$M$29,'Input Data'!$N$17:$N$29),$B38)</f>
        <v>0.05</v>
      </c>
      <c r="C39" s="10">
        <f t="shared" si="2"/>
        <v>37</v>
      </c>
      <c r="D39" s="18">
        <f t="shared" si="4"/>
        <v>8679384.8396332003</v>
      </c>
      <c r="E39" s="18">
        <f>IF(OR(D39&lt;=0,C39&gt;'Input Data'!$B$23*12),0,IF(AND(C39='Input Data'!$B$23*12,'Input Data'!$E$23&gt;'Input Data'!$B$23),D39+D39*B39/12,IF('Input Data'!$C$23="FRM",-PMT($B$3/12,'Input Data'!$E$23*12,$D$3),IF($A39,-PMT(B39/12,('Input Data'!$E$23*12)-C39+1,D39),E38))))</f>
        <v>80274.798338602559</v>
      </c>
      <c r="F39" s="18">
        <f t="shared" si="1"/>
        <v>8599110.0412945971</v>
      </c>
      <c r="G39" s="18">
        <f>IF(C39&gt;'Input Data'!$B$23*12,0,D39*B39/12)</f>
        <v>36164.103498471668</v>
      </c>
      <c r="H39" s="18">
        <f t="shared" si="0"/>
        <v>44110.694840130891</v>
      </c>
      <c r="I39" s="18">
        <f t="shared" si="3"/>
        <v>8635274.144793069</v>
      </c>
    </row>
    <row r="40" spans="1:9" x14ac:dyDescent="0.25">
      <c r="A40" t="b">
        <f>IF(('Input Data'!$C$23)="FRM", FALSE, ISNUMBER(MATCH(C40,'Input Data'!$M$18:$M$30,0)))</f>
        <v>0</v>
      </c>
      <c r="B40" s="8">
        <f>IF($A40, _xlfn.XLOOKUP(C40,'Input Data'!$M$17:$M$29,'Input Data'!$N$17:$N$29),$B39)</f>
        <v>0.05</v>
      </c>
      <c r="C40" s="10">
        <f t="shared" si="2"/>
        <v>38</v>
      </c>
      <c r="D40" s="18">
        <f t="shared" si="4"/>
        <v>8635274.144793069</v>
      </c>
      <c r="E40" s="18">
        <f>IF(OR(D40&lt;=0,C40&gt;'Input Data'!$B$23*12),0,IF(AND(C40='Input Data'!$B$23*12,'Input Data'!$E$23&gt;'Input Data'!$B$23),D40+D40*B40/12,IF('Input Data'!$C$23="FRM",-PMT($B$3/12,'Input Data'!$E$23*12,$D$3),IF($A40,-PMT(B40/12,('Input Data'!$E$23*12)-C40+1,D40),E39))))</f>
        <v>80274.798338602559</v>
      </c>
      <c r="F40" s="18">
        <f t="shared" si="1"/>
        <v>8554999.3464544658</v>
      </c>
      <c r="G40" s="18">
        <f>IF(C40&gt;'Input Data'!$B$23*12,0,D40*B40/12)</f>
        <v>35980.30893663779</v>
      </c>
      <c r="H40" s="18">
        <f t="shared" si="0"/>
        <v>44294.489401964769</v>
      </c>
      <c r="I40" s="18">
        <f t="shared" si="3"/>
        <v>8590979.6553911045</v>
      </c>
    </row>
    <row r="41" spans="1:9" x14ac:dyDescent="0.25">
      <c r="A41" t="b">
        <f>IF(('Input Data'!$C$23)="FRM", FALSE, ISNUMBER(MATCH(C41,'Input Data'!$M$18:$M$30,0)))</f>
        <v>0</v>
      </c>
      <c r="B41" s="8">
        <f>IF($A41, _xlfn.XLOOKUP(C41,'Input Data'!$M$17:$M$29,'Input Data'!$N$17:$N$29),$B40)</f>
        <v>0.05</v>
      </c>
      <c r="C41" s="10">
        <f t="shared" si="2"/>
        <v>39</v>
      </c>
      <c r="D41" s="18">
        <f t="shared" si="4"/>
        <v>8590979.6553911045</v>
      </c>
      <c r="E41" s="18">
        <f>IF(OR(D41&lt;=0,C41&gt;'Input Data'!$B$23*12),0,IF(AND(C41='Input Data'!$B$23*12,'Input Data'!$E$23&gt;'Input Data'!$B$23),D41+D41*B41/12,IF('Input Data'!$C$23="FRM",-PMT($B$3/12,'Input Data'!$E$23*12,$D$3),IF($A41,-PMT(B41/12,('Input Data'!$E$23*12)-C41+1,D41),E40))))</f>
        <v>80274.798338602559</v>
      </c>
      <c r="F41" s="18">
        <f t="shared" si="1"/>
        <v>8510704.8570525013</v>
      </c>
      <c r="G41" s="18">
        <f>IF(C41&gt;'Input Data'!$B$23*12,0,D41*B41/12)</f>
        <v>35795.748564129601</v>
      </c>
      <c r="H41" s="18">
        <f t="shared" si="0"/>
        <v>44479.049774472958</v>
      </c>
      <c r="I41" s="18">
        <f t="shared" si="3"/>
        <v>8546500.605616631</v>
      </c>
    </row>
    <row r="42" spans="1:9" x14ac:dyDescent="0.25">
      <c r="A42" t="b">
        <f>IF(('Input Data'!$C$23)="FRM", FALSE, ISNUMBER(MATCH(C42,'Input Data'!$M$18:$M$30,0)))</f>
        <v>0</v>
      </c>
      <c r="B42" s="8">
        <f>IF($A42, _xlfn.XLOOKUP(C42,'Input Data'!$M$17:$M$29,'Input Data'!$N$17:$N$29),$B41)</f>
        <v>0.05</v>
      </c>
      <c r="C42" s="10">
        <f t="shared" si="2"/>
        <v>40</v>
      </c>
      <c r="D42" s="18">
        <f t="shared" si="4"/>
        <v>8546500.605616631</v>
      </c>
      <c r="E42" s="18">
        <f>IF(OR(D42&lt;=0,C42&gt;'Input Data'!$B$23*12),0,IF(AND(C42='Input Data'!$B$23*12,'Input Data'!$E$23&gt;'Input Data'!$B$23),D42+D42*B42/12,IF('Input Data'!$C$23="FRM",-PMT($B$3/12,'Input Data'!$E$23*12,$D$3),IF($A42,-PMT(B42/12,('Input Data'!$E$23*12)-C42+1,D42),E41))))</f>
        <v>80274.798338602559</v>
      </c>
      <c r="F42" s="18">
        <f t="shared" si="1"/>
        <v>8466225.8072780278</v>
      </c>
      <c r="G42" s="18">
        <f>IF(C42&gt;'Input Data'!$B$23*12,0,D42*B42/12)</f>
        <v>35610.419190069297</v>
      </c>
      <c r="H42" s="18">
        <f t="shared" si="0"/>
        <v>44664.379148533262</v>
      </c>
      <c r="I42" s="18">
        <f t="shared" si="3"/>
        <v>8501836.2264680974</v>
      </c>
    </row>
    <row r="43" spans="1:9" x14ac:dyDescent="0.25">
      <c r="A43" t="b">
        <f>IF(('Input Data'!$C$23)="FRM", FALSE, ISNUMBER(MATCH(C43,'Input Data'!$M$18:$M$30,0)))</f>
        <v>0</v>
      </c>
      <c r="B43" s="8">
        <f>IF($A43, _xlfn.XLOOKUP(C43,'Input Data'!$M$17:$M$29,'Input Data'!$N$17:$N$29),$B42)</f>
        <v>0.05</v>
      </c>
      <c r="C43" s="10">
        <f t="shared" si="2"/>
        <v>41</v>
      </c>
      <c r="D43" s="18">
        <f t="shared" si="4"/>
        <v>8501836.2264680974</v>
      </c>
      <c r="E43" s="18">
        <f>IF(OR(D43&lt;=0,C43&gt;'Input Data'!$B$23*12),0,IF(AND(C43='Input Data'!$B$23*12,'Input Data'!$E$23&gt;'Input Data'!$B$23),D43+D43*B43/12,IF('Input Data'!$C$23="FRM",-PMT($B$3/12,'Input Data'!$E$23*12,$D$3),IF($A43,-PMT(B43/12,('Input Data'!$E$23*12)-C43+1,D43),E42))))</f>
        <v>80274.798338602559</v>
      </c>
      <c r="F43" s="18">
        <f t="shared" si="1"/>
        <v>8421561.4281294942</v>
      </c>
      <c r="G43" s="18">
        <f>IF(C43&gt;'Input Data'!$B$23*12,0,D43*B43/12)</f>
        <v>35424.317610283739</v>
      </c>
      <c r="H43" s="18">
        <f t="shared" si="0"/>
        <v>44850.48072831882</v>
      </c>
      <c r="I43" s="18">
        <f t="shared" si="3"/>
        <v>8456985.7457397785</v>
      </c>
    </row>
    <row r="44" spans="1:9" x14ac:dyDescent="0.25">
      <c r="A44" t="b">
        <f>IF(('Input Data'!$C$23)="FRM", FALSE, ISNUMBER(MATCH(C44,'Input Data'!$M$18:$M$30,0)))</f>
        <v>0</v>
      </c>
      <c r="B44" s="8">
        <f>IF($A44, _xlfn.XLOOKUP(C44,'Input Data'!$M$17:$M$29,'Input Data'!$N$17:$N$29),$B43)</f>
        <v>0.05</v>
      </c>
      <c r="C44" s="10">
        <f t="shared" si="2"/>
        <v>42</v>
      </c>
      <c r="D44" s="18">
        <f t="shared" si="4"/>
        <v>8456985.7457397785</v>
      </c>
      <c r="E44" s="18">
        <f>IF(OR(D44&lt;=0,C44&gt;'Input Data'!$B$23*12),0,IF(AND(C44='Input Data'!$B$23*12,'Input Data'!$E$23&gt;'Input Data'!$B$23),D44+D44*B44/12,IF('Input Data'!$C$23="FRM",-PMT($B$3/12,'Input Data'!$E$23*12,$D$3),IF($A44,-PMT(B44/12,('Input Data'!$E$23*12)-C44+1,D44),E43))))</f>
        <v>80274.798338602559</v>
      </c>
      <c r="F44" s="18">
        <f t="shared" si="1"/>
        <v>8376710.9474011762</v>
      </c>
      <c r="G44" s="18">
        <f>IF(C44&gt;'Input Data'!$B$23*12,0,D44*B44/12)</f>
        <v>35237.440607249075</v>
      </c>
      <c r="H44" s="18">
        <f t="shared" si="0"/>
        <v>45037.357731353484</v>
      </c>
      <c r="I44" s="18">
        <f t="shared" si="3"/>
        <v>8411948.388008425</v>
      </c>
    </row>
    <row r="45" spans="1:9" x14ac:dyDescent="0.25">
      <c r="A45" t="b">
        <f>IF(('Input Data'!$C$23)="FRM", FALSE, ISNUMBER(MATCH(C45,'Input Data'!$M$18:$M$30,0)))</f>
        <v>0</v>
      </c>
      <c r="B45" s="8">
        <f>IF($A45, _xlfn.XLOOKUP(C45,'Input Data'!$M$17:$M$29,'Input Data'!$N$17:$N$29),$B44)</f>
        <v>0.05</v>
      </c>
      <c r="C45" s="10">
        <f t="shared" si="2"/>
        <v>43</v>
      </c>
      <c r="D45" s="18">
        <f t="shared" si="4"/>
        <v>8411948.388008425</v>
      </c>
      <c r="E45" s="18">
        <f>IF(OR(D45&lt;=0,C45&gt;'Input Data'!$B$23*12),0,IF(AND(C45='Input Data'!$B$23*12,'Input Data'!$E$23&gt;'Input Data'!$B$23),D45+D45*B45/12,IF('Input Data'!$C$23="FRM",-PMT($B$3/12,'Input Data'!$E$23*12,$D$3),IF($A45,-PMT(B45/12,('Input Data'!$E$23*12)-C45+1,D45),E44))))</f>
        <v>80274.798338602559</v>
      </c>
      <c r="F45" s="18">
        <f t="shared" si="1"/>
        <v>8331673.5896698227</v>
      </c>
      <c r="G45" s="18">
        <f>IF(C45&gt;'Input Data'!$B$23*12,0,D45*B45/12)</f>
        <v>35049.784950035108</v>
      </c>
      <c r="H45" s="18">
        <f t="shared" si="0"/>
        <v>45225.013388567451</v>
      </c>
      <c r="I45" s="18">
        <f t="shared" si="3"/>
        <v>8366723.3746198574</v>
      </c>
    </row>
    <row r="46" spans="1:9" x14ac:dyDescent="0.25">
      <c r="A46" t="b">
        <f>IF(('Input Data'!$C$23)="FRM", FALSE, ISNUMBER(MATCH(C46,'Input Data'!$M$18:$M$30,0)))</f>
        <v>0</v>
      </c>
      <c r="B46" s="8">
        <f>IF($A46, _xlfn.XLOOKUP(C46,'Input Data'!$M$17:$M$29,'Input Data'!$N$17:$N$29),$B45)</f>
        <v>0.05</v>
      </c>
      <c r="C46" s="10">
        <f t="shared" si="2"/>
        <v>44</v>
      </c>
      <c r="D46" s="18">
        <f t="shared" si="4"/>
        <v>8366723.3746198574</v>
      </c>
      <c r="E46" s="18">
        <f>IF(OR(D46&lt;=0,C46&gt;'Input Data'!$B$23*12),0,IF(AND(C46='Input Data'!$B$23*12,'Input Data'!$E$23&gt;'Input Data'!$B$23),D46+D46*B46/12,IF('Input Data'!$C$23="FRM",-PMT($B$3/12,'Input Data'!$E$23*12,$D$3),IF($A46,-PMT(B46/12,('Input Data'!$E$23*12)-C46+1,D46),E45))))</f>
        <v>80274.798338602559</v>
      </c>
      <c r="F46" s="18">
        <f t="shared" si="1"/>
        <v>8286448.5762812551</v>
      </c>
      <c r="G46" s="18">
        <f>IF(C46&gt;'Input Data'!$B$23*12,0,D46*B46/12)</f>
        <v>34861.347394249409</v>
      </c>
      <c r="H46" s="18">
        <f t="shared" si="0"/>
        <v>45413.45094435315</v>
      </c>
      <c r="I46" s="18">
        <f t="shared" si="3"/>
        <v>8321309.9236755045</v>
      </c>
    </row>
    <row r="47" spans="1:9" x14ac:dyDescent="0.25">
      <c r="A47" t="b">
        <f>IF(('Input Data'!$C$23)="FRM", FALSE, ISNUMBER(MATCH(C47,'Input Data'!$M$18:$M$30,0)))</f>
        <v>0</v>
      </c>
      <c r="B47" s="8">
        <f>IF($A47, _xlfn.XLOOKUP(C47,'Input Data'!$M$17:$M$29,'Input Data'!$N$17:$N$29),$B46)</f>
        <v>0.05</v>
      </c>
      <c r="C47" s="10">
        <f t="shared" si="2"/>
        <v>45</v>
      </c>
      <c r="D47" s="18">
        <f t="shared" si="4"/>
        <v>8321309.9236755045</v>
      </c>
      <c r="E47" s="18">
        <f>IF(OR(D47&lt;=0,C47&gt;'Input Data'!$B$23*12),0,IF(AND(C47='Input Data'!$B$23*12,'Input Data'!$E$23&gt;'Input Data'!$B$23),D47+D47*B47/12,IF('Input Data'!$C$23="FRM",-PMT($B$3/12,'Input Data'!$E$23*12,$D$3),IF($A47,-PMT(B47/12,('Input Data'!$E$23*12)-C47+1,D47),E46))))</f>
        <v>80274.798338602559</v>
      </c>
      <c r="F47" s="18">
        <f t="shared" si="1"/>
        <v>8241035.1253369022</v>
      </c>
      <c r="G47" s="18">
        <f>IF(C47&gt;'Input Data'!$B$23*12,0,D47*B47/12)</f>
        <v>34672.124681981273</v>
      </c>
      <c r="H47" s="18">
        <f t="shared" si="0"/>
        <v>45602.673656621286</v>
      </c>
      <c r="I47" s="18">
        <f t="shared" si="3"/>
        <v>8275707.2500188835</v>
      </c>
    </row>
    <row r="48" spans="1:9" x14ac:dyDescent="0.25">
      <c r="A48" t="b">
        <f>IF(('Input Data'!$C$23)="FRM", FALSE, ISNUMBER(MATCH(C48,'Input Data'!$M$18:$M$30,0)))</f>
        <v>0</v>
      </c>
      <c r="B48" s="8">
        <f>IF($A48, _xlfn.XLOOKUP(C48,'Input Data'!$M$17:$M$29,'Input Data'!$N$17:$N$29),$B47)</f>
        <v>0.05</v>
      </c>
      <c r="C48" s="10">
        <f t="shared" si="2"/>
        <v>46</v>
      </c>
      <c r="D48" s="18">
        <f t="shared" si="4"/>
        <v>8275707.2500188835</v>
      </c>
      <c r="E48" s="18">
        <f>IF(OR(D48&lt;=0,C48&gt;'Input Data'!$B$23*12),0,IF(AND(C48='Input Data'!$B$23*12,'Input Data'!$E$23&gt;'Input Data'!$B$23),D48+D48*B48/12,IF('Input Data'!$C$23="FRM",-PMT($B$3/12,'Input Data'!$E$23*12,$D$3),IF($A48,-PMT(B48/12,('Input Data'!$E$23*12)-C48+1,D48),E47))))</f>
        <v>80274.798338602559</v>
      </c>
      <c r="F48" s="18">
        <f t="shared" si="1"/>
        <v>8195432.4516802812</v>
      </c>
      <c r="G48" s="18">
        <f>IF(C48&gt;'Input Data'!$B$23*12,0,D48*B48/12)</f>
        <v>34482.113541745348</v>
      </c>
      <c r="H48" s="18">
        <f t="shared" si="0"/>
        <v>45792.684796857211</v>
      </c>
      <c r="I48" s="18">
        <f t="shared" si="3"/>
        <v>8229914.5652220258</v>
      </c>
    </row>
    <row r="49" spans="1:9" x14ac:dyDescent="0.25">
      <c r="A49" t="b">
        <f>IF(('Input Data'!$C$23)="FRM", FALSE, ISNUMBER(MATCH(C49,'Input Data'!$M$18:$M$30,0)))</f>
        <v>0</v>
      </c>
      <c r="B49" s="8">
        <f>IF($A49, _xlfn.XLOOKUP(C49,'Input Data'!$M$17:$M$29,'Input Data'!$N$17:$N$29),$B48)</f>
        <v>0.05</v>
      </c>
      <c r="C49" s="10">
        <f t="shared" si="2"/>
        <v>47</v>
      </c>
      <c r="D49" s="18">
        <f t="shared" si="4"/>
        <v>8229914.5652220258</v>
      </c>
      <c r="E49" s="18">
        <f>IF(OR(D49&lt;=0,C49&gt;'Input Data'!$B$23*12),0,IF(AND(C49='Input Data'!$B$23*12,'Input Data'!$E$23&gt;'Input Data'!$B$23),D49+D49*B49/12,IF('Input Data'!$C$23="FRM",-PMT($B$3/12,'Input Data'!$E$23*12,$D$3),IF($A49,-PMT(B49/12,('Input Data'!$E$23*12)-C49+1,D49),E48))))</f>
        <v>80274.798338602559</v>
      </c>
      <c r="F49" s="18">
        <f t="shared" si="1"/>
        <v>8149639.7668834236</v>
      </c>
      <c r="G49" s="18">
        <f>IF(C49&gt;'Input Data'!$B$23*12,0,D49*B49/12)</f>
        <v>34291.31068842511</v>
      </c>
      <c r="H49" s="18">
        <f t="shared" si="0"/>
        <v>45983.487650177449</v>
      </c>
      <c r="I49" s="18">
        <f t="shared" si="3"/>
        <v>8183931.0775718484</v>
      </c>
    </row>
    <row r="50" spans="1:9" x14ac:dyDescent="0.25">
      <c r="A50" t="b">
        <f>IF(('Input Data'!$C$23)="FRM", FALSE, ISNUMBER(MATCH(C50,'Input Data'!$M$18:$M$30,0)))</f>
        <v>0</v>
      </c>
      <c r="B50" s="8">
        <f>IF($A50, _xlfn.XLOOKUP(C50,'Input Data'!$M$17:$M$29,'Input Data'!$N$17:$N$29),$B49)</f>
        <v>0.05</v>
      </c>
      <c r="C50" s="10">
        <f t="shared" si="2"/>
        <v>48</v>
      </c>
      <c r="D50" s="18">
        <f t="shared" si="4"/>
        <v>8183931.0775718484</v>
      </c>
      <c r="E50" s="18">
        <f>IF(OR(D50&lt;=0,C50&gt;'Input Data'!$B$23*12),0,IF(AND(C50='Input Data'!$B$23*12,'Input Data'!$E$23&gt;'Input Data'!$B$23),D50+D50*B50/12,IF('Input Data'!$C$23="FRM",-PMT($B$3/12,'Input Data'!$E$23*12,$D$3),IF($A50,-PMT(B50/12,('Input Data'!$E$23*12)-C50+1,D50),E49))))</f>
        <v>80274.798338602559</v>
      </c>
      <c r="F50" s="18">
        <f t="shared" si="1"/>
        <v>8103656.2792332461</v>
      </c>
      <c r="G50" s="18">
        <f>IF(C50&gt;'Input Data'!$B$23*12,0,D50*B50/12)</f>
        <v>34099.712823216039</v>
      </c>
      <c r="H50" s="18">
        <f t="shared" si="0"/>
        <v>46175.08551538652</v>
      </c>
      <c r="I50" s="18">
        <f t="shared" si="3"/>
        <v>8137755.992056462</v>
      </c>
    </row>
    <row r="51" spans="1:9" x14ac:dyDescent="0.25">
      <c r="A51" t="b">
        <f>IF(('Input Data'!$C$23)="FRM", FALSE, ISNUMBER(MATCH(C51,'Input Data'!$M$18:$M$30,0)))</f>
        <v>0</v>
      </c>
      <c r="B51" s="8">
        <f>IF($A51, _xlfn.XLOOKUP(C51,'Input Data'!$M$17:$M$29,'Input Data'!$N$17:$N$29),$B50)</f>
        <v>0.05</v>
      </c>
      <c r="C51" s="10">
        <f t="shared" si="2"/>
        <v>49</v>
      </c>
      <c r="D51" s="18">
        <f t="shared" si="4"/>
        <v>8137755.992056462</v>
      </c>
      <c r="E51" s="18">
        <f>IF(OR(D51&lt;=0,C51&gt;'Input Data'!$B$23*12),0,IF(AND(C51='Input Data'!$B$23*12,'Input Data'!$E$23&gt;'Input Data'!$B$23),D51+D51*B51/12,IF('Input Data'!$C$23="FRM",-PMT($B$3/12,'Input Data'!$E$23*12,$D$3),IF($A51,-PMT(B51/12,('Input Data'!$E$23*12)-C51+1,D51),E50))))</f>
        <v>80274.798338602559</v>
      </c>
      <c r="F51" s="18">
        <f t="shared" si="1"/>
        <v>8057481.1937178597</v>
      </c>
      <c r="G51" s="18">
        <f>IF(C51&gt;'Input Data'!$B$23*12,0,D51*B51/12)</f>
        <v>33907.316633568589</v>
      </c>
      <c r="H51" s="18">
        <f t="shared" si="0"/>
        <v>46367.48170503397</v>
      </c>
      <c r="I51" s="18">
        <f t="shared" si="3"/>
        <v>8091388.5103514278</v>
      </c>
    </row>
    <row r="52" spans="1:9" x14ac:dyDescent="0.25">
      <c r="A52" t="b">
        <f>IF(('Input Data'!$C$23)="FRM", FALSE, ISNUMBER(MATCH(C52,'Input Data'!$M$18:$M$30,0)))</f>
        <v>0</v>
      </c>
      <c r="B52" s="8">
        <f>IF($A52, _xlfn.XLOOKUP(C52,'Input Data'!$M$17:$M$29,'Input Data'!$N$17:$N$29),$B51)</f>
        <v>0.05</v>
      </c>
      <c r="C52" s="10">
        <f t="shared" si="2"/>
        <v>50</v>
      </c>
      <c r="D52" s="18">
        <f t="shared" si="4"/>
        <v>8091388.5103514278</v>
      </c>
      <c r="E52" s="18">
        <f>IF(OR(D52&lt;=0,C52&gt;'Input Data'!$B$23*12),0,IF(AND(C52='Input Data'!$B$23*12,'Input Data'!$E$23&gt;'Input Data'!$B$23),D52+D52*B52/12,IF('Input Data'!$C$23="FRM",-PMT($B$3/12,'Input Data'!$E$23*12,$D$3),IF($A52,-PMT(B52/12,('Input Data'!$E$23*12)-C52+1,D52),E51))))</f>
        <v>80274.798338602559</v>
      </c>
      <c r="F52" s="18">
        <f t="shared" si="1"/>
        <v>8011113.7120128255</v>
      </c>
      <c r="G52" s="18">
        <f>IF(C52&gt;'Input Data'!$B$23*12,0,D52*B52/12)</f>
        <v>33714.118793130947</v>
      </c>
      <c r="H52" s="18">
        <f t="shared" si="0"/>
        <v>46560.679545471612</v>
      </c>
      <c r="I52" s="18">
        <f t="shared" si="3"/>
        <v>8044827.8308059564</v>
      </c>
    </row>
    <row r="53" spans="1:9" x14ac:dyDescent="0.25">
      <c r="A53" t="b">
        <f>IF(('Input Data'!$C$23)="FRM", FALSE, ISNUMBER(MATCH(C53,'Input Data'!$M$18:$M$30,0)))</f>
        <v>0</v>
      </c>
      <c r="B53" s="8">
        <f>IF($A53, _xlfn.XLOOKUP(C53,'Input Data'!$M$17:$M$29,'Input Data'!$N$17:$N$29),$B52)</f>
        <v>0.05</v>
      </c>
      <c r="C53" s="10">
        <f t="shared" si="2"/>
        <v>51</v>
      </c>
      <c r="D53" s="18">
        <f t="shared" si="4"/>
        <v>8044827.8308059564</v>
      </c>
      <c r="E53" s="18">
        <f>IF(OR(D53&lt;=0,C53&gt;'Input Data'!$B$23*12),0,IF(AND(C53='Input Data'!$B$23*12,'Input Data'!$E$23&gt;'Input Data'!$B$23),D53+D53*B53/12,IF('Input Data'!$C$23="FRM",-PMT($B$3/12,'Input Data'!$E$23*12,$D$3),IF($A53,-PMT(B53/12,('Input Data'!$E$23*12)-C53+1,D53),E52))))</f>
        <v>80274.798338602559</v>
      </c>
      <c r="F53" s="18">
        <f t="shared" si="1"/>
        <v>7964553.0324673541</v>
      </c>
      <c r="G53" s="18">
        <f>IF(C53&gt;'Input Data'!$B$23*12,0,D53*B53/12)</f>
        <v>33520.115961691488</v>
      </c>
      <c r="H53" s="18">
        <f t="shared" si="0"/>
        <v>46754.682376911071</v>
      </c>
      <c r="I53" s="18">
        <f t="shared" si="3"/>
        <v>7998073.1484290455</v>
      </c>
    </row>
    <row r="54" spans="1:9" x14ac:dyDescent="0.25">
      <c r="A54" t="b">
        <f>IF(('Input Data'!$C$23)="FRM", FALSE, ISNUMBER(MATCH(C54,'Input Data'!$M$18:$M$30,0)))</f>
        <v>0</v>
      </c>
      <c r="B54" s="8">
        <f>IF($A54, _xlfn.XLOOKUP(C54,'Input Data'!$M$17:$M$29,'Input Data'!$N$17:$N$29),$B53)</f>
        <v>0.05</v>
      </c>
      <c r="C54" s="10">
        <f t="shared" si="2"/>
        <v>52</v>
      </c>
      <c r="D54" s="18">
        <f t="shared" si="4"/>
        <v>7998073.1484290455</v>
      </c>
      <c r="E54" s="18">
        <f>IF(OR(D54&lt;=0,C54&gt;'Input Data'!$B$23*12),0,IF(AND(C54='Input Data'!$B$23*12,'Input Data'!$E$23&gt;'Input Data'!$B$23),D54+D54*B54/12,IF('Input Data'!$C$23="FRM",-PMT($B$3/12,'Input Data'!$E$23*12,$D$3),IF($A54,-PMT(B54/12,('Input Data'!$E$23*12)-C54+1,D54),E53))))</f>
        <v>80274.798338602559</v>
      </c>
      <c r="F54" s="18">
        <f t="shared" si="1"/>
        <v>7917798.3500904432</v>
      </c>
      <c r="G54" s="18">
        <f>IF(C54&gt;'Input Data'!$B$23*12,0,D54*B54/12)</f>
        <v>33325.304785121021</v>
      </c>
      <c r="H54" s="18">
        <f t="shared" si="0"/>
        <v>46949.493553481538</v>
      </c>
      <c r="I54" s="18">
        <f t="shared" si="3"/>
        <v>7951123.6548755635</v>
      </c>
    </row>
    <row r="55" spans="1:9" x14ac:dyDescent="0.25">
      <c r="A55" t="b">
        <f>IF(('Input Data'!$C$23)="FRM", FALSE, ISNUMBER(MATCH(C55,'Input Data'!$M$18:$M$30,0)))</f>
        <v>0</v>
      </c>
      <c r="B55" s="8">
        <f>IF($A55, _xlfn.XLOOKUP(C55,'Input Data'!$M$17:$M$29,'Input Data'!$N$17:$N$29),$B54)</f>
        <v>0.05</v>
      </c>
      <c r="C55" s="10">
        <f t="shared" si="2"/>
        <v>53</v>
      </c>
      <c r="D55" s="18">
        <f t="shared" si="4"/>
        <v>7951123.6548755635</v>
      </c>
      <c r="E55" s="18">
        <f>IF(OR(D55&lt;=0,C55&gt;'Input Data'!$B$23*12),0,IF(AND(C55='Input Data'!$B$23*12,'Input Data'!$E$23&gt;'Input Data'!$B$23),D55+D55*B55/12,IF('Input Data'!$C$23="FRM",-PMT($B$3/12,'Input Data'!$E$23*12,$D$3),IF($A55,-PMT(B55/12,('Input Data'!$E$23*12)-C55+1,D55),E54))))</f>
        <v>80274.798338602559</v>
      </c>
      <c r="F55" s="18">
        <f t="shared" si="1"/>
        <v>7870848.8565369612</v>
      </c>
      <c r="G55" s="18">
        <f>IF(C55&gt;'Input Data'!$B$23*12,0,D55*B55/12)</f>
        <v>33129.681895314854</v>
      </c>
      <c r="H55" s="18">
        <f t="shared" si="0"/>
        <v>47145.116443287705</v>
      </c>
      <c r="I55" s="18">
        <f t="shared" si="3"/>
        <v>7903978.5384322759</v>
      </c>
    </row>
    <row r="56" spans="1:9" x14ac:dyDescent="0.25">
      <c r="A56" t="b">
        <f>IF(('Input Data'!$C$23)="FRM", FALSE, ISNUMBER(MATCH(C56,'Input Data'!$M$18:$M$30,0)))</f>
        <v>0</v>
      </c>
      <c r="B56" s="8">
        <f>IF($A56, _xlfn.XLOOKUP(C56,'Input Data'!$M$17:$M$29,'Input Data'!$N$17:$N$29),$B55)</f>
        <v>0.05</v>
      </c>
      <c r="C56" s="10">
        <f t="shared" si="2"/>
        <v>54</v>
      </c>
      <c r="D56" s="18">
        <f t="shared" si="4"/>
        <v>7903978.5384322759</v>
      </c>
      <c r="E56" s="18">
        <f>IF(OR(D56&lt;=0,C56&gt;'Input Data'!$B$23*12),0,IF(AND(C56='Input Data'!$B$23*12,'Input Data'!$E$23&gt;'Input Data'!$B$23),D56+D56*B56/12,IF('Input Data'!$C$23="FRM",-PMT($B$3/12,'Input Data'!$E$23*12,$D$3),IF($A56,-PMT(B56/12,('Input Data'!$E$23*12)-C56+1,D56),E55))))</f>
        <v>80274.798338602559</v>
      </c>
      <c r="F56" s="18">
        <f t="shared" si="1"/>
        <v>7823703.7400936736</v>
      </c>
      <c r="G56" s="18">
        <f>IF(C56&gt;'Input Data'!$B$23*12,0,D56*B56/12)</f>
        <v>32933.243910134486</v>
      </c>
      <c r="H56" s="18">
        <f t="shared" si="0"/>
        <v>47341.554428468073</v>
      </c>
      <c r="I56" s="18">
        <f t="shared" si="3"/>
        <v>7856636.9840038074</v>
      </c>
    </row>
    <row r="57" spans="1:9" x14ac:dyDescent="0.25">
      <c r="A57" t="b">
        <f>IF(('Input Data'!$C$23)="FRM", FALSE, ISNUMBER(MATCH(C57,'Input Data'!$M$18:$M$30,0)))</f>
        <v>0</v>
      </c>
      <c r="B57" s="8">
        <f>IF($A57, _xlfn.XLOOKUP(C57,'Input Data'!$M$17:$M$29,'Input Data'!$N$17:$N$29),$B56)</f>
        <v>0.05</v>
      </c>
      <c r="C57" s="10">
        <f t="shared" si="2"/>
        <v>55</v>
      </c>
      <c r="D57" s="18">
        <f t="shared" si="4"/>
        <v>7856636.9840038074</v>
      </c>
      <c r="E57" s="18">
        <f>IF(OR(D57&lt;=0,C57&gt;'Input Data'!$B$23*12),0,IF(AND(C57='Input Data'!$B$23*12,'Input Data'!$E$23&gt;'Input Data'!$B$23),D57+D57*B57/12,IF('Input Data'!$C$23="FRM",-PMT($B$3/12,'Input Data'!$E$23*12,$D$3),IF($A57,-PMT(B57/12,('Input Data'!$E$23*12)-C57+1,D57),E56))))</f>
        <v>80274.798338602559</v>
      </c>
      <c r="F57" s="18">
        <f t="shared" si="1"/>
        <v>7776362.1856652051</v>
      </c>
      <c r="G57" s="18">
        <f>IF(C57&gt;'Input Data'!$B$23*12,0,D57*B57/12)</f>
        <v>32735.987433349201</v>
      </c>
      <c r="H57" s="18">
        <f t="shared" si="0"/>
        <v>47538.810905253355</v>
      </c>
      <c r="I57" s="18">
        <f t="shared" si="3"/>
        <v>7809098.1730985539</v>
      </c>
    </row>
    <row r="58" spans="1:9" x14ac:dyDescent="0.25">
      <c r="A58" t="b">
        <f>IF(('Input Data'!$C$23)="FRM", FALSE, ISNUMBER(MATCH(C58,'Input Data'!$M$18:$M$30,0)))</f>
        <v>0</v>
      </c>
      <c r="B58" s="8">
        <f>IF($A58, _xlfn.XLOOKUP(C58,'Input Data'!$M$17:$M$29,'Input Data'!$N$17:$N$29),$B57)</f>
        <v>0.05</v>
      </c>
      <c r="C58" s="10">
        <f t="shared" si="2"/>
        <v>56</v>
      </c>
      <c r="D58" s="18">
        <f t="shared" si="4"/>
        <v>7809098.1730985539</v>
      </c>
      <c r="E58" s="18">
        <f>IF(OR(D58&lt;=0,C58&gt;'Input Data'!$B$23*12),0,IF(AND(C58='Input Data'!$B$23*12,'Input Data'!$E$23&gt;'Input Data'!$B$23),D58+D58*B58/12,IF('Input Data'!$C$23="FRM",-PMT($B$3/12,'Input Data'!$E$23*12,$D$3),IF($A58,-PMT(B58/12,('Input Data'!$E$23*12)-C58+1,D58),E57))))</f>
        <v>80274.798338602559</v>
      </c>
      <c r="F58" s="18">
        <f t="shared" si="1"/>
        <v>7728823.3747599516</v>
      </c>
      <c r="G58" s="18">
        <f>IF(C58&gt;'Input Data'!$B$23*12,0,D58*B58/12)</f>
        <v>32537.909054577311</v>
      </c>
      <c r="H58" s="18">
        <f t="shared" si="0"/>
        <v>47736.889284025252</v>
      </c>
      <c r="I58" s="18">
        <f t="shared" si="3"/>
        <v>7761361.283814529</v>
      </c>
    </row>
    <row r="59" spans="1:9" x14ac:dyDescent="0.25">
      <c r="A59" t="b">
        <f>IF(('Input Data'!$C$23)="FRM", FALSE, ISNUMBER(MATCH(C59,'Input Data'!$M$18:$M$30,0)))</f>
        <v>0</v>
      </c>
      <c r="B59" s="8">
        <f>IF($A59, _xlfn.XLOOKUP(C59,'Input Data'!$M$17:$M$29,'Input Data'!$N$17:$N$29),$B58)</f>
        <v>0.05</v>
      </c>
      <c r="C59" s="10">
        <f t="shared" si="2"/>
        <v>57</v>
      </c>
      <c r="D59" s="18">
        <f t="shared" si="4"/>
        <v>7761361.283814529</v>
      </c>
      <c r="E59" s="18">
        <f>IF(OR(D59&lt;=0,C59&gt;'Input Data'!$B$23*12),0,IF(AND(C59='Input Data'!$B$23*12,'Input Data'!$E$23&gt;'Input Data'!$B$23),D59+D59*B59/12,IF('Input Data'!$C$23="FRM",-PMT($B$3/12,'Input Data'!$E$23*12,$D$3),IF($A59,-PMT(B59/12,('Input Data'!$E$23*12)-C59+1,D59),E58))))</f>
        <v>80274.798338602559</v>
      </c>
      <c r="F59" s="18">
        <f t="shared" si="1"/>
        <v>7681086.4854759267</v>
      </c>
      <c r="G59" s="18">
        <f>IF(C59&gt;'Input Data'!$B$23*12,0,D59*B59/12)</f>
        <v>32339.005349227209</v>
      </c>
      <c r="H59" s="18">
        <f t="shared" si="0"/>
        <v>47935.792989375346</v>
      </c>
      <c r="I59" s="18">
        <f t="shared" si="3"/>
        <v>7713425.4908251539</v>
      </c>
    </row>
    <row r="60" spans="1:9" x14ac:dyDescent="0.25">
      <c r="A60" t="b">
        <f>IF(('Input Data'!$C$23)="FRM", FALSE, ISNUMBER(MATCH(C60,'Input Data'!$M$18:$M$30,0)))</f>
        <v>0</v>
      </c>
      <c r="B60" s="8">
        <f>IF($A60, _xlfn.XLOOKUP(C60,'Input Data'!$M$17:$M$29,'Input Data'!$N$17:$N$29),$B59)</f>
        <v>0.05</v>
      </c>
      <c r="C60" s="10">
        <f t="shared" si="2"/>
        <v>58</v>
      </c>
      <c r="D60" s="18">
        <f t="shared" si="4"/>
        <v>7713425.4908251539</v>
      </c>
      <c r="E60" s="18">
        <f>IF(OR(D60&lt;=0,C60&gt;'Input Data'!$B$23*12),0,IF(AND(C60='Input Data'!$B$23*12,'Input Data'!$E$23&gt;'Input Data'!$B$23),D60+D60*B60/12,IF('Input Data'!$C$23="FRM",-PMT($B$3/12,'Input Data'!$E$23*12,$D$3),IF($A60,-PMT(B60/12,('Input Data'!$E$23*12)-C60+1,D60),E59))))</f>
        <v>80274.798338602559</v>
      </c>
      <c r="F60" s="18">
        <f t="shared" si="1"/>
        <v>7633150.6924865516</v>
      </c>
      <c r="G60" s="18">
        <f>IF(C60&gt;'Input Data'!$B$23*12,0,D60*B60/12)</f>
        <v>32139.272878438143</v>
      </c>
      <c r="H60" s="18">
        <f t="shared" si="0"/>
        <v>48135.525460164412</v>
      </c>
      <c r="I60" s="18">
        <f t="shared" si="3"/>
        <v>7665289.9653649898</v>
      </c>
    </row>
    <row r="61" spans="1:9" x14ac:dyDescent="0.25">
      <c r="A61" t="b">
        <f>IF(('Input Data'!$C$23)="FRM", FALSE, ISNUMBER(MATCH(C61,'Input Data'!$M$18:$M$30,0)))</f>
        <v>0</v>
      </c>
      <c r="B61" s="8">
        <f>IF($A61, _xlfn.XLOOKUP(C61,'Input Data'!$M$17:$M$29,'Input Data'!$N$17:$N$29),$B60)</f>
        <v>0.05</v>
      </c>
      <c r="C61" s="10">
        <f t="shared" si="2"/>
        <v>59</v>
      </c>
      <c r="D61" s="18">
        <f t="shared" si="4"/>
        <v>7665289.9653649898</v>
      </c>
      <c r="E61" s="18">
        <f>IF(OR(D61&lt;=0,C61&gt;'Input Data'!$B$23*12),0,IF(AND(C61='Input Data'!$B$23*12,'Input Data'!$E$23&gt;'Input Data'!$B$23),D61+D61*B61/12,IF('Input Data'!$C$23="FRM",-PMT($B$3/12,'Input Data'!$E$23*12,$D$3),IF($A61,-PMT(B61/12,('Input Data'!$E$23*12)-C61+1,D61),E60))))</f>
        <v>80274.798338602559</v>
      </c>
      <c r="F61" s="18">
        <f t="shared" si="1"/>
        <v>7585015.1670263875</v>
      </c>
      <c r="G61" s="18">
        <f>IF(C61&gt;'Input Data'!$B$23*12,0,D61*B61/12)</f>
        <v>31938.708189020792</v>
      </c>
      <c r="H61" s="18">
        <f t="shared" si="0"/>
        <v>48336.090149581767</v>
      </c>
      <c r="I61" s="18">
        <f t="shared" si="3"/>
        <v>7616953.8752154084</v>
      </c>
    </row>
    <row r="62" spans="1:9" x14ac:dyDescent="0.25">
      <c r="A62" t="b">
        <f>IF(('Input Data'!$C$23)="FRM", FALSE, ISNUMBER(MATCH(C62,'Input Data'!$M$18:$M$30,0)))</f>
        <v>0</v>
      </c>
      <c r="B62" s="8">
        <f>IF($A62, _xlfn.XLOOKUP(C62,'Input Data'!$M$17:$M$29,'Input Data'!$N$17:$N$29),$B61)</f>
        <v>0.05</v>
      </c>
      <c r="C62" s="10">
        <f t="shared" si="2"/>
        <v>60</v>
      </c>
      <c r="D62" s="18">
        <f t="shared" si="4"/>
        <v>7616953.8752154084</v>
      </c>
      <c r="E62" s="18">
        <f>IF(OR(D62&lt;=0,C62&gt;'Input Data'!$B$23*12),0,IF(AND(C62='Input Data'!$B$23*12,'Input Data'!$E$23&gt;'Input Data'!$B$23),D62+D62*B62/12,IF('Input Data'!$C$23="FRM",-PMT($B$3/12,'Input Data'!$E$23*12,$D$3),IF($A62,-PMT(B62/12,('Input Data'!$E$23*12)-C62+1,D62),E61))))</f>
        <v>80274.798338602559</v>
      </c>
      <c r="F62" s="18">
        <f t="shared" si="1"/>
        <v>7536679.0768768061</v>
      </c>
      <c r="G62" s="18">
        <f>IF(C62&gt;'Input Data'!$B$23*12,0,D62*B62/12)</f>
        <v>31737.307813397536</v>
      </c>
      <c r="H62" s="18">
        <f t="shared" si="0"/>
        <v>48537.490525205023</v>
      </c>
      <c r="I62" s="18">
        <f t="shared" si="3"/>
        <v>7568416.3846902037</v>
      </c>
    </row>
    <row r="63" spans="1:9" x14ac:dyDescent="0.25">
      <c r="A63" t="b">
        <f>IF(('Input Data'!$C$23)="FRM", FALSE, ISNUMBER(MATCH(C63,'Input Data'!$M$18:$M$30,0)))</f>
        <v>0</v>
      </c>
      <c r="B63" s="8">
        <f>IF($A63, _xlfn.XLOOKUP(C63,'Input Data'!$M$17:$M$29,'Input Data'!$N$17:$N$29),$B62)</f>
        <v>0.05</v>
      </c>
      <c r="C63" s="10">
        <f t="shared" si="2"/>
        <v>61</v>
      </c>
      <c r="D63" s="18">
        <f t="shared" si="4"/>
        <v>7568416.3846902037</v>
      </c>
      <c r="E63" s="18">
        <f>IF(OR(D63&lt;=0,C63&gt;'Input Data'!$B$23*12),0,IF(AND(C63='Input Data'!$B$23*12,'Input Data'!$E$23&gt;'Input Data'!$B$23),D63+D63*B63/12,IF('Input Data'!$C$23="FRM",-PMT($B$3/12,'Input Data'!$E$23*12,$D$3),IF($A63,-PMT(B63/12,('Input Data'!$E$23*12)-C63+1,D63),E62))))</f>
        <v>80274.798338602559</v>
      </c>
      <c r="F63" s="18">
        <f t="shared" si="1"/>
        <v>7488141.5863516014</v>
      </c>
      <c r="G63" s="18">
        <f>IF(C63&gt;'Input Data'!$B$23*12,0,D63*B63/12)</f>
        <v>31535.068269542517</v>
      </c>
      <c r="H63" s="18">
        <f t="shared" si="0"/>
        <v>48739.730069060039</v>
      </c>
      <c r="I63" s="18">
        <f t="shared" si="3"/>
        <v>7519676.6546211438</v>
      </c>
    </row>
    <row r="64" spans="1:9" x14ac:dyDescent="0.25">
      <c r="A64" t="b">
        <f>IF(('Input Data'!$C$23)="FRM", FALSE, ISNUMBER(MATCH(C64,'Input Data'!$M$18:$M$30,0)))</f>
        <v>0</v>
      </c>
      <c r="B64" s="8">
        <f>IF($A64, _xlfn.XLOOKUP(C64,'Input Data'!$M$17:$M$29,'Input Data'!$N$17:$N$29),$B63)</f>
        <v>0.05</v>
      </c>
      <c r="C64" s="10">
        <f t="shared" si="2"/>
        <v>62</v>
      </c>
      <c r="D64" s="18">
        <f t="shared" si="4"/>
        <v>7519676.6546211438</v>
      </c>
      <c r="E64" s="18">
        <f>IF(OR(D64&lt;=0,C64&gt;'Input Data'!$B$23*12),0,IF(AND(C64='Input Data'!$B$23*12,'Input Data'!$E$23&gt;'Input Data'!$B$23),D64+D64*B64/12,IF('Input Data'!$C$23="FRM",-PMT($B$3/12,'Input Data'!$E$23*12,$D$3),IF($A64,-PMT(B64/12,('Input Data'!$E$23*12)-C64+1,D64),E63))))</f>
        <v>80274.798338602559</v>
      </c>
      <c r="F64" s="18">
        <f t="shared" si="1"/>
        <v>7439401.8562825415</v>
      </c>
      <c r="G64" s="18">
        <f>IF(C64&gt;'Input Data'!$B$23*12,0,D64*B64/12)</f>
        <v>31331.986060921434</v>
      </c>
      <c r="H64" s="18">
        <f t="shared" si="0"/>
        <v>48942.812277681121</v>
      </c>
      <c r="I64" s="18">
        <f t="shared" si="3"/>
        <v>7470733.8423434626</v>
      </c>
    </row>
    <row r="65" spans="1:9" x14ac:dyDescent="0.25">
      <c r="A65" t="b">
        <f>IF(('Input Data'!$C$23)="FRM", FALSE, ISNUMBER(MATCH(C65,'Input Data'!$M$18:$M$30,0)))</f>
        <v>0</v>
      </c>
      <c r="B65" s="8">
        <f>IF($A65, _xlfn.XLOOKUP(C65,'Input Data'!$M$17:$M$29,'Input Data'!$N$17:$N$29),$B64)</f>
        <v>0.05</v>
      </c>
      <c r="C65" s="10">
        <f t="shared" si="2"/>
        <v>63</v>
      </c>
      <c r="D65" s="18">
        <f t="shared" si="4"/>
        <v>7470733.8423434626</v>
      </c>
      <c r="E65" s="18">
        <f>IF(OR(D65&lt;=0,C65&gt;'Input Data'!$B$23*12),0,IF(AND(C65='Input Data'!$B$23*12,'Input Data'!$E$23&gt;'Input Data'!$B$23),D65+D65*B65/12,IF('Input Data'!$C$23="FRM",-PMT($B$3/12,'Input Data'!$E$23*12,$D$3),IF($A65,-PMT(B65/12,('Input Data'!$E$23*12)-C65+1,D65),E64))))</f>
        <v>80274.798338602559</v>
      </c>
      <c r="F65" s="18">
        <f t="shared" si="1"/>
        <v>7390459.0440048603</v>
      </c>
      <c r="G65" s="18">
        <f>IF(C65&gt;'Input Data'!$B$23*12,0,D65*B65/12)</f>
        <v>31128.057676431097</v>
      </c>
      <c r="H65" s="18">
        <f t="shared" si="0"/>
        <v>49146.740662171462</v>
      </c>
      <c r="I65" s="18">
        <f t="shared" si="3"/>
        <v>7421587.1016812911</v>
      </c>
    </row>
    <row r="66" spans="1:9" x14ac:dyDescent="0.25">
      <c r="A66" t="b">
        <f>IF(('Input Data'!$C$23)="FRM", FALSE, ISNUMBER(MATCH(C66,'Input Data'!$M$18:$M$30,0)))</f>
        <v>0</v>
      </c>
      <c r="B66" s="8">
        <f>IF($A66, _xlfn.XLOOKUP(C66,'Input Data'!$M$17:$M$29,'Input Data'!$N$17:$N$29),$B65)</f>
        <v>0.05</v>
      </c>
      <c r="C66" s="10">
        <f t="shared" si="2"/>
        <v>64</v>
      </c>
      <c r="D66" s="18">
        <f t="shared" si="4"/>
        <v>7421587.1016812911</v>
      </c>
      <c r="E66" s="18">
        <f>IF(OR(D66&lt;=0,C66&gt;'Input Data'!$B$23*12),0,IF(AND(C66='Input Data'!$B$23*12,'Input Data'!$E$23&gt;'Input Data'!$B$23),D66+D66*B66/12,IF('Input Data'!$C$23="FRM",-PMT($B$3/12,'Input Data'!$E$23*12,$D$3),IF($A66,-PMT(B66/12,('Input Data'!$E$23*12)-C66+1,D66),E65))))</f>
        <v>80274.798338602559</v>
      </c>
      <c r="F66" s="18">
        <f t="shared" si="1"/>
        <v>7341312.3033426888</v>
      </c>
      <c r="G66" s="18">
        <f>IF(C66&gt;'Input Data'!$B$23*12,0,D66*B66/12)</f>
        <v>30923.279590338716</v>
      </c>
      <c r="H66" s="18">
        <f t="shared" si="0"/>
        <v>49351.518748263843</v>
      </c>
      <c r="I66" s="18">
        <f t="shared" si="3"/>
        <v>7372235.5829330273</v>
      </c>
    </row>
    <row r="67" spans="1:9" x14ac:dyDescent="0.25">
      <c r="A67" t="b">
        <f>IF(('Input Data'!$C$23)="FRM", FALSE, ISNUMBER(MATCH(C67,'Input Data'!$M$18:$M$30,0)))</f>
        <v>0</v>
      </c>
      <c r="B67" s="8">
        <f>IF($A67, _xlfn.XLOOKUP(C67,'Input Data'!$M$17:$M$29,'Input Data'!$N$17:$N$29),$B66)</f>
        <v>0.05</v>
      </c>
      <c r="C67" s="10">
        <f t="shared" si="2"/>
        <v>65</v>
      </c>
      <c r="D67" s="18">
        <f t="shared" si="4"/>
        <v>7372235.5829330273</v>
      </c>
      <c r="E67" s="18">
        <f>IF(OR(D67&lt;=0,C67&gt;'Input Data'!$B$23*12),0,IF(AND(C67='Input Data'!$B$23*12,'Input Data'!$E$23&gt;'Input Data'!$B$23),D67+D67*B67/12,IF('Input Data'!$C$23="FRM",-PMT($B$3/12,'Input Data'!$E$23*12,$D$3),IF($A67,-PMT(B67/12,('Input Data'!$E$23*12)-C67+1,D67),E66))))</f>
        <v>80274.798338602559</v>
      </c>
      <c r="F67" s="18">
        <f t="shared" si="1"/>
        <v>7291960.784594425</v>
      </c>
      <c r="G67" s="18">
        <f>IF(C67&gt;'Input Data'!$B$23*12,0,D67*B67/12)</f>
        <v>30717.648262220948</v>
      </c>
      <c r="H67" s="18">
        <f t="shared" ref="H67:H130" si="5">MIN(E67-G67,D67)</f>
        <v>49557.150076381615</v>
      </c>
      <c r="I67" s="18">
        <f t="shared" si="3"/>
        <v>7322678.4328566454</v>
      </c>
    </row>
    <row r="68" spans="1:9" x14ac:dyDescent="0.25">
      <c r="A68" t="b">
        <f>IF(('Input Data'!$C$23)="FRM", FALSE, ISNUMBER(MATCH(C68,'Input Data'!$M$18:$M$30,0)))</f>
        <v>0</v>
      </c>
      <c r="B68" s="8">
        <f>IF($A68, _xlfn.XLOOKUP(C68,'Input Data'!$M$17:$M$29,'Input Data'!$N$17:$N$29),$B67)</f>
        <v>0.05</v>
      </c>
      <c r="C68" s="10">
        <f t="shared" si="2"/>
        <v>66</v>
      </c>
      <c r="D68" s="18">
        <f t="shared" si="4"/>
        <v>7322678.4328566454</v>
      </c>
      <c r="E68" s="18">
        <f>IF(OR(D68&lt;=0,C68&gt;'Input Data'!$B$23*12),0,IF(AND(C68='Input Data'!$B$23*12,'Input Data'!$E$23&gt;'Input Data'!$B$23),D68+D68*B68/12,IF('Input Data'!$C$23="FRM",-PMT($B$3/12,'Input Data'!$E$23*12,$D$3),IF($A68,-PMT(B68/12,('Input Data'!$E$23*12)-C68+1,D68),E67))))</f>
        <v>80274.798338602559</v>
      </c>
      <c r="F68" s="18">
        <f t="shared" ref="F68:F131" si="6">IF(D68-E68&lt;0,0,D68-E68)</f>
        <v>7242403.6345180431</v>
      </c>
      <c r="G68" s="18">
        <f>IF(C68&gt;'Input Data'!$B$23*12,0,D68*B68/12)</f>
        <v>30511.16013690269</v>
      </c>
      <c r="H68" s="18">
        <f t="shared" si="5"/>
        <v>49763.638201699869</v>
      </c>
      <c r="I68" s="18">
        <f t="shared" ref="I68:I131" si="7">IF(ROUND(D68-H68,2)=0,0,D68-H68)</f>
        <v>7272914.7946549458</v>
      </c>
    </row>
    <row r="69" spans="1:9" x14ac:dyDescent="0.25">
      <c r="A69" t="b">
        <f>IF(('Input Data'!$C$23)="FRM", FALSE, ISNUMBER(MATCH(C69,'Input Data'!$M$18:$M$30,0)))</f>
        <v>0</v>
      </c>
      <c r="B69" s="8">
        <f>IF($A69, _xlfn.XLOOKUP(C69,'Input Data'!$M$17:$M$29,'Input Data'!$N$17:$N$29),$B68)</f>
        <v>0.05</v>
      </c>
      <c r="C69" s="10">
        <f t="shared" ref="C69:C132" si="8">C68+1</f>
        <v>67</v>
      </c>
      <c r="D69" s="18">
        <f t="shared" ref="D69:D132" si="9">IF(I68&gt;0,I68-J68,0)</f>
        <v>7272914.7946549458</v>
      </c>
      <c r="E69" s="18">
        <f>IF(OR(D69&lt;=0,C69&gt;'Input Data'!$B$23*12),0,IF(AND(C69='Input Data'!$B$23*12,'Input Data'!$E$23&gt;'Input Data'!$B$23),D69+D69*B69/12,IF('Input Data'!$C$23="FRM",-PMT($B$3/12,'Input Data'!$E$23*12,$D$3),IF($A69,-PMT(B69/12,('Input Data'!$E$23*12)-C69+1,D69),E68))))</f>
        <v>80274.798338602559</v>
      </c>
      <c r="F69" s="18">
        <f t="shared" si="6"/>
        <v>7192639.9963163435</v>
      </c>
      <c r="G69" s="18">
        <f>IF(C69&gt;'Input Data'!$B$23*12,0,D69*B69/12)</f>
        <v>30303.81164439561</v>
      </c>
      <c r="H69" s="18">
        <f t="shared" si="5"/>
        <v>49970.986694206949</v>
      </c>
      <c r="I69" s="18">
        <f t="shared" si="7"/>
        <v>7222943.8079607394</v>
      </c>
    </row>
    <row r="70" spans="1:9" x14ac:dyDescent="0.25">
      <c r="A70" t="b">
        <f>IF(('Input Data'!$C$23)="FRM", FALSE, ISNUMBER(MATCH(C70,'Input Data'!$M$18:$M$30,0)))</f>
        <v>0</v>
      </c>
      <c r="B70" s="8">
        <f>IF($A70, _xlfn.XLOOKUP(C70,'Input Data'!$M$17:$M$29,'Input Data'!$N$17:$N$29),$B69)</f>
        <v>0.05</v>
      </c>
      <c r="C70" s="10">
        <f t="shared" si="8"/>
        <v>68</v>
      </c>
      <c r="D70" s="18">
        <f t="shared" si="9"/>
        <v>7222943.8079607394</v>
      </c>
      <c r="E70" s="18">
        <f>IF(OR(D70&lt;=0,C70&gt;'Input Data'!$B$23*12),0,IF(AND(C70='Input Data'!$B$23*12,'Input Data'!$E$23&gt;'Input Data'!$B$23),D70+D70*B70/12,IF('Input Data'!$C$23="FRM",-PMT($B$3/12,'Input Data'!$E$23*12,$D$3),IF($A70,-PMT(B70/12,('Input Data'!$E$23*12)-C70+1,D70),E69))))</f>
        <v>80274.798338602559</v>
      </c>
      <c r="F70" s="18">
        <f t="shared" si="6"/>
        <v>7142669.0096221371</v>
      </c>
      <c r="G70" s="18">
        <f>IF(C70&gt;'Input Data'!$B$23*12,0,D70*B70/12)</f>
        <v>30095.599199836415</v>
      </c>
      <c r="H70" s="18">
        <f t="shared" si="5"/>
        <v>50179.19913876614</v>
      </c>
      <c r="I70" s="18">
        <f t="shared" si="7"/>
        <v>7172764.6088219732</v>
      </c>
    </row>
    <row r="71" spans="1:9" x14ac:dyDescent="0.25">
      <c r="A71" t="b">
        <f>IF(('Input Data'!$C$23)="FRM", FALSE, ISNUMBER(MATCH(C71,'Input Data'!$M$18:$M$30,0)))</f>
        <v>0</v>
      </c>
      <c r="B71" s="8">
        <f>IF($A71, _xlfn.XLOOKUP(C71,'Input Data'!$M$17:$M$29,'Input Data'!$N$17:$N$29),$B70)</f>
        <v>0.05</v>
      </c>
      <c r="C71" s="10">
        <f t="shared" si="8"/>
        <v>69</v>
      </c>
      <c r="D71" s="18">
        <f t="shared" si="9"/>
        <v>7172764.6088219732</v>
      </c>
      <c r="E71" s="18">
        <f>IF(OR(D71&lt;=0,C71&gt;'Input Data'!$B$23*12),0,IF(AND(C71='Input Data'!$B$23*12,'Input Data'!$E$23&gt;'Input Data'!$B$23),D71+D71*B71/12,IF('Input Data'!$C$23="FRM",-PMT($B$3/12,'Input Data'!$E$23*12,$D$3),IF($A71,-PMT(B71/12,('Input Data'!$E$23*12)-C71+1,D71),E70))))</f>
        <v>80274.798338602559</v>
      </c>
      <c r="F71" s="18">
        <f t="shared" si="6"/>
        <v>7092489.8104833709</v>
      </c>
      <c r="G71" s="18">
        <f>IF(C71&gt;'Input Data'!$B$23*12,0,D71*B71/12)</f>
        <v>29886.51920342489</v>
      </c>
      <c r="H71" s="18">
        <f t="shared" si="5"/>
        <v>50388.279135177669</v>
      </c>
      <c r="I71" s="18">
        <f t="shared" si="7"/>
        <v>7122376.3296867954</v>
      </c>
    </row>
    <row r="72" spans="1:9" x14ac:dyDescent="0.25">
      <c r="A72" t="b">
        <f>IF(('Input Data'!$C$23)="FRM", FALSE, ISNUMBER(MATCH(C72,'Input Data'!$M$18:$M$30,0)))</f>
        <v>0</v>
      </c>
      <c r="B72" s="8">
        <f>IF($A72, _xlfn.XLOOKUP(C72,'Input Data'!$M$17:$M$29,'Input Data'!$N$17:$N$29),$B71)</f>
        <v>0.05</v>
      </c>
      <c r="C72" s="10">
        <f t="shared" si="8"/>
        <v>70</v>
      </c>
      <c r="D72" s="18">
        <f t="shared" si="9"/>
        <v>7122376.3296867954</v>
      </c>
      <c r="E72" s="18">
        <f>IF(OR(D72&lt;=0,C72&gt;'Input Data'!$B$23*12),0,IF(AND(C72='Input Data'!$B$23*12,'Input Data'!$E$23&gt;'Input Data'!$B$23),D72+D72*B72/12,IF('Input Data'!$C$23="FRM",-PMT($B$3/12,'Input Data'!$E$23*12,$D$3),IF($A72,-PMT(B72/12,('Input Data'!$E$23*12)-C72+1,D72),E71))))</f>
        <v>80274.798338602559</v>
      </c>
      <c r="F72" s="18">
        <f t="shared" si="6"/>
        <v>7042101.5313481931</v>
      </c>
      <c r="G72" s="18">
        <f>IF(C72&gt;'Input Data'!$B$23*12,0,D72*B72/12)</f>
        <v>29676.568040361646</v>
      </c>
      <c r="H72" s="18">
        <f t="shared" si="5"/>
        <v>50598.230298240916</v>
      </c>
      <c r="I72" s="18">
        <f t="shared" si="7"/>
        <v>7071778.0993885547</v>
      </c>
    </row>
    <row r="73" spans="1:9" x14ac:dyDescent="0.25">
      <c r="A73" t="b">
        <f>IF(('Input Data'!$C$23)="FRM", FALSE, ISNUMBER(MATCH(C73,'Input Data'!$M$18:$M$30,0)))</f>
        <v>0</v>
      </c>
      <c r="B73" s="8">
        <f>IF($A73, _xlfn.XLOOKUP(C73,'Input Data'!$M$17:$M$29,'Input Data'!$N$17:$N$29),$B72)</f>
        <v>0.05</v>
      </c>
      <c r="C73" s="10">
        <f t="shared" si="8"/>
        <v>71</v>
      </c>
      <c r="D73" s="18">
        <f t="shared" si="9"/>
        <v>7071778.0993885547</v>
      </c>
      <c r="E73" s="18">
        <f>IF(OR(D73&lt;=0,C73&gt;'Input Data'!$B$23*12),0,IF(AND(C73='Input Data'!$B$23*12,'Input Data'!$E$23&gt;'Input Data'!$B$23),D73+D73*B73/12,IF('Input Data'!$C$23="FRM",-PMT($B$3/12,'Input Data'!$E$23*12,$D$3),IF($A73,-PMT(B73/12,('Input Data'!$E$23*12)-C73+1,D73),E72))))</f>
        <v>80274.798338602559</v>
      </c>
      <c r="F73" s="18">
        <f t="shared" si="6"/>
        <v>6991503.3010499524</v>
      </c>
      <c r="G73" s="18">
        <f>IF(C73&gt;'Input Data'!$B$23*12,0,D73*B73/12)</f>
        <v>29465.742080785643</v>
      </c>
      <c r="H73" s="18">
        <f t="shared" si="5"/>
        <v>50809.056257816919</v>
      </c>
      <c r="I73" s="18">
        <f t="shared" si="7"/>
        <v>7020969.0431307377</v>
      </c>
    </row>
    <row r="74" spans="1:9" x14ac:dyDescent="0.25">
      <c r="A74" t="b">
        <f>IF(('Input Data'!$C$23)="FRM", FALSE, ISNUMBER(MATCH(C74,'Input Data'!$M$18:$M$30,0)))</f>
        <v>0</v>
      </c>
      <c r="B74" s="8">
        <f>IF($A74, _xlfn.XLOOKUP(C74,'Input Data'!$M$17:$M$29,'Input Data'!$N$17:$N$29),$B73)</f>
        <v>0.05</v>
      </c>
      <c r="C74" s="10">
        <f t="shared" si="8"/>
        <v>72</v>
      </c>
      <c r="D74" s="18">
        <f t="shared" si="9"/>
        <v>7020969.0431307377</v>
      </c>
      <c r="E74" s="18">
        <f>IF(OR(D74&lt;=0,C74&gt;'Input Data'!$B$23*12),0,IF(AND(C74='Input Data'!$B$23*12,'Input Data'!$E$23&gt;'Input Data'!$B$23),D74+D74*B74/12,IF('Input Data'!$C$23="FRM",-PMT($B$3/12,'Input Data'!$E$23*12,$D$3),IF($A74,-PMT(B74/12,('Input Data'!$E$23*12)-C74+1,D74),E73))))</f>
        <v>80274.798338602559</v>
      </c>
      <c r="F74" s="18">
        <f t="shared" si="6"/>
        <v>6940694.2447921354</v>
      </c>
      <c r="G74" s="18">
        <f>IF(C74&gt;'Input Data'!$B$23*12,0,D74*B74/12)</f>
        <v>29254.037679711411</v>
      </c>
      <c r="H74" s="18">
        <f t="shared" si="5"/>
        <v>51020.760658891144</v>
      </c>
      <c r="I74" s="18">
        <f t="shared" si="7"/>
        <v>6969948.2824718468</v>
      </c>
    </row>
    <row r="75" spans="1:9" x14ac:dyDescent="0.25">
      <c r="A75" t="b">
        <f>IF(('Input Data'!$C$23)="FRM", FALSE, ISNUMBER(MATCH(C75,'Input Data'!$M$18:$M$30,0)))</f>
        <v>0</v>
      </c>
      <c r="B75" s="8">
        <f>IF($A75, _xlfn.XLOOKUP(C75,'Input Data'!$M$17:$M$29,'Input Data'!$N$17:$N$29),$B74)</f>
        <v>0.05</v>
      </c>
      <c r="C75" s="10">
        <f t="shared" si="8"/>
        <v>73</v>
      </c>
      <c r="D75" s="18">
        <f t="shared" si="9"/>
        <v>6969948.2824718468</v>
      </c>
      <c r="E75" s="18">
        <f>IF(OR(D75&lt;=0,C75&gt;'Input Data'!$B$23*12),0,IF(AND(C75='Input Data'!$B$23*12,'Input Data'!$E$23&gt;'Input Data'!$B$23),D75+D75*B75/12,IF('Input Data'!$C$23="FRM",-PMT($B$3/12,'Input Data'!$E$23*12,$D$3),IF($A75,-PMT(B75/12,('Input Data'!$E$23*12)-C75+1,D75),E74))))</f>
        <v>80274.798338602559</v>
      </c>
      <c r="F75" s="18">
        <f t="shared" si="6"/>
        <v>6889673.4841332445</v>
      </c>
      <c r="G75" s="18">
        <f>IF(C75&gt;'Input Data'!$B$23*12,0,D75*B75/12)</f>
        <v>29041.451176966031</v>
      </c>
      <c r="H75" s="18">
        <f t="shared" si="5"/>
        <v>51233.347161636528</v>
      </c>
      <c r="I75" s="18">
        <f t="shared" si="7"/>
        <v>6918714.9353102101</v>
      </c>
    </row>
    <row r="76" spans="1:9" x14ac:dyDescent="0.25">
      <c r="A76" t="b">
        <f>IF(('Input Data'!$C$23)="FRM", FALSE, ISNUMBER(MATCH(C76,'Input Data'!$M$18:$M$30,0)))</f>
        <v>0</v>
      </c>
      <c r="B76" s="8">
        <f>IF($A76, _xlfn.XLOOKUP(C76,'Input Data'!$M$17:$M$29,'Input Data'!$N$17:$N$29),$B75)</f>
        <v>0.05</v>
      </c>
      <c r="C76" s="10">
        <f t="shared" si="8"/>
        <v>74</v>
      </c>
      <c r="D76" s="18">
        <f t="shared" si="9"/>
        <v>6918714.9353102101</v>
      </c>
      <c r="E76" s="18">
        <f>IF(OR(D76&lt;=0,C76&gt;'Input Data'!$B$23*12),0,IF(AND(C76='Input Data'!$B$23*12,'Input Data'!$E$23&gt;'Input Data'!$B$23),D76+D76*B76/12,IF('Input Data'!$C$23="FRM",-PMT($B$3/12,'Input Data'!$E$23*12,$D$3),IF($A76,-PMT(B76/12,('Input Data'!$E$23*12)-C76+1,D76),E75))))</f>
        <v>80274.798338602559</v>
      </c>
      <c r="F76" s="18">
        <f t="shared" si="6"/>
        <v>6838440.1369716078</v>
      </c>
      <c r="G76" s="18">
        <f>IF(C76&gt;'Input Data'!$B$23*12,0,D76*B76/12)</f>
        <v>28827.978897125879</v>
      </c>
      <c r="H76" s="18">
        <f t="shared" si="5"/>
        <v>51446.819441476677</v>
      </c>
      <c r="I76" s="18">
        <f t="shared" si="7"/>
        <v>6867268.1158687333</v>
      </c>
    </row>
    <row r="77" spans="1:9" x14ac:dyDescent="0.25">
      <c r="A77" t="b">
        <f>IF(('Input Data'!$C$23)="FRM", FALSE, ISNUMBER(MATCH(C77,'Input Data'!$M$18:$M$30,0)))</f>
        <v>0</v>
      </c>
      <c r="B77" s="8">
        <f>IF($A77, _xlfn.XLOOKUP(C77,'Input Data'!$M$17:$M$29,'Input Data'!$N$17:$N$29),$B76)</f>
        <v>0.05</v>
      </c>
      <c r="C77" s="10">
        <f t="shared" si="8"/>
        <v>75</v>
      </c>
      <c r="D77" s="18">
        <f t="shared" si="9"/>
        <v>6867268.1158687333</v>
      </c>
      <c r="E77" s="18">
        <f>IF(OR(D77&lt;=0,C77&gt;'Input Data'!$B$23*12),0,IF(AND(C77='Input Data'!$B$23*12,'Input Data'!$E$23&gt;'Input Data'!$B$23),D77+D77*B77/12,IF('Input Data'!$C$23="FRM",-PMT($B$3/12,'Input Data'!$E$23*12,$D$3),IF($A77,-PMT(B77/12,('Input Data'!$E$23*12)-C77+1,D77),E76))))</f>
        <v>80274.798338602559</v>
      </c>
      <c r="F77" s="18">
        <f t="shared" si="6"/>
        <v>6786993.317530131</v>
      </c>
      <c r="G77" s="18">
        <f>IF(C77&gt;'Input Data'!$B$23*12,0,D77*B77/12)</f>
        <v>28613.617149453057</v>
      </c>
      <c r="H77" s="18">
        <f t="shared" si="5"/>
        <v>51661.181189149502</v>
      </c>
      <c r="I77" s="18">
        <f t="shared" si="7"/>
        <v>6815606.9346795836</v>
      </c>
    </row>
    <row r="78" spans="1:9" x14ac:dyDescent="0.25">
      <c r="A78" t="b">
        <f>IF(('Input Data'!$C$23)="FRM", FALSE, ISNUMBER(MATCH(C78,'Input Data'!$M$18:$M$30,0)))</f>
        <v>0</v>
      </c>
      <c r="B78" s="8">
        <f>IF($A78, _xlfn.XLOOKUP(C78,'Input Data'!$M$17:$M$29,'Input Data'!$N$17:$N$29),$B77)</f>
        <v>0.05</v>
      </c>
      <c r="C78" s="10">
        <f t="shared" si="8"/>
        <v>76</v>
      </c>
      <c r="D78" s="18">
        <f t="shared" si="9"/>
        <v>6815606.9346795836</v>
      </c>
      <c r="E78" s="18">
        <f>IF(OR(D78&lt;=0,C78&gt;'Input Data'!$B$23*12),0,IF(AND(C78='Input Data'!$B$23*12,'Input Data'!$E$23&gt;'Input Data'!$B$23),D78+D78*B78/12,IF('Input Data'!$C$23="FRM",-PMT($B$3/12,'Input Data'!$E$23*12,$D$3),IF($A78,-PMT(B78/12,('Input Data'!$E$23*12)-C78+1,D78),E77))))</f>
        <v>80274.798338602559</v>
      </c>
      <c r="F78" s="18">
        <f t="shared" si="6"/>
        <v>6735332.1363409813</v>
      </c>
      <c r="G78" s="18">
        <f>IF(C78&gt;'Input Data'!$B$23*12,0,D78*B78/12)</f>
        <v>28398.3622278316</v>
      </c>
      <c r="H78" s="18">
        <f t="shared" si="5"/>
        <v>51876.436110770956</v>
      </c>
      <c r="I78" s="18">
        <f t="shared" si="7"/>
        <v>6763730.4985688124</v>
      </c>
    </row>
    <row r="79" spans="1:9" x14ac:dyDescent="0.25">
      <c r="A79" t="b">
        <f>IF(('Input Data'!$C$23)="FRM", FALSE, ISNUMBER(MATCH(C79,'Input Data'!$M$18:$M$30,0)))</f>
        <v>0</v>
      </c>
      <c r="B79" s="8">
        <f>IF($A79, _xlfn.XLOOKUP(C79,'Input Data'!$M$17:$M$29,'Input Data'!$N$17:$N$29),$B78)</f>
        <v>0.05</v>
      </c>
      <c r="C79" s="10">
        <f t="shared" si="8"/>
        <v>77</v>
      </c>
      <c r="D79" s="18">
        <f t="shared" si="9"/>
        <v>6763730.4985688124</v>
      </c>
      <c r="E79" s="18">
        <f>IF(OR(D79&lt;=0,C79&gt;'Input Data'!$B$23*12),0,IF(AND(C79='Input Data'!$B$23*12,'Input Data'!$E$23&gt;'Input Data'!$B$23),D79+D79*B79/12,IF('Input Data'!$C$23="FRM",-PMT($B$3/12,'Input Data'!$E$23*12,$D$3),IF($A79,-PMT(B79/12,('Input Data'!$E$23*12)-C79+1,D79),E78))))</f>
        <v>80274.798338602559</v>
      </c>
      <c r="F79" s="18">
        <f t="shared" si="6"/>
        <v>6683455.7002302101</v>
      </c>
      <c r="G79" s="18">
        <f>IF(C79&gt;'Input Data'!$B$23*12,0,D79*B79/12)</f>
        <v>28182.210410703385</v>
      </c>
      <c r="H79" s="18">
        <f t="shared" si="5"/>
        <v>52092.587927899178</v>
      </c>
      <c r="I79" s="18">
        <f t="shared" si="7"/>
        <v>6711637.9106409131</v>
      </c>
    </row>
    <row r="80" spans="1:9" x14ac:dyDescent="0.25">
      <c r="A80" t="b">
        <f>IF(('Input Data'!$C$23)="FRM", FALSE, ISNUMBER(MATCH(C80,'Input Data'!$M$18:$M$30,0)))</f>
        <v>0</v>
      </c>
      <c r="B80" s="8">
        <f>IF($A80, _xlfn.XLOOKUP(C80,'Input Data'!$M$17:$M$29,'Input Data'!$N$17:$N$29),$B79)</f>
        <v>0.05</v>
      </c>
      <c r="C80" s="10">
        <f t="shared" si="8"/>
        <v>78</v>
      </c>
      <c r="D80" s="18">
        <f t="shared" si="9"/>
        <v>6711637.9106409131</v>
      </c>
      <c r="E80" s="18">
        <f>IF(OR(D80&lt;=0,C80&gt;'Input Data'!$B$23*12),0,IF(AND(C80='Input Data'!$B$23*12,'Input Data'!$E$23&gt;'Input Data'!$B$23),D80+D80*B80/12,IF('Input Data'!$C$23="FRM",-PMT($B$3/12,'Input Data'!$E$23*12,$D$3),IF($A80,-PMT(B80/12,('Input Data'!$E$23*12)-C80+1,D80),E79))))</f>
        <v>80274.798338602559</v>
      </c>
      <c r="F80" s="18">
        <f t="shared" si="6"/>
        <v>6631363.1123023108</v>
      </c>
      <c r="G80" s="18">
        <f>IF(C80&gt;'Input Data'!$B$23*12,0,D80*B80/12)</f>
        <v>27965.157961003806</v>
      </c>
      <c r="H80" s="18">
        <f t="shared" si="5"/>
        <v>52309.640377598756</v>
      </c>
      <c r="I80" s="18">
        <f t="shared" si="7"/>
        <v>6659328.2702633142</v>
      </c>
    </row>
    <row r="81" spans="1:9" x14ac:dyDescent="0.25">
      <c r="A81" t="b">
        <f>IF(('Input Data'!$C$23)="FRM", FALSE, ISNUMBER(MATCH(C81,'Input Data'!$M$18:$M$30,0)))</f>
        <v>0</v>
      </c>
      <c r="B81" s="8">
        <f>IF($A81, _xlfn.XLOOKUP(C81,'Input Data'!$M$17:$M$29,'Input Data'!$N$17:$N$29),$B80)</f>
        <v>0.05</v>
      </c>
      <c r="C81" s="10">
        <f t="shared" si="8"/>
        <v>79</v>
      </c>
      <c r="D81" s="18">
        <f t="shared" si="9"/>
        <v>6659328.2702633142</v>
      </c>
      <c r="E81" s="18">
        <f>IF(OR(D81&lt;=0,C81&gt;'Input Data'!$B$23*12),0,IF(AND(C81='Input Data'!$B$23*12,'Input Data'!$E$23&gt;'Input Data'!$B$23),D81+D81*B81/12,IF('Input Data'!$C$23="FRM",-PMT($B$3/12,'Input Data'!$E$23*12,$D$3),IF($A81,-PMT(B81/12,('Input Data'!$E$23*12)-C81+1,D81),E80))))</f>
        <v>80274.798338602559</v>
      </c>
      <c r="F81" s="18">
        <f t="shared" si="6"/>
        <v>6579053.471924712</v>
      </c>
      <c r="G81" s="18">
        <f>IF(C81&gt;'Input Data'!$B$23*12,0,D81*B81/12)</f>
        <v>27747.201126097145</v>
      </c>
      <c r="H81" s="18">
        <f t="shared" si="5"/>
        <v>52527.59721250541</v>
      </c>
      <c r="I81" s="18">
        <f t="shared" si="7"/>
        <v>6606800.6730508087</v>
      </c>
    </row>
    <row r="82" spans="1:9" x14ac:dyDescent="0.25">
      <c r="A82" t="b">
        <f>IF(('Input Data'!$C$23)="FRM", FALSE, ISNUMBER(MATCH(C82,'Input Data'!$M$18:$M$30,0)))</f>
        <v>0</v>
      </c>
      <c r="B82" s="8">
        <f>IF($A82, _xlfn.XLOOKUP(C82,'Input Data'!$M$17:$M$29,'Input Data'!$N$17:$N$29),$B81)</f>
        <v>0.05</v>
      </c>
      <c r="C82" s="10">
        <f t="shared" si="8"/>
        <v>80</v>
      </c>
      <c r="D82" s="18">
        <f t="shared" si="9"/>
        <v>6606800.6730508087</v>
      </c>
      <c r="E82" s="18">
        <f>IF(OR(D82&lt;=0,C82&gt;'Input Data'!$B$23*12),0,IF(AND(C82='Input Data'!$B$23*12,'Input Data'!$E$23&gt;'Input Data'!$B$23),D82+D82*B82/12,IF('Input Data'!$C$23="FRM",-PMT($B$3/12,'Input Data'!$E$23*12,$D$3),IF($A82,-PMT(B82/12,('Input Data'!$E$23*12)-C82+1,D82),E81))))</f>
        <v>80274.798338602559</v>
      </c>
      <c r="F82" s="18">
        <f t="shared" si="6"/>
        <v>6526525.8747122064</v>
      </c>
      <c r="G82" s="18">
        <f>IF(C82&gt;'Input Data'!$B$23*12,0,D82*B82/12)</f>
        <v>27528.336137711707</v>
      </c>
      <c r="H82" s="18">
        <f t="shared" si="5"/>
        <v>52746.462200890848</v>
      </c>
      <c r="I82" s="18">
        <f t="shared" si="7"/>
        <v>6554054.2108499175</v>
      </c>
    </row>
    <row r="83" spans="1:9" x14ac:dyDescent="0.25">
      <c r="A83" t="b">
        <f>IF(('Input Data'!$C$23)="FRM", FALSE, ISNUMBER(MATCH(C83,'Input Data'!$M$18:$M$30,0)))</f>
        <v>0</v>
      </c>
      <c r="B83" s="8">
        <f>IF($A83, _xlfn.XLOOKUP(C83,'Input Data'!$M$17:$M$29,'Input Data'!$N$17:$N$29),$B82)</f>
        <v>0.05</v>
      </c>
      <c r="C83" s="10">
        <f t="shared" si="8"/>
        <v>81</v>
      </c>
      <c r="D83" s="18">
        <f t="shared" si="9"/>
        <v>6554054.2108499175</v>
      </c>
      <c r="E83" s="18">
        <f>IF(OR(D83&lt;=0,C83&gt;'Input Data'!$B$23*12),0,IF(AND(C83='Input Data'!$B$23*12,'Input Data'!$E$23&gt;'Input Data'!$B$23),D83+D83*B83/12,IF('Input Data'!$C$23="FRM",-PMT($B$3/12,'Input Data'!$E$23*12,$D$3),IF($A83,-PMT(B83/12,('Input Data'!$E$23*12)-C83+1,D83),E82))))</f>
        <v>80274.798338602559</v>
      </c>
      <c r="F83" s="18">
        <f t="shared" si="6"/>
        <v>6473779.4125113152</v>
      </c>
      <c r="G83" s="18">
        <f>IF(C83&gt;'Input Data'!$B$23*12,0,D83*B83/12)</f>
        <v>27308.559211874657</v>
      </c>
      <c r="H83" s="18">
        <f t="shared" si="5"/>
        <v>52966.239126727902</v>
      </c>
      <c r="I83" s="18">
        <f t="shared" si="7"/>
        <v>6501087.9717231896</v>
      </c>
    </row>
    <row r="84" spans="1:9" x14ac:dyDescent="0.25">
      <c r="A84" t="b">
        <f>IF(('Input Data'!$C$23)="FRM", FALSE, ISNUMBER(MATCH(C84,'Input Data'!$M$18:$M$30,0)))</f>
        <v>0</v>
      </c>
      <c r="B84" s="8">
        <f>IF($A84, _xlfn.XLOOKUP(C84,'Input Data'!$M$17:$M$29,'Input Data'!$N$17:$N$29),$B83)</f>
        <v>0.05</v>
      </c>
      <c r="C84" s="10">
        <f t="shared" si="8"/>
        <v>82</v>
      </c>
      <c r="D84" s="18">
        <f t="shared" si="9"/>
        <v>6501087.9717231896</v>
      </c>
      <c r="E84" s="18">
        <f>IF(OR(D84&lt;=0,C84&gt;'Input Data'!$B$23*12),0,IF(AND(C84='Input Data'!$B$23*12,'Input Data'!$E$23&gt;'Input Data'!$B$23),D84+D84*B84/12,IF('Input Data'!$C$23="FRM",-PMT($B$3/12,'Input Data'!$E$23*12,$D$3),IF($A84,-PMT(B84/12,('Input Data'!$E$23*12)-C84+1,D84),E83))))</f>
        <v>80274.798338602559</v>
      </c>
      <c r="F84" s="18">
        <f t="shared" si="6"/>
        <v>6420813.1733845873</v>
      </c>
      <c r="G84" s="18">
        <f>IF(C84&gt;'Input Data'!$B$23*12,0,D84*B84/12)</f>
        <v>27087.866548846625</v>
      </c>
      <c r="H84" s="18">
        <f t="shared" si="5"/>
        <v>53186.931789755938</v>
      </c>
      <c r="I84" s="18">
        <f t="shared" si="7"/>
        <v>6447901.0399334338</v>
      </c>
    </row>
    <row r="85" spans="1:9" x14ac:dyDescent="0.25">
      <c r="A85" t="b">
        <f>IF(('Input Data'!$C$23)="FRM", FALSE, ISNUMBER(MATCH(C85,'Input Data'!$M$18:$M$30,0)))</f>
        <v>0</v>
      </c>
      <c r="B85" s="8">
        <f>IF($A85, _xlfn.XLOOKUP(C85,'Input Data'!$M$17:$M$29,'Input Data'!$N$17:$N$29),$B84)</f>
        <v>0.05</v>
      </c>
      <c r="C85" s="10">
        <f t="shared" si="8"/>
        <v>83</v>
      </c>
      <c r="D85" s="18">
        <f t="shared" si="9"/>
        <v>6447901.0399334338</v>
      </c>
      <c r="E85" s="18">
        <f>IF(OR(D85&lt;=0,C85&gt;'Input Data'!$B$23*12),0,IF(AND(C85='Input Data'!$B$23*12,'Input Data'!$E$23&gt;'Input Data'!$B$23),D85+D85*B85/12,IF('Input Data'!$C$23="FRM",-PMT($B$3/12,'Input Data'!$E$23*12,$D$3),IF($A85,-PMT(B85/12,('Input Data'!$E$23*12)-C85+1,D85),E84))))</f>
        <v>80274.798338602559</v>
      </c>
      <c r="F85" s="18">
        <f t="shared" si="6"/>
        <v>6367626.2415948315</v>
      </c>
      <c r="G85" s="18">
        <f>IF(C85&gt;'Input Data'!$B$23*12,0,D85*B85/12)</f>
        <v>26866.254333055975</v>
      </c>
      <c r="H85" s="18">
        <f t="shared" si="5"/>
        <v>53408.544005546588</v>
      </c>
      <c r="I85" s="18">
        <f t="shared" si="7"/>
        <v>6394492.495927887</v>
      </c>
    </row>
    <row r="86" spans="1:9" x14ac:dyDescent="0.25">
      <c r="A86" t="b">
        <f>IF(('Input Data'!$C$23)="FRM", FALSE, ISNUMBER(MATCH(C86,'Input Data'!$M$18:$M$30,0)))</f>
        <v>0</v>
      </c>
      <c r="B86" s="8">
        <f>IF($A86, _xlfn.XLOOKUP(C86,'Input Data'!$M$17:$M$29,'Input Data'!$N$17:$N$29),$B85)</f>
        <v>0.05</v>
      </c>
      <c r="C86" s="10">
        <f t="shared" si="8"/>
        <v>84</v>
      </c>
      <c r="D86" s="18">
        <f t="shared" si="9"/>
        <v>6394492.495927887</v>
      </c>
      <c r="E86" s="18">
        <f>IF(OR(D86&lt;=0,C86&gt;'Input Data'!$B$23*12),0,IF(AND(C86='Input Data'!$B$23*12,'Input Data'!$E$23&gt;'Input Data'!$B$23),D86+D86*B86/12,IF('Input Data'!$C$23="FRM",-PMT($B$3/12,'Input Data'!$E$23*12,$D$3),IF($A86,-PMT(B86/12,('Input Data'!$E$23*12)-C86+1,D86),E85))))</f>
        <v>80274.798338602559</v>
      </c>
      <c r="F86" s="18">
        <f t="shared" si="6"/>
        <v>6314217.6975892847</v>
      </c>
      <c r="G86" s="18">
        <f>IF(C86&gt;'Input Data'!$B$23*12,0,D86*B86/12)</f>
        <v>26643.718733032863</v>
      </c>
      <c r="H86" s="18">
        <f t="shared" si="5"/>
        <v>53631.079605569699</v>
      </c>
      <c r="I86" s="18">
        <f t="shared" si="7"/>
        <v>6340861.416322317</v>
      </c>
    </row>
    <row r="87" spans="1:9" x14ac:dyDescent="0.25">
      <c r="A87" t="b">
        <f>IF(('Input Data'!$C$23)="FRM", FALSE, ISNUMBER(MATCH(C87,'Input Data'!$M$18:$M$30,0)))</f>
        <v>0</v>
      </c>
      <c r="B87" s="8">
        <f>IF($A87, _xlfn.XLOOKUP(C87,'Input Data'!$M$17:$M$29,'Input Data'!$N$17:$N$29),$B86)</f>
        <v>0.05</v>
      </c>
      <c r="C87" s="10">
        <f t="shared" si="8"/>
        <v>85</v>
      </c>
      <c r="D87" s="18">
        <f t="shared" si="9"/>
        <v>6340861.416322317</v>
      </c>
      <c r="E87" s="18">
        <f>IF(OR(D87&lt;=0,C87&gt;'Input Data'!$B$23*12),0,IF(AND(C87='Input Data'!$B$23*12,'Input Data'!$E$23&gt;'Input Data'!$B$23),D87+D87*B87/12,IF('Input Data'!$C$23="FRM",-PMT($B$3/12,'Input Data'!$E$23*12,$D$3),IF($A87,-PMT(B87/12,('Input Data'!$E$23*12)-C87+1,D87),E86))))</f>
        <v>80274.798338602559</v>
      </c>
      <c r="F87" s="18">
        <f t="shared" si="6"/>
        <v>6260586.6179837147</v>
      </c>
      <c r="G87" s="18">
        <f>IF(C87&gt;'Input Data'!$B$23*12,0,D87*B87/12)</f>
        <v>26420.255901342989</v>
      </c>
      <c r="H87" s="18">
        <f t="shared" si="5"/>
        <v>53854.542437259573</v>
      </c>
      <c r="I87" s="18">
        <f t="shared" si="7"/>
        <v>6287006.8738850579</v>
      </c>
    </row>
    <row r="88" spans="1:9" x14ac:dyDescent="0.25">
      <c r="A88" t="b">
        <f>IF(('Input Data'!$C$23)="FRM", FALSE, ISNUMBER(MATCH(C88,'Input Data'!$M$18:$M$30,0)))</f>
        <v>0</v>
      </c>
      <c r="B88" s="8">
        <f>IF($A88, _xlfn.XLOOKUP(C88,'Input Data'!$M$17:$M$29,'Input Data'!$N$17:$N$29),$B87)</f>
        <v>0.05</v>
      </c>
      <c r="C88" s="10">
        <f t="shared" si="8"/>
        <v>86</v>
      </c>
      <c r="D88" s="18">
        <f t="shared" si="9"/>
        <v>6287006.8738850579</v>
      </c>
      <c r="E88" s="18">
        <f>IF(OR(D88&lt;=0,C88&gt;'Input Data'!$B$23*12),0,IF(AND(C88='Input Data'!$B$23*12,'Input Data'!$E$23&gt;'Input Data'!$B$23),D88+D88*B88/12,IF('Input Data'!$C$23="FRM",-PMT($B$3/12,'Input Data'!$E$23*12,$D$3),IF($A88,-PMT(B88/12,('Input Data'!$E$23*12)-C88+1,D88),E87))))</f>
        <v>80274.798338602559</v>
      </c>
      <c r="F88" s="18">
        <f t="shared" si="6"/>
        <v>6206732.0755464556</v>
      </c>
      <c r="G88" s="18">
        <f>IF(C88&gt;'Input Data'!$B$23*12,0,D88*B88/12)</f>
        <v>26195.861974521074</v>
      </c>
      <c r="H88" s="18">
        <f t="shared" si="5"/>
        <v>54078.936364081484</v>
      </c>
      <c r="I88" s="18">
        <f t="shared" si="7"/>
        <v>6232927.9375209762</v>
      </c>
    </row>
    <row r="89" spans="1:9" x14ac:dyDescent="0.25">
      <c r="A89" t="b">
        <f>IF(('Input Data'!$C$23)="FRM", FALSE, ISNUMBER(MATCH(C89,'Input Data'!$M$18:$M$30,0)))</f>
        <v>0</v>
      </c>
      <c r="B89" s="8">
        <f>IF($A89, _xlfn.XLOOKUP(C89,'Input Data'!$M$17:$M$29,'Input Data'!$N$17:$N$29),$B88)</f>
        <v>0.05</v>
      </c>
      <c r="C89" s="10">
        <f t="shared" si="8"/>
        <v>87</v>
      </c>
      <c r="D89" s="18">
        <f t="shared" si="9"/>
        <v>6232927.9375209762</v>
      </c>
      <c r="E89" s="18">
        <f>IF(OR(D89&lt;=0,C89&gt;'Input Data'!$B$23*12),0,IF(AND(C89='Input Data'!$B$23*12,'Input Data'!$E$23&gt;'Input Data'!$B$23),D89+D89*B89/12,IF('Input Data'!$C$23="FRM",-PMT($B$3/12,'Input Data'!$E$23*12,$D$3),IF($A89,-PMT(B89/12,('Input Data'!$E$23*12)-C89+1,D89),E88))))</f>
        <v>80274.798338602559</v>
      </c>
      <c r="F89" s="18">
        <f t="shared" si="6"/>
        <v>6152653.1391823739</v>
      </c>
      <c r="G89" s="18">
        <f>IF(C89&gt;'Input Data'!$B$23*12,0,D89*B89/12)</f>
        <v>25970.53307300407</v>
      </c>
      <c r="H89" s="18">
        <f t="shared" si="5"/>
        <v>54304.265265598486</v>
      </c>
      <c r="I89" s="18">
        <f t="shared" si="7"/>
        <v>6178623.6722553773</v>
      </c>
    </row>
    <row r="90" spans="1:9" x14ac:dyDescent="0.25">
      <c r="A90" t="b">
        <f>IF(('Input Data'!$C$23)="FRM", FALSE, ISNUMBER(MATCH(C90,'Input Data'!$M$18:$M$30,0)))</f>
        <v>0</v>
      </c>
      <c r="B90" s="8">
        <f>IF($A90, _xlfn.XLOOKUP(C90,'Input Data'!$M$17:$M$29,'Input Data'!$N$17:$N$29),$B89)</f>
        <v>0.05</v>
      </c>
      <c r="C90" s="10">
        <f t="shared" si="8"/>
        <v>88</v>
      </c>
      <c r="D90" s="18">
        <f t="shared" si="9"/>
        <v>6178623.6722553773</v>
      </c>
      <c r="E90" s="18">
        <f>IF(OR(D90&lt;=0,C90&gt;'Input Data'!$B$23*12),0,IF(AND(C90='Input Data'!$B$23*12,'Input Data'!$E$23&gt;'Input Data'!$B$23),D90+D90*B90/12,IF('Input Data'!$C$23="FRM",-PMT($B$3/12,'Input Data'!$E$23*12,$D$3),IF($A90,-PMT(B90/12,('Input Data'!$E$23*12)-C90+1,D90),E89))))</f>
        <v>80274.798338602559</v>
      </c>
      <c r="F90" s="18">
        <f t="shared" si="6"/>
        <v>6098348.873916775</v>
      </c>
      <c r="G90" s="18">
        <f>IF(C90&gt;'Input Data'!$B$23*12,0,D90*B90/12)</f>
        <v>25744.265301064075</v>
      </c>
      <c r="H90" s="18">
        <f t="shared" si="5"/>
        <v>54530.53303753848</v>
      </c>
      <c r="I90" s="18">
        <f t="shared" si="7"/>
        <v>6124093.1392178386</v>
      </c>
    </row>
    <row r="91" spans="1:9" x14ac:dyDescent="0.25">
      <c r="A91" t="b">
        <f>IF(('Input Data'!$C$23)="FRM", FALSE, ISNUMBER(MATCH(C91,'Input Data'!$M$18:$M$30,0)))</f>
        <v>0</v>
      </c>
      <c r="B91" s="8">
        <f>IF($A91, _xlfn.XLOOKUP(C91,'Input Data'!$M$17:$M$29,'Input Data'!$N$17:$N$29),$B90)</f>
        <v>0.05</v>
      </c>
      <c r="C91" s="10">
        <f t="shared" si="8"/>
        <v>89</v>
      </c>
      <c r="D91" s="18">
        <f t="shared" si="9"/>
        <v>6124093.1392178386</v>
      </c>
      <c r="E91" s="18">
        <f>IF(OR(D91&lt;=0,C91&gt;'Input Data'!$B$23*12),0,IF(AND(C91='Input Data'!$B$23*12,'Input Data'!$E$23&gt;'Input Data'!$B$23),D91+D91*B91/12,IF('Input Data'!$C$23="FRM",-PMT($B$3/12,'Input Data'!$E$23*12,$D$3),IF($A91,-PMT(B91/12,('Input Data'!$E$23*12)-C91+1,D91),E90))))</f>
        <v>80274.798338602559</v>
      </c>
      <c r="F91" s="18">
        <f t="shared" si="6"/>
        <v>6043818.3408792363</v>
      </c>
      <c r="G91" s="18">
        <f>IF(C91&gt;'Input Data'!$B$23*12,0,D91*B91/12)</f>
        <v>25517.054746740996</v>
      </c>
      <c r="H91" s="18">
        <f t="shared" si="5"/>
        <v>54757.743591861567</v>
      </c>
      <c r="I91" s="18">
        <f t="shared" si="7"/>
        <v>6069335.3956259768</v>
      </c>
    </row>
    <row r="92" spans="1:9" x14ac:dyDescent="0.25">
      <c r="A92" t="b">
        <f>IF(('Input Data'!$C$23)="FRM", FALSE, ISNUMBER(MATCH(C92,'Input Data'!$M$18:$M$30,0)))</f>
        <v>0</v>
      </c>
      <c r="B92" s="8">
        <f>IF($A92, _xlfn.XLOOKUP(C92,'Input Data'!$M$17:$M$29,'Input Data'!$N$17:$N$29),$B91)</f>
        <v>0.05</v>
      </c>
      <c r="C92" s="10">
        <f t="shared" si="8"/>
        <v>90</v>
      </c>
      <c r="D92" s="18">
        <f t="shared" si="9"/>
        <v>6069335.3956259768</v>
      </c>
      <c r="E92" s="18">
        <f>IF(OR(D92&lt;=0,C92&gt;'Input Data'!$B$23*12),0,IF(AND(C92='Input Data'!$B$23*12,'Input Data'!$E$23&gt;'Input Data'!$B$23),D92+D92*B92/12,IF('Input Data'!$C$23="FRM",-PMT($B$3/12,'Input Data'!$E$23*12,$D$3),IF($A92,-PMT(B92/12,('Input Data'!$E$23*12)-C92+1,D92),E91))))</f>
        <v>80274.798338602559</v>
      </c>
      <c r="F92" s="18">
        <f t="shared" si="6"/>
        <v>5989060.5972873745</v>
      </c>
      <c r="G92" s="18">
        <f>IF(C92&gt;'Input Data'!$B$23*12,0,D92*B92/12)</f>
        <v>25288.897481774908</v>
      </c>
      <c r="H92" s="18">
        <f t="shared" si="5"/>
        <v>54985.900856827648</v>
      </c>
      <c r="I92" s="18">
        <f t="shared" si="7"/>
        <v>6014349.4947691495</v>
      </c>
    </row>
    <row r="93" spans="1:9" x14ac:dyDescent="0.25">
      <c r="A93" t="b">
        <f>IF(('Input Data'!$C$23)="FRM", FALSE, ISNUMBER(MATCH(C93,'Input Data'!$M$18:$M$30,0)))</f>
        <v>0</v>
      </c>
      <c r="B93" s="8">
        <f>IF($A93, _xlfn.XLOOKUP(C93,'Input Data'!$M$17:$M$29,'Input Data'!$N$17:$N$29),$B92)</f>
        <v>0.05</v>
      </c>
      <c r="C93" s="10">
        <f t="shared" si="8"/>
        <v>91</v>
      </c>
      <c r="D93" s="18">
        <f t="shared" si="9"/>
        <v>6014349.4947691495</v>
      </c>
      <c r="E93" s="18">
        <f>IF(OR(D93&lt;=0,C93&gt;'Input Data'!$B$23*12),0,IF(AND(C93='Input Data'!$B$23*12,'Input Data'!$E$23&gt;'Input Data'!$B$23),D93+D93*B93/12,IF('Input Data'!$C$23="FRM",-PMT($B$3/12,'Input Data'!$E$23*12,$D$3),IF($A93,-PMT(B93/12,('Input Data'!$E$23*12)-C93+1,D93),E92))))</f>
        <v>80274.798338602559</v>
      </c>
      <c r="F93" s="18">
        <f t="shared" si="6"/>
        <v>5934074.6964305472</v>
      </c>
      <c r="G93" s="18">
        <f>IF(C93&gt;'Input Data'!$B$23*12,0,D93*B93/12)</f>
        <v>25059.789561538124</v>
      </c>
      <c r="H93" s="18">
        <f t="shared" si="5"/>
        <v>55215.008777064431</v>
      </c>
      <c r="I93" s="18">
        <f t="shared" si="7"/>
        <v>5959134.4859920852</v>
      </c>
    </row>
    <row r="94" spans="1:9" x14ac:dyDescent="0.25">
      <c r="A94" t="b">
        <f>IF(('Input Data'!$C$23)="FRM", FALSE, ISNUMBER(MATCH(C94,'Input Data'!$M$18:$M$30,0)))</f>
        <v>0</v>
      </c>
      <c r="B94" s="8">
        <f>IF($A94, _xlfn.XLOOKUP(C94,'Input Data'!$M$17:$M$29,'Input Data'!$N$17:$N$29),$B93)</f>
        <v>0.05</v>
      </c>
      <c r="C94" s="10">
        <f t="shared" si="8"/>
        <v>92</v>
      </c>
      <c r="D94" s="18">
        <f t="shared" si="9"/>
        <v>5959134.4859920852</v>
      </c>
      <c r="E94" s="18">
        <f>IF(OR(D94&lt;=0,C94&gt;'Input Data'!$B$23*12),0,IF(AND(C94='Input Data'!$B$23*12,'Input Data'!$E$23&gt;'Input Data'!$B$23),D94+D94*B94/12,IF('Input Data'!$C$23="FRM",-PMT($B$3/12,'Input Data'!$E$23*12,$D$3),IF($A94,-PMT(B94/12,('Input Data'!$E$23*12)-C94+1,D94),E93))))</f>
        <v>80274.798338602559</v>
      </c>
      <c r="F94" s="18">
        <f t="shared" si="6"/>
        <v>5878859.6876534829</v>
      </c>
      <c r="G94" s="18">
        <f>IF(C94&gt;'Input Data'!$B$23*12,0,D94*B94/12)</f>
        <v>24829.727024967022</v>
      </c>
      <c r="H94" s="18">
        <f t="shared" si="5"/>
        <v>55445.071313635533</v>
      </c>
      <c r="I94" s="18">
        <f t="shared" si="7"/>
        <v>5903689.4146784497</v>
      </c>
    </row>
    <row r="95" spans="1:9" x14ac:dyDescent="0.25">
      <c r="A95" t="b">
        <f>IF(('Input Data'!$C$23)="FRM", FALSE, ISNUMBER(MATCH(C95,'Input Data'!$M$18:$M$30,0)))</f>
        <v>0</v>
      </c>
      <c r="B95" s="8">
        <f>IF($A95, _xlfn.XLOOKUP(C95,'Input Data'!$M$17:$M$29,'Input Data'!$N$17:$N$29),$B94)</f>
        <v>0.05</v>
      </c>
      <c r="C95" s="10">
        <f t="shared" si="8"/>
        <v>93</v>
      </c>
      <c r="D95" s="18">
        <f t="shared" si="9"/>
        <v>5903689.4146784497</v>
      </c>
      <c r="E95" s="18">
        <f>IF(OR(D95&lt;=0,C95&gt;'Input Data'!$B$23*12),0,IF(AND(C95='Input Data'!$B$23*12,'Input Data'!$E$23&gt;'Input Data'!$B$23),D95+D95*B95/12,IF('Input Data'!$C$23="FRM",-PMT($B$3/12,'Input Data'!$E$23*12,$D$3),IF($A95,-PMT(B95/12,('Input Data'!$E$23*12)-C95+1,D95),E94))))</f>
        <v>80274.798338602559</v>
      </c>
      <c r="F95" s="18">
        <f t="shared" si="6"/>
        <v>5823414.6163398474</v>
      </c>
      <c r="G95" s="18">
        <f>IF(C95&gt;'Input Data'!$B$23*12,0,D95*B95/12)</f>
        <v>24598.705894493542</v>
      </c>
      <c r="H95" s="18">
        <f t="shared" si="5"/>
        <v>55676.092444109017</v>
      </c>
      <c r="I95" s="18">
        <f t="shared" si="7"/>
        <v>5848013.3222343409</v>
      </c>
    </row>
    <row r="96" spans="1:9" x14ac:dyDescent="0.25">
      <c r="A96" t="b">
        <f>IF(('Input Data'!$C$23)="FRM", FALSE, ISNUMBER(MATCH(C96,'Input Data'!$M$18:$M$30,0)))</f>
        <v>0</v>
      </c>
      <c r="B96" s="8">
        <f>IF($A96, _xlfn.XLOOKUP(C96,'Input Data'!$M$17:$M$29,'Input Data'!$N$17:$N$29),$B95)</f>
        <v>0.05</v>
      </c>
      <c r="C96" s="10">
        <f t="shared" si="8"/>
        <v>94</v>
      </c>
      <c r="D96" s="18">
        <f t="shared" si="9"/>
        <v>5848013.3222343409</v>
      </c>
      <c r="E96" s="18">
        <f>IF(OR(D96&lt;=0,C96&gt;'Input Data'!$B$23*12),0,IF(AND(C96='Input Data'!$B$23*12,'Input Data'!$E$23&gt;'Input Data'!$B$23),D96+D96*B96/12,IF('Input Data'!$C$23="FRM",-PMT($B$3/12,'Input Data'!$E$23*12,$D$3),IF($A96,-PMT(B96/12,('Input Data'!$E$23*12)-C96+1,D96),E95))))</f>
        <v>80274.798338602559</v>
      </c>
      <c r="F96" s="18">
        <f t="shared" si="6"/>
        <v>5767738.5238957386</v>
      </c>
      <c r="G96" s="18">
        <f>IF(C96&gt;'Input Data'!$B$23*12,0,D96*B96/12)</f>
        <v>24366.722175976422</v>
      </c>
      <c r="H96" s="18">
        <f t="shared" si="5"/>
        <v>55908.076162626137</v>
      </c>
      <c r="I96" s="18">
        <f t="shared" si="7"/>
        <v>5792105.2460717149</v>
      </c>
    </row>
    <row r="97" spans="1:9" x14ac:dyDescent="0.25">
      <c r="A97" t="b">
        <f>IF(('Input Data'!$C$23)="FRM", FALSE, ISNUMBER(MATCH(C97,'Input Data'!$M$18:$M$30,0)))</f>
        <v>0</v>
      </c>
      <c r="B97" s="8">
        <f>IF($A97, _xlfn.XLOOKUP(C97,'Input Data'!$M$17:$M$29,'Input Data'!$N$17:$N$29),$B96)</f>
        <v>0.05</v>
      </c>
      <c r="C97" s="10">
        <f t="shared" si="8"/>
        <v>95</v>
      </c>
      <c r="D97" s="18">
        <f t="shared" si="9"/>
        <v>5792105.2460717149</v>
      </c>
      <c r="E97" s="18">
        <f>IF(OR(D97&lt;=0,C97&gt;'Input Data'!$B$23*12),0,IF(AND(C97='Input Data'!$B$23*12,'Input Data'!$E$23&gt;'Input Data'!$B$23),D97+D97*B97/12,IF('Input Data'!$C$23="FRM",-PMT($B$3/12,'Input Data'!$E$23*12,$D$3),IF($A97,-PMT(B97/12,('Input Data'!$E$23*12)-C97+1,D97),E96))))</f>
        <v>80274.798338602559</v>
      </c>
      <c r="F97" s="18">
        <f t="shared" si="6"/>
        <v>5711830.4477331126</v>
      </c>
      <c r="G97" s="18">
        <f>IF(C97&gt;'Input Data'!$B$23*12,0,D97*B97/12)</f>
        <v>24133.771858632146</v>
      </c>
      <c r="H97" s="18">
        <f t="shared" si="5"/>
        <v>56141.026479970416</v>
      </c>
      <c r="I97" s="18">
        <f t="shared" si="7"/>
        <v>5735964.2195917442</v>
      </c>
    </row>
    <row r="98" spans="1:9" x14ac:dyDescent="0.25">
      <c r="A98" t="b">
        <f>IF(('Input Data'!$C$23)="FRM", FALSE, ISNUMBER(MATCH(C98,'Input Data'!$M$18:$M$30,0)))</f>
        <v>0</v>
      </c>
      <c r="B98" s="8">
        <f>IF($A98, _xlfn.XLOOKUP(C98,'Input Data'!$M$17:$M$29,'Input Data'!$N$17:$N$29),$B97)</f>
        <v>0.05</v>
      </c>
      <c r="C98" s="10">
        <f t="shared" si="8"/>
        <v>96</v>
      </c>
      <c r="D98" s="18">
        <f t="shared" si="9"/>
        <v>5735964.2195917442</v>
      </c>
      <c r="E98" s="18">
        <f>IF(OR(D98&lt;=0,C98&gt;'Input Data'!$B$23*12),0,IF(AND(C98='Input Data'!$B$23*12,'Input Data'!$E$23&gt;'Input Data'!$B$23),D98+D98*B98/12,IF('Input Data'!$C$23="FRM",-PMT($B$3/12,'Input Data'!$E$23*12,$D$3),IF($A98,-PMT(B98/12,('Input Data'!$E$23*12)-C98+1,D98),E97))))</f>
        <v>80274.798338602559</v>
      </c>
      <c r="F98" s="18">
        <f t="shared" si="6"/>
        <v>5655689.4212531419</v>
      </c>
      <c r="G98" s="18">
        <f>IF(C98&gt;'Input Data'!$B$23*12,0,D98*B98/12)</f>
        <v>23899.850914965602</v>
      </c>
      <c r="H98" s="18">
        <f t="shared" si="5"/>
        <v>56374.947423636957</v>
      </c>
      <c r="I98" s="18">
        <f t="shared" si="7"/>
        <v>5679589.2721681073</v>
      </c>
    </row>
    <row r="99" spans="1:9" x14ac:dyDescent="0.25">
      <c r="A99" t="b">
        <f>IF(('Input Data'!$C$23)="FRM", FALSE, ISNUMBER(MATCH(C99,'Input Data'!$M$18:$M$30,0)))</f>
        <v>0</v>
      </c>
      <c r="B99" s="8">
        <f>IF($A99, _xlfn.XLOOKUP(C99,'Input Data'!$M$17:$M$29,'Input Data'!$N$17:$N$29),$B98)</f>
        <v>0.05</v>
      </c>
      <c r="C99" s="10">
        <f t="shared" si="8"/>
        <v>97</v>
      </c>
      <c r="D99" s="18">
        <f t="shared" si="9"/>
        <v>5679589.2721681073</v>
      </c>
      <c r="E99" s="18">
        <f>IF(OR(D99&lt;=0,C99&gt;'Input Data'!$B$23*12),0,IF(AND(C99='Input Data'!$B$23*12,'Input Data'!$E$23&gt;'Input Data'!$B$23),D99+D99*B99/12,IF('Input Data'!$C$23="FRM",-PMT($B$3/12,'Input Data'!$E$23*12,$D$3),IF($A99,-PMT(B99/12,('Input Data'!$E$23*12)-C99+1,D99),E98))))</f>
        <v>80274.798338602559</v>
      </c>
      <c r="F99" s="18">
        <f t="shared" si="6"/>
        <v>5599314.473829505</v>
      </c>
      <c r="G99" s="18">
        <f>IF(C99&gt;'Input Data'!$B$23*12,0,D99*B99/12)</f>
        <v>23664.955300700447</v>
      </c>
      <c r="H99" s="18">
        <f t="shared" si="5"/>
        <v>56609.843037902116</v>
      </c>
      <c r="I99" s="18">
        <f t="shared" si="7"/>
        <v>5622979.429130205</v>
      </c>
    </row>
    <row r="100" spans="1:9" x14ac:dyDescent="0.25">
      <c r="A100" t="b">
        <f>IF(('Input Data'!$C$23)="FRM", FALSE, ISNUMBER(MATCH(C100,'Input Data'!$M$18:$M$30,0)))</f>
        <v>0</v>
      </c>
      <c r="B100" s="8">
        <f>IF($A100, _xlfn.XLOOKUP(C100,'Input Data'!$M$17:$M$29,'Input Data'!$N$17:$N$29),$B99)</f>
        <v>0.05</v>
      </c>
      <c r="C100" s="10">
        <f t="shared" si="8"/>
        <v>98</v>
      </c>
      <c r="D100" s="18">
        <f t="shared" si="9"/>
        <v>5622979.429130205</v>
      </c>
      <c r="E100" s="18">
        <f>IF(OR(D100&lt;=0,C100&gt;'Input Data'!$B$23*12),0,IF(AND(C100='Input Data'!$B$23*12,'Input Data'!$E$23&gt;'Input Data'!$B$23),D100+D100*B100/12,IF('Input Data'!$C$23="FRM",-PMT($B$3/12,'Input Data'!$E$23*12,$D$3),IF($A100,-PMT(B100/12,('Input Data'!$E$23*12)-C100+1,D100),E99))))</f>
        <v>80274.798338602559</v>
      </c>
      <c r="F100" s="18">
        <f t="shared" si="6"/>
        <v>5542704.6307916027</v>
      </c>
      <c r="G100" s="18">
        <f>IF(C100&gt;'Input Data'!$B$23*12,0,D100*B100/12)</f>
        <v>23429.080954709189</v>
      </c>
      <c r="H100" s="18">
        <f t="shared" si="5"/>
        <v>56845.717383893367</v>
      </c>
      <c r="I100" s="18">
        <f t="shared" si="7"/>
        <v>5566133.7117463117</v>
      </c>
    </row>
    <row r="101" spans="1:9" x14ac:dyDescent="0.25">
      <c r="A101" t="b">
        <f>IF(('Input Data'!$C$23)="FRM", FALSE, ISNUMBER(MATCH(C101,'Input Data'!$M$18:$M$30,0)))</f>
        <v>0</v>
      </c>
      <c r="B101" s="8">
        <f>IF($A101, _xlfn.XLOOKUP(C101,'Input Data'!$M$17:$M$29,'Input Data'!$N$17:$N$29),$B100)</f>
        <v>0.05</v>
      </c>
      <c r="C101" s="10">
        <f t="shared" si="8"/>
        <v>99</v>
      </c>
      <c r="D101" s="18">
        <f t="shared" si="9"/>
        <v>5566133.7117463117</v>
      </c>
      <c r="E101" s="18">
        <f>IF(OR(D101&lt;=0,C101&gt;'Input Data'!$B$23*12),0,IF(AND(C101='Input Data'!$B$23*12,'Input Data'!$E$23&gt;'Input Data'!$B$23),D101+D101*B101/12,IF('Input Data'!$C$23="FRM",-PMT($B$3/12,'Input Data'!$E$23*12,$D$3),IF($A101,-PMT(B101/12,('Input Data'!$E$23*12)-C101+1,D101),E100))))</f>
        <v>80274.798338602559</v>
      </c>
      <c r="F101" s="18">
        <f t="shared" si="6"/>
        <v>5485858.9134077094</v>
      </c>
      <c r="G101" s="18">
        <f>IF(C101&gt;'Input Data'!$B$23*12,0,D101*B101/12)</f>
        <v>23192.223798942967</v>
      </c>
      <c r="H101" s="18">
        <f t="shared" si="5"/>
        <v>57082.574539659588</v>
      </c>
      <c r="I101" s="18">
        <f t="shared" si="7"/>
        <v>5509051.1372066522</v>
      </c>
    </row>
    <row r="102" spans="1:9" x14ac:dyDescent="0.25">
      <c r="A102" t="b">
        <f>IF(('Input Data'!$C$23)="FRM", FALSE, ISNUMBER(MATCH(C102,'Input Data'!$M$18:$M$30,0)))</f>
        <v>1</v>
      </c>
      <c r="B102" s="8">
        <f>IF($A102, _xlfn.XLOOKUP(C102,'Input Data'!$M$17:$M$29,'Input Data'!$N$17:$N$29),$B101)</f>
        <v>6.5000000000000002E-2</v>
      </c>
      <c r="C102" s="10">
        <f t="shared" si="8"/>
        <v>100</v>
      </c>
      <c r="D102" s="18">
        <f t="shared" si="9"/>
        <v>5509051.1372066522</v>
      </c>
      <c r="E102" s="18">
        <f>IF(OR(D102&lt;=0,C102&gt;'Input Data'!$B$23*12),0,IF(AND(C102='Input Data'!$B$23*12,'Input Data'!$E$23&gt;'Input Data'!$B$23),D102+D102*B102/12,IF('Input Data'!$C$23="FRM",-PMT($B$3/12,'Input Data'!$E$23*12,$D$3),IF($A102,-PMT(B102/12,('Input Data'!$E$23*12)-C102+1,D102),E101))))</f>
        <v>84202.009396370384</v>
      </c>
      <c r="F102" s="18">
        <f t="shared" si="6"/>
        <v>5424849.1278102817</v>
      </c>
      <c r="G102" s="18">
        <f>IF(C102&gt;'Input Data'!$B$23*12,0,D102*B102/12)</f>
        <v>29840.693659869368</v>
      </c>
      <c r="H102" s="18">
        <f t="shared" si="5"/>
        <v>54361.315736501012</v>
      </c>
      <c r="I102" s="18">
        <f t="shared" si="7"/>
        <v>5454689.8214701507</v>
      </c>
    </row>
    <row r="103" spans="1:9" x14ac:dyDescent="0.25">
      <c r="A103" t="b">
        <f>IF(('Input Data'!$C$23)="FRM", FALSE, ISNUMBER(MATCH(C103,'Input Data'!$M$18:$M$30,0)))</f>
        <v>0</v>
      </c>
      <c r="B103" s="8">
        <f>IF($A103, _xlfn.XLOOKUP(C103,'Input Data'!$M$17:$M$29,'Input Data'!$N$17:$N$29),$B102)</f>
        <v>6.5000000000000002E-2</v>
      </c>
      <c r="C103" s="10">
        <f t="shared" si="8"/>
        <v>101</v>
      </c>
      <c r="D103" s="18">
        <f t="shared" si="9"/>
        <v>5454689.8214701507</v>
      </c>
      <c r="E103" s="18">
        <f>IF(OR(D103&lt;=0,C103&gt;'Input Data'!$B$23*12),0,IF(AND(C103='Input Data'!$B$23*12,'Input Data'!$E$23&gt;'Input Data'!$B$23),D103+D103*B103/12,IF('Input Data'!$C$23="FRM",-PMT($B$3/12,'Input Data'!$E$23*12,$D$3),IF($A103,-PMT(B103/12,('Input Data'!$E$23*12)-C103+1,D103),E102))))</f>
        <v>84202.009396370384</v>
      </c>
      <c r="F103" s="18">
        <f t="shared" si="6"/>
        <v>5370487.8120737802</v>
      </c>
      <c r="G103" s="18">
        <f>IF(C103&gt;'Input Data'!$B$23*12,0,D103*B103/12)</f>
        <v>29546.236532963318</v>
      </c>
      <c r="H103" s="18">
        <f t="shared" si="5"/>
        <v>54655.772863407066</v>
      </c>
      <c r="I103" s="18">
        <f t="shared" si="7"/>
        <v>5400034.048606744</v>
      </c>
    </row>
    <row r="104" spans="1:9" x14ac:dyDescent="0.25">
      <c r="A104" t="b">
        <f>IF(('Input Data'!$C$23)="FRM", FALSE, ISNUMBER(MATCH(C104,'Input Data'!$M$18:$M$30,0)))</f>
        <v>0</v>
      </c>
      <c r="B104" s="8">
        <f>IF($A104, _xlfn.XLOOKUP(C104,'Input Data'!$M$17:$M$29,'Input Data'!$N$17:$N$29),$B103)</f>
        <v>6.5000000000000002E-2</v>
      </c>
      <c r="C104" s="10">
        <f t="shared" si="8"/>
        <v>102</v>
      </c>
      <c r="D104" s="18">
        <f t="shared" si="9"/>
        <v>5400034.048606744</v>
      </c>
      <c r="E104" s="18">
        <f>IF(OR(D104&lt;=0,C104&gt;'Input Data'!$B$23*12),0,IF(AND(C104='Input Data'!$B$23*12,'Input Data'!$E$23&gt;'Input Data'!$B$23),D104+D104*B104/12,IF('Input Data'!$C$23="FRM",-PMT($B$3/12,'Input Data'!$E$23*12,$D$3),IF($A104,-PMT(B104/12,('Input Data'!$E$23*12)-C104+1,D104),E103))))</f>
        <v>84202.009396370384</v>
      </c>
      <c r="F104" s="18">
        <f t="shared" si="6"/>
        <v>5315832.0392103735</v>
      </c>
      <c r="G104" s="18">
        <f>IF(C104&gt;'Input Data'!$B$23*12,0,D104*B104/12)</f>
        <v>29250.184429953199</v>
      </c>
      <c r="H104" s="18">
        <f t="shared" si="5"/>
        <v>54951.824966417189</v>
      </c>
      <c r="I104" s="18">
        <f t="shared" si="7"/>
        <v>5345082.2236403264</v>
      </c>
    </row>
    <row r="105" spans="1:9" x14ac:dyDescent="0.25">
      <c r="A105" t="b">
        <f>IF(('Input Data'!$C$23)="FRM", FALSE, ISNUMBER(MATCH(C105,'Input Data'!$M$18:$M$30,0)))</f>
        <v>0</v>
      </c>
      <c r="B105" s="8">
        <f>IF($A105, _xlfn.XLOOKUP(C105,'Input Data'!$M$17:$M$29,'Input Data'!$N$17:$N$29),$B104)</f>
        <v>6.5000000000000002E-2</v>
      </c>
      <c r="C105" s="10">
        <f t="shared" si="8"/>
        <v>103</v>
      </c>
      <c r="D105" s="18">
        <f t="shared" si="9"/>
        <v>5345082.2236403264</v>
      </c>
      <c r="E105" s="18">
        <f>IF(OR(D105&lt;=0,C105&gt;'Input Data'!$B$23*12),0,IF(AND(C105='Input Data'!$B$23*12,'Input Data'!$E$23&gt;'Input Data'!$B$23),D105+D105*B105/12,IF('Input Data'!$C$23="FRM",-PMT($B$3/12,'Input Data'!$E$23*12,$D$3),IF($A105,-PMT(B105/12,('Input Data'!$E$23*12)-C105+1,D105),E104))))</f>
        <v>84202.009396370384</v>
      </c>
      <c r="F105" s="18">
        <f t="shared" si="6"/>
        <v>5260880.2142439559</v>
      </c>
      <c r="G105" s="18">
        <f>IF(C105&gt;'Input Data'!$B$23*12,0,D105*B105/12)</f>
        <v>28952.528711385105</v>
      </c>
      <c r="H105" s="18">
        <f t="shared" si="5"/>
        <v>55249.480684985276</v>
      </c>
      <c r="I105" s="18">
        <f t="shared" si="7"/>
        <v>5289832.742955341</v>
      </c>
    </row>
    <row r="106" spans="1:9" x14ac:dyDescent="0.25">
      <c r="A106" t="b">
        <f>IF(('Input Data'!$C$23)="FRM", FALSE, ISNUMBER(MATCH(C106,'Input Data'!$M$18:$M$30,0)))</f>
        <v>0</v>
      </c>
      <c r="B106" s="8">
        <f>IF($A106, _xlfn.XLOOKUP(C106,'Input Data'!$M$17:$M$29,'Input Data'!$N$17:$N$29),$B105)</f>
        <v>6.5000000000000002E-2</v>
      </c>
      <c r="C106" s="10">
        <f t="shared" si="8"/>
        <v>104</v>
      </c>
      <c r="D106" s="18">
        <f t="shared" si="9"/>
        <v>5289832.742955341</v>
      </c>
      <c r="E106" s="18">
        <f>IF(OR(D106&lt;=0,C106&gt;'Input Data'!$B$23*12),0,IF(AND(C106='Input Data'!$B$23*12,'Input Data'!$E$23&gt;'Input Data'!$B$23),D106+D106*B106/12,IF('Input Data'!$C$23="FRM",-PMT($B$3/12,'Input Data'!$E$23*12,$D$3),IF($A106,-PMT(B106/12,('Input Data'!$E$23*12)-C106+1,D106),E105))))</f>
        <v>84202.009396370384</v>
      </c>
      <c r="F106" s="18">
        <f t="shared" si="6"/>
        <v>5205630.7335589705</v>
      </c>
      <c r="G106" s="18">
        <f>IF(C106&gt;'Input Data'!$B$23*12,0,D106*B106/12)</f>
        <v>28653.260691008098</v>
      </c>
      <c r="H106" s="18">
        <f t="shared" si="5"/>
        <v>55548.74870536229</v>
      </c>
      <c r="I106" s="18">
        <f t="shared" si="7"/>
        <v>5234283.994249979</v>
      </c>
    </row>
    <row r="107" spans="1:9" x14ac:dyDescent="0.25">
      <c r="A107" t="b">
        <f>IF(('Input Data'!$C$23)="FRM", FALSE, ISNUMBER(MATCH(C107,'Input Data'!$M$18:$M$30,0)))</f>
        <v>0</v>
      </c>
      <c r="B107" s="8">
        <f>IF($A107, _xlfn.XLOOKUP(C107,'Input Data'!$M$17:$M$29,'Input Data'!$N$17:$N$29),$B106)</f>
        <v>6.5000000000000002E-2</v>
      </c>
      <c r="C107" s="10">
        <f t="shared" si="8"/>
        <v>105</v>
      </c>
      <c r="D107" s="18">
        <f t="shared" si="9"/>
        <v>5234283.994249979</v>
      </c>
      <c r="E107" s="18">
        <f>IF(OR(D107&lt;=0,C107&gt;'Input Data'!$B$23*12),0,IF(AND(C107='Input Data'!$B$23*12,'Input Data'!$E$23&gt;'Input Data'!$B$23),D107+D107*B107/12,IF('Input Data'!$C$23="FRM",-PMT($B$3/12,'Input Data'!$E$23*12,$D$3),IF($A107,-PMT(B107/12,('Input Data'!$E$23*12)-C107+1,D107),E106))))</f>
        <v>84202.009396370384</v>
      </c>
      <c r="F107" s="18">
        <f t="shared" si="6"/>
        <v>5150081.9848536085</v>
      </c>
      <c r="G107" s="18">
        <f>IF(C107&gt;'Input Data'!$B$23*12,0,D107*B107/12)</f>
        <v>28352.371635520718</v>
      </c>
      <c r="H107" s="18">
        <f t="shared" si="5"/>
        <v>55849.63776084967</v>
      </c>
      <c r="I107" s="18">
        <f t="shared" si="7"/>
        <v>5178434.3564891294</v>
      </c>
    </row>
    <row r="108" spans="1:9" x14ac:dyDescent="0.25">
      <c r="A108" t="b">
        <f>IF(('Input Data'!$C$23)="FRM", FALSE, ISNUMBER(MATCH(C108,'Input Data'!$M$18:$M$30,0)))</f>
        <v>0</v>
      </c>
      <c r="B108" s="8">
        <f>IF($A108, _xlfn.XLOOKUP(C108,'Input Data'!$M$17:$M$29,'Input Data'!$N$17:$N$29),$B107)</f>
        <v>6.5000000000000002E-2</v>
      </c>
      <c r="C108" s="10">
        <f t="shared" si="8"/>
        <v>106</v>
      </c>
      <c r="D108" s="18">
        <f t="shared" si="9"/>
        <v>5178434.3564891294</v>
      </c>
      <c r="E108" s="18">
        <f>IF(OR(D108&lt;=0,C108&gt;'Input Data'!$B$23*12),0,IF(AND(C108='Input Data'!$B$23*12,'Input Data'!$E$23&gt;'Input Data'!$B$23),D108+D108*B108/12,IF('Input Data'!$C$23="FRM",-PMT($B$3/12,'Input Data'!$E$23*12,$D$3),IF($A108,-PMT(B108/12,('Input Data'!$E$23*12)-C108+1,D108),E107))))</f>
        <v>84202.009396370384</v>
      </c>
      <c r="F108" s="18">
        <f t="shared" si="6"/>
        <v>5094232.3470927589</v>
      </c>
      <c r="G108" s="18">
        <f>IF(C108&gt;'Input Data'!$B$23*12,0,D108*B108/12)</f>
        <v>28049.852764316118</v>
      </c>
      <c r="H108" s="18">
        <f t="shared" si="5"/>
        <v>56152.156632054262</v>
      </c>
      <c r="I108" s="18">
        <f t="shared" si="7"/>
        <v>5122282.1998570748</v>
      </c>
    </row>
    <row r="109" spans="1:9" x14ac:dyDescent="0.25">
      <c r="A109" t="b">
        <f>IF(('Input Data'!$C$23)="FRM", FALSE, ISNUMBER(MATCH(C109,'Input Data'!$M$18:$M$30,0)))</f>
        <v>0</v>
      </c>
      <c r="B109" s="8">
        <f>IF($A109, _xlfn.XLOOKUP(C109,'Input Data'!$M$17:$M$29,'Input Data'!$N$17:$N$29),$B108)</f>
        <v>6.5000000000000002E-2</v>
      </c>
      <c r="C109" s="10">
        <f t="shared" si="8"/>
        <v>107</v>
      </c>
      <c r="D109" s="18">
        <f t="shared" si="9"/>
        <v>5122282.1998570748</v>
      </c>
      <c r="E109" s="18">
        <f>IF(OR(D109&lt;=0,C109&gt;'Input Data'!$B$23*12),0,IF(AND(C109='Input Data'!$B$23*12,'Input Data'!$E$23&gt;'Input Data'!$B$23),D109+D109*B109/12,IF('Input Data'!$C$23="FRM",-PMT($B$3/12,'Input Data'!$E$23*12,$D$3),IF($A109,-PMT(B109/12,('Input Data'!$E$23*12)-C109+1,D109),E108))))</f>
        <v>84202.009396370384</v>
      </c>
      <c r="F109" s="18">
        <f t="shared" si="6"/>
        <v>5038080.1904607043</v>
      </c>
      <c r="G109" s="18">
        <f>IF(C109&gt;'Input Data'!$B$23*12,0,D109*B109/12)</f>
        <v>27745.695249225824</v>
      </c>
      <c r="H109" s="18">
        <f t="shared" si="5"/>
        <v>56456.314147144556</v>
      </c>
      <c r="I109" s="18">
        <f t="shared" si="7"/>
        <v>5065825.8857099302</v>
      </c>
    </row>
    <row r="110" spans="1:9" x14ac:dyDescent="0.25">
      <c r="A110" t="b">
        <f>IF(('Input Data'!$C$23)="FRM", FALSE, ISNUMBER(MATCH(C110,'Input Data'!$M$18:$M$30,0)))</f>
        <v>0</v>
      </c>
      <c r="B110" s="8">
        <f>IF($A110, _xlfn.XLOOKUP(C110,'Input Data'!$M$17:$M$29,'Input Data'!$N$17:$N$29),$B109)</f>
        <v>6.5000000000000002E-2</v>
      </c>
      <c r="C110" s="10">
        <f t="shared" si="8"/>
        <v>108</v>
      </c>
      <c r="D110" s="18">
        <f t="shared" si="9"/>
        <v>5065825.8857099302</v>
      </c>
      <c r="E110" s="18">
        <f>IF(OR(D110&lt;=0,C110&gt;'Input Data'!$B$23*12),0,IF(AND(C110='Input Data'!$B$23*12,'Input Data'!$E$23&gt;'Input Data'!$B$23),D110+D110*B110/12,IF('Input Data'!$C$23="FRM",-PMT($B$3/12,'Input Data'!$E$23*12,$D$3),IF($A110,-PMT(B110/12,('Input Data'!$E$23*12)-C110+1,D110),E109))))</f>
        <v>84202.009396370384</v>
      </c>
      <c r="F110" s="18">
        <f t="shared" si="6"/>
        <v>4981623.8763135597</v>
      </c>
      <c r="G110" s="18">
        <f>IF(C110&gt;'Input Data'!$B$23*12,0,D110*B110/12)</f>
        <v>27439.890214262123</v>
      </c>
      <c r="H110" s="18">
        <f t="shared" si="5"/>
        <v>56762.119182108261</v>
      </c>
      <c r="I110" s="18">
        <f t="shared" si="7"/>
        <v>5009063.7665278222</v>
      </c>
    </row>
    <row r="111" spans="1:9" x14ac:dyDescent="0.25">
      <c r="A111" t="b">
        <f>IF(('Input Data'!$C$23)="FRM", FALSE, ISNUMBER(MATCH(C111,'Input Data'!$M$18:$M$30,0)))</f>
        <v>0</v>
      </c>
      <c r="B111" s="8">
        <f>IF($A111, _xlfn.XLOOKUP(C111,'Input Data'!$M$17:$M$29,'Input Data'!$N$17:$N$29),$B110)</f>
        <v>6.5000000000000002E-2</v>
      </c>
      <c r="C111" s="10">
        <f t="shared" si="8"/>
        <v>109</v>
      </c>
      <c r="D111" s="18">
        <f t="shared" si="9"/>
        <v>5009063.7665278222</v>
      </c>
      <c r="E111" s="18">
        <f>IF(OR(D111&lt;=0,C111&gt;'Input Data'!$B$23*12),0,IF(AND(C111='Input Data'!$B$23*12,'Input Data'!$E$23&gt;'Input Data'!$B$23),D111+D111*B111/12,IF('Input Data'!$C$23="FRM",-PMT($B$3/12,'Input Data'!$E$23*12,$D$3),IF($A111,-PMT(B111/12,('Input Data'!$E$23*12)-C111+1,D111),E110))))</f>
        <v>84202.009396370384</v>
      </c>
      <c r="F111" s="18">
        <f t="shared" si="6"/>
        <v>4924861.7571314517</v>
      </c>
      <c r="G111" s="18">
        <f>IF(C111&gt;'Input Data'!$B$23*12,0,D111*B111/12)</f>
        <v>27132.428735359037</v>
      </c>
      <c r="H111" s="18">
        <f t="shared" si="5"/>
        <v>57069.58066101135</v>
      </c>
      <c r="I111" s="18">
        <f t="shared" si="7"/>
        <v>4951994.1858668113</v>
      </c>
    </row>
    <row r="112" spans="1:9" x14ac:dyDescent="0.25">
      <c r="A112" t="b">
        <f>IF(('Input Data'!$C$23)="FRM", FALSE, ISNUMBER(MATCH(C112,'Input Data'!$M$18:$M$30,0)))</f>
        <v>0</v>
      </c>
      <c r="B112" s="8">
        <f>IF($A112, _xlfn.XLOOKUP(C112,'Input Data'!$M$17:$M$29,'Input Data'!$N$17:$N$29),$B111)</f>
        <v>6.5000000000000002E-2</v>
      </c>
      <c r="C112" s="10">
        <f t="shared" si="8"/>
        <v>110</v>
      </c>
      <c r="D112" s="18">
        <f t="shared" si="9"/>
        <v>4951994.1858668113</v>
      </c>
      <c r="E112" s="18">
        <f>IF(OR(D112&lt;=0,C112&gt;'Input Data'!$B$23*12),0,IF(AND(C112='Input Data'!$B$23*12,'Input Data'!$E$23&gt;'Input Data'!$B$23),D112+D112*B112/12,IF('Input Data'!$C$23="FRM",-PMT($B$3/12,'Input Data'!$E$23*12,$D$3),IF($A112,-PMT(B112/12,('Input Data'!$E$23*12)-C112+1,D112),E111))))</f>
        <v>84202.009396370384</v>
      </c>
      <c r="F112" s="18">
        <f t="shared" si="6"/>
        <v>4867792.1764704408</v>
      </c>
      <c r="G112" s="18">
        <f>IF(C112&gt;'Input Data'!$B$23*12,0,D112*B112/12)</f>
        <v>26823.301840111893</v>
      </c>
      <c r="H112" s="18">
        <f t="shared" si="5"/>
        <v>57378.707556258494</v>
      </c>
      <c r="I112" s="18">
        <f t="shared" si="7"/>
        <v>4894615.4783105524</v>
      </c>
    </row>
    <row r="113" spans="1:9" x14ac:dyDescent="0.25">
      <c r="A113" t="b">
        <f>IF(('Input Data'!$C$23)="FRM", FALSE, ISNUMBER(MATCH(C113,'Input Data'!$M$18:$M$30,0)))</f>
        <v>0</v>
      </c>
      <c r="B113" s="8">
        <f>IF($A113, _xlfn.XLOOKUP(C113,'Input Data'!$M$17:$M$29,'Input Data'!$N$17:$N$29),$B112)</f>
        <v>6.5000000000000002E-2</v>
      </c>
      <c r="C113" s="10">
        <f t="shared" si="8"/>
        <v>111</v>
      </c>
      <c r="D113" s="18">
        <f t="shared" si="9"/>
        <v>4894615.4783105524</v>
      </c>
      <c r="E113" s="18">
        <f>IF(OR(D113&lt;=0,C113&gt;'Input Data'!$B$23*12),0,IF(AND(C113='Input Data'!$B$23*12,'Input Data'!$E$23&gt;'Input Data'!$B$23),D113+D113*B113/12,IF('Input Data'!$C$23="FRM",-PMT($B$3/12,'Input Data'!$E$23*12,$D$3),IF($A113,-PMT(B113/12,('Input Data'!$E$23*12)-C113+1,D113),E112))))</f>
        <v>84202.009396370384</v>
      </c>
      <c r="F113" s="18">
        <f t="shared" si="6"/>
        <v>4810413.4689141819</v>
      </c>
      <c r="G113" s="18">
        <f>IF(C113&gt;'Input Data'!$B$23*12,0,D113*B113/12)</f>
        <v>26512.500507515491</v>
      </c>
      <c r="H113" s="18">
        <f t="shared" si="5"/>
        <v>57689.508888854893</v>
      </c>
      <c r="I113" s="18">
        <f t="shared" si="7"/>
        <v>4836925.9694216978</v>
      </c>
    </row>
    <row r="114" spans="1:9" x14ac:dyDescent="0.25">
      <c r="A114" t="b">
        <f>IF(('Input Data'!$C$23)="FRM", FALSE, ISNUMBER(MATCH(C114,'Input Data'!$M$18:$M$30,0)))</f>
        <v>0</v>
      </c>
      <c r="B114" s="8">
        <f>IF($A114, _xlfn.XLOOKUP(C114,'Input Data'!$M$17:$M$29,'Input Data'!$N$17:$N$29),$B113)</f>
        <v>6.5000000000000002E-2</v>
      </c>
      <c r="C114" s="10">
        <f t="shared" si="8"/>
        <v>112</v>
      </c>
      <c r="D114" s="18">
        <f t="shared" si="9"/>
        <v>4836925.9694216978</v>
      </c>
      <c r="E114" s="18">
        <f>IF(OR(D114&lt;=0,C114&gt;'Input Data'!$B$23*12),0,IF(AND(C114='Input Data'!$B$23*12,'Input Data'!$E$23&gt;'Input Data'!$B$23),D114+D114*B114/12,IF('Input Data'!$C$23="FRM",-PMT($B$3/12,'Input Data'!$E$23*12,$D$3),IF($A114,-PMT(B114/12,('Input Data'!$E$23*12)-C114+1,D114),E113))))</f>
        <v>84202.009396370384</v>
      </c>
      <c r="F114" s="18">
        <f t="shared" si="6"/>
        <v>4752723.9600253273</v>
      </c>
      <c r="G114" s="18">
        <f>IF(C114&gt;'Input Data'!$B$23*12,0,D114*B114/12)</f>
        <v>26200.015667700864</v>
      </c>
      <c r="H114" s="18">
        <f t="shared" si="5"/>
        <v>58001.99372866952</v>
      </c>
      <c r="I114" s="18">
        <f t="shared" si="7"/>
        <v>4778923.9756930284</v>
      </c>
    </row>
    <row r="115" spans="1:9" x14ac:dyDescent="0.25">
      <c r="A115" t="b">
        <f>IF(('Input Data'!$C$23)="FRM", FALSE, ISNUMBER(MATCH(C115,'Input Data'!$M$18:$M$30,0)))</f>
        <v>0</v>
      </c>
      <c r="B115" s="8">
        <f>IF($A115, _xlfn.XLOOKUP(C115,'Input Data'!$M$17:$M$29,'Input Data'!$N$17:$N$29),$B114)</f>
        <v>6.5000000000000002E-2</v>
      </c>
      <c r="C115" s="10">
        <f t="shared" si="8"/>
        <v>113</v>
      </c>
      <c r="D115" s="18">
        <f t="shared" si="9"/>
        <v>4778923.9756930284</v>
      </c>
      <c r="E115" s="18">
        <f>IF(OR(D115&lt;=0,C115&gt;'Input Data'!$B$23*12),0,IF(AND(C115='Input Data'!$B$23*12,'Input Data'!$E$23&gt;'Input Data'!$B$23),D115+D115*B115/12,IF('Input Data'!$C$23="FRM",-PMT($B$3/12,'Input Data'!$E$23*12,$D$3),IF($A115,-PMT(B115/12,('Input Data'!$E$23*12)-C115+1,D115),E114))))</f>
        <v>84202.009396370384</v>
      </c>
      <c r="F115" s="18">
        <f t="shared" si="6"/>
        <v>4694721.9662966579</v>
      </c>
      <c r="G115" s="18">
        <f>IF(C115&gt;'Input Data'!$B$23*12,0,D115*B115/12)</f>
        <v>25885.838201670573</v>
      </c>
      <c r="H115" s="18">
        <f t="shared" si="5"/>
        <v>58316.171194699811</v>
      </c>
      <c r="I115" s="18">
        <f t="shared" si="7"/>
        <v>4720607.8044983288</v>
      </c>
    </row>
    <row r="116" spans="1:9" x14ac:dyDescent="0.25">
      <c r="A116" t="b">
        <f>IF(('Input Data'!$C$23)="FRM", FALSE, ISNUMBER(MATCH(C116,'Input Data'!$M$18:$M$30,0)))</f>
        <v>0</v>
      </c>
      <c r="B116" s="8">
        <f>IF($A116, _xlfn.XLOOKUP(C116,'Input Data'!$M$17:$M$29,'Input Data'!$N$17:$N$29),$B115)</f>
        <v>6.5000000000000002E-2</v>
      </c>
      <c r="C116" s="10">
        <f t="shared" si="8"/>
        <v>114</v>
      </c>
      <c r="D116" s="18">
        <f t="shared" si="9"/>
        <v>4720607.8044983288</v>
      </c>
      <c r="E116" s="18">
        <f>IF(OR(D116&lt;=0,C116&gt;'Input Data'!$B$23*12),0,IF(AND(C116='Input Data'!$B$23*12,'Input Data'!$E$23&gt;'Input Data'!$B$23),D116+D116*B116/12,IF('Input Data'!$C$23="FRM",-PMT($B$3/12,'Input Data'!$E$23*12,$D$3),IF($A116,-PMT(B116/12,('Input Data'!$E$23*12)-C116+1,D116),E115))))</f>
        <v>84202.009396370384</v>
      </c>
      <c r="F116" s="18">
        <f t="shared" si="6"/>
        <v>4636405.7951019583</v>
      </c>
      <c r="G116" s="18">
        <f>IF(C116&gt;'Input Data'!$B$23*12,0,D116*B116/12)</f>
        <v>25569.958941032615</v>
      </c>
      <c r="H116" s="18">
        <f t="shared" si="5"/>
        <v>58632.050455337769</v>
      </c>
      <c r="I116" s="18">
        <f t="shared" si="7"/>
        <v>4661975.7540429914</v>
      </c>
    </row>
    <row r="117" spans="1:9" x14ac:dyDescent="0.25">
      <c r="A117" t="b">
        <f>IF(('Input Data'!$C$23)="FRM", FALSE, ISNUMBER(MATCH(C117,'Input Data'!$M$18:$M$30,0)))</f>
        <v>0</v>
      </c>
      <c r="B117" s="8">
        <f>IF($A117, _xlfn.XLOOKUP(C117,'Input Data'!$M$17:$M$29,'Input Data'!$N$17:$N$29),$B116)</f>
        <v>6.5000000000000002E-2</v>
      </c>
      <c r="C117" s="10">
        <f t="shared" si="8"/>
        <v>115</v>
      </c>
      <c r="D117" s="18">
        <f t="shared" si="9"/>
        <v>4661975.7540429914</v>
      </c>
      <c r="E117" s="18">
        <f>IF(OR(D117&lt;=0,C117&gt;'Input Data'!$B$23*12),0,IF(AND(C117='Input Data'!$B$23*12,'Input Data'!$E$23&gt;'Input Data'!$B$23),D117+D117*B117/12,IF('Input Data'!$C$23="FRM",-PMT($B$3/12,'Input Data'!$E$23*12,$D$3),IF($A117,-PMT(B117/12,('Input Data'!$E$23*12)-C117+1,D117),E116))))</f>
        <v>84202.009396370384</v>
      </c>
      <c r="F117" s="18">
        <f t="shared" si="6"/>
        <v>4577773.7446466209</v>
      </c>
      <c r="G117" s="18">
        <f>IF(C117&gt;'Input Data'!$B$23*12,0,D117*B117/12)</f>
        <v>25252.36866773287</v>
      </c>
      <c r="H117" s="18">
        <f t="shared" si="5"/>
        <v>58949.640728637518</v>
      </c>
      <c r="I117" s="18">
        <f t="shared" si="7"/>
        <v>4603026.1133143539</v>
      </c>
    </row>
    <row r="118" spans="1:9" x14ac:dyDescent="0.25">
      <c r="A118" t="b">
        <f>IF(('Input Data'!$C$23)="FRM", FALSE, ISNUMBER(MATCH(C118,'Input Data'!$M$18:$M$30,0)))</f>
        <v>0</v>
      </c>
      <c r="B118" s="8">
        <f>IF($A118, _xlfn.XLOOKUP(C118,'Input Data'!$M$17:$M$29,'Input Data'!$N$17:$N$29),$B117)</f>
        <v>6.5000000000000002E-2</v>
      </c>
      <c r="C118" s="10">
        <f t="shared" si="8"/>
        <v>116</v>
      </c>
      <c r="D118" s="18">
        <f t="shared" si="9"/>
        <v>4603026.1133143539</v>
      </c>
      <c r="E118" s="18">
        <f>IF(OR(D118&lt;=0,C118&gt;'Input Data'!$B$23*12),0,IF(AND(C118='Input Data'!$B$23*12,'Input Data'!$E$23&gt;'Input Data'!$B$23),D118+D118*B118/12,IF('Input Data'!$C$23="FRM",-PMT($B$3/12,'Input Data'!$E$23*12,$D$3),IF($A118,-PMT(B118/12,('Input Data'!$E$23*12)-C118+1,D118),E117))))</f>
        <v>84202.009396370384</v>
      </c>
      <c r="F118" s="18">
        <f t="shared" si="6"/>
        <v>4518824.1039179834</v>
      </c>
      <c r="G118" s="18">
        <f>IF(C118&gt;'Input Data'!$B$23*12,0,D118*B118/12)</f>
        <v>24933.058113786086</v>
      </c>
      <c r="H118" s="18">
        <f t="shared" si="5"/>
        <v>59268.951282584298</v>
      </c>
      <c r="I118" s="18">
        <f t="shared" si="7"/>
        <v>4543757.1620317698</v>
      </c>
    </row>
    <row r="119" spans="1:9" x14ac:dyDescent="0.25">
      <c r="A119" t="b">
        <f>IF(('Input Data'!$C$23)="FRM", FALSE, ISNUMBER(MATCH(C119,'Input Data'!$M$18:$M$30,0)))</f>
        <v>0</v>
      </c>
      <c r="B119" s="8">
        <f>IF($A119, _xlfn.XLOOKUP(C119,'Input Data'!$M$17:$M$29,'Input Data'!$N$17:$N$29),$B118)</f>
        <v>6.5000000000000002E-2</v>
      </c>
      <c r="C119" s="10">
        <f t="shared" si="8"/>
        <v>117</v>
      </c>
      <c r="D119" s="18">
        <f t="shared" si="9"/>
        <v>4543757.1620317698</v>
      </c>
      <c r="E119" s="18">
        <f>IF(OR(D119&lt;=0,C119&gt;'Input Data'!$B$23*12),0,IF(AND(C119='Input Data'!$B$23*12,'Input Data'!$E$23&gt;'Input Data'!$B$23),D119+D119*B119/12,IF('Input Data'!$C$23="FRM",-PMT($B$3/12,'Input Data'!$E$23*12,$D$3),IF($A119,-PMT(B119/12,('Input Data'!$E$23*12)-C119+1,D119),E118))))</f>
        <v>84202.009396370384</v>
      </c>
      <c r="F119" s="18">
        <f t="shared" si="6"/>
        <v>4459555.1526353993</v>
      </c>
      <c r="G119" s="18">
        <f>IF(C119&gt;'Input Data'!$B$23*12,0,D119*B119/12)</f>
        <v>24612.017961005418</v>
      </c>
      <c r="H119" s="18">
        <f t="shared" si="5"/>
        <v>59589.991435364966</v>
      </c>
      <c r="I119" s="18">
        <f t="shared" si="7"/>
        <v>4484167.1705964049</v>
      </c>
    </row>
    <row r="120" spans="1:9" x14ac:dyDescent="0.25">
      <c r="A120" t="b">
        <f>IF(('Input Data'!$C$23)="FRM", FALSE, ISNUMBER(MATCH(C120,'Input Data'!$M$18:$M$30,0)))</f>
        <v>0</v>
      </c>
      <c r="B120" s="8">
        <f>IF($A120, _xlfn.XLOOKUP(C120,'Input Data'!$M$17:$M$29,'Input Data'!$N$17:$N$29),$B119)</f>
        <v>6.5000000000000002E-2</v>
      </c>
      <c r="C120" s="10">
        <f t="shared" si="8"/>
        <v>118</v>
      </c>
      <c r="D120" s="18">
        <f t="shared" si="9"/>
        <v>4484167.1705964049</v>
      </c>
      <c r="E120" s="18">
        <f>IF(OR(D120&lt;=0,C120&gt;'Input Data'!$B$23*12),0,IF(AND(C120='Input Data'!$B$23*12,'Input Data'!$E$23&gt;'Input Data'!$B$23),D120+D120*B120/12,IF('Input Data'!$C$23="FRM",-PMT($B$3/12,'Input Data'!$E$23*12,$D$3),IF($A120,-PMT(B120/12,('Input Data'!$E$23*12)-C120+1,D120),E119))))</f>
        <v>84202.009396370384</v>
      </c>
      <c r="F120" s="18">
        <f t="shared" si="6"/>
        <v>4399965.1612000344</v>
      </c>
      <c r="G120" s="18">
        <f>IF(C120&gt;'Input Data'!$B$23*12,0,D120*B120/12)</f>
        <v>24289.238840730526</v>
      </c>
      <c r="H120" s="18">
        <f t="shared" si="5"/>
        <v>59912.770555639858</v>
      </c>
      <c r="I120" s="18">
        <f t="shared" si="7"/>
        <v>4424254.4000407653</v>
      </c>
    </row>
    <row r="121" spans="1:9" x14ac:dyDescent="0.25">
      <c r="A121" t="b">
        <f>IF(('Input Data'!$C$23)="FRM", FALSE, ISNUMBER(MATCH(C121,'Input Data'!$M$18:$M$30,0)))</f>
        <v>0</v>
      </c>
      <c r="B121" s="8">
        <f>IF($A121, _xlfn.XLOOKUP(C121,'Input Data'!$M$17:$M$29,'Input Data'!$N$17:$N$29),$B120)</f>
        <v>6.5000000000000002E-2</v>
      </c>
      <c r="C121" s="10">
        <f t="shared" si="8"/>
        <v>119</v>
      </c>
      <c r="D121" s="18">
        <f t="shared" si="9"/>
        <v>4424254.4000407653</v>
      </c>
      <c r="E121" s="18">
        <f>IF(OR(D121&lt;=0,C121&gt;'Input Data'!$B$23*12),0,IF(AND(C121='Input Data'!$B$23*12,'Input Data'!$E$23&gt;'Input Data'!$B$23),D121+D121*B121/12,IF('Input Data'!$C$23="FRM",-PMT($B$3/12,'Input Data'!$E$23*12,$D$3),IF($A121,-PMT(B121/12,('Input Data'!$E$23*12)-C121+1,D121),E120))))</f>
        <v>84202.009396370384</v>
      </c>
      <c r="F121" s="18">
        <f t="shared" si="6"/>
        <v>4340052.3906443948</v>
      </c>
      <c r="G121" s="18">
        <f>IF(C121&gt;'Input Data'!$B$23*12,0,D121*B121/12)</f>
        <v>23964.711333554147</v>
      </c>
      <c r="H121" s="18">
        <f t="shared" si="5"/>
        <v>60237.298062816233</v>
      </c>
      <c r="I121" s="18">
        <f t="shared" si="7"/>
        <v>4364017.101977949</v>
      </c>
    </row>
    <row r="122" spans="1:9" x14ac:dyDescent="0.25">
      <c r="A122" t="b">
        <f>IF(('Input Data'!$C$23)="FRM", FALSE, ISNUMBER(MATCH(C122,'Input Data'!$M$18:$M$30,0)))</f>
        <v>0</v>
      </c>
      <c r="B122" s="8">
        <f>IF($A122, _xlfn.XLOOKUP(C122,'Input Data'!$M$17:$M$29,'Input Data'!$N$17:$N$29),$B121)</f>
        <v>6.5000000000000002E-2</v>
      </c>
      <c r="C122" s="10">
        <f t="shared" si="8"/>
        <v>120</v>
      </c>
      <c r="D122" s="18">
        <f t="shared" si="9"/>
        <v>4364017.101977949</v>
      </c>
      <c r="E122" s="18">
        <f>IF(OR(D122&lt;=0,C122&gt;'Input Data'!$B$23*12),0,IF(AND(C122='Input Data'!$B$23*12,'Input Data'!$E$23&gt;'Input Data'!$B$23),D122+D122*B122/12,IF('Input Data'!$C$23="FRM",-PMT($B$3/12,'Input Data'!$E$23*12,$D$3),IF($A122,-PMT(B122/12,('Input Data'!$E$23*12)-C122+1,D122),E121))))</f>
        <v>4387655.5279469965</v>
      </c>
      <c r="F122" s="18">
        <f t="shared" si="6"/>
        <v>0</v>
      </c>
      <c r="G122" s="18">
        <f>IF(C122&gt;'Input Data'!$B$23*12,0,D122*B122/12)</f>
        <v>23638.425969047224</v>
      </c>
      <c r="H122" s="18">
        <f t="shared" si="5"/>
        <v>4364017.101977949</v>
      </c>
      <c r="I122" s="18">
        <f t="shared" si="7"/>
        <v>0</v>
      </c>
    </row>
    <row r="123" spans="1:9" x14ac:dyDescent="0.25">
      <c r="A123" t="b">
        <f>IF(('Input Data'!$C$23)="FRM", FALSE, ISNUMBER(MATCH(C123,'Input Data'!$M$18:$M$30,0)))</f>
        <v>0</v>
      </c>
      <c r="B123" s="8">
        <f>IF($A123, _xlfn.XLOOKUP(C123,'Input Data'!$M$17:$M$29,'Input Data'!$N$17:$N$29),$B122)</f>
        <v>6.5000000000000002E-2</v>
      </c>
      <c r="C123" s="10">
        <f t="shared" si="8"/>
        <v>121</v>
      </c>
      <c r="D123" s="18">
        <f t="shared" si="9"/>
        <v>0</v>
      </c>
      <c r="E123" s="18">
        <f>IF(OR(D123&lt;=0,C123&gt;'Input Data'!$B$23*12),0,IF(AND(C123='Input Data'!$B$23*12,'Input Data'!$E$23&gt;'Input Data'!$B$23),D123+D123*B123/12,IF('Input Data'!$C$23="FRM",-PMT($B$3/12,'Input Data'!$E$23*12,$D$3),IF($A123,-PMT(B123/12,('Input Data'!$E$23*12)-C123+1,D123),E122))))</f>
        <v>0</v>
      </c>
      <c r="F123" s="18">
        <f t="shared" si="6"/>
        <v>0</v>
      </c>
      <c r="G123" s="18">
        <f>IF(C123&gt;'Input Data'!$B$23*12,0,D123*B123/12)</f>
        <v>0</v>
      </c>
      <c r="H123" s="18">
        <f t="shared" si="5"/>
        <v>0</v>
      </c>
      <c r="I123" s="18">
        <f t="shared" si="7"/>
        <v>0</v>
      </c>
    </row>
    <row r="124" spans="1:9" x14ac:dyDescent="0.25">
      <c r="A124" t="b">
        <f>IF(('Input Data'!$C$23)="FRM", FALSE, ISNUMBER(MATCH(C124,'Input Data'!$M$18:$M$30,0)))</f>
        <v>0</v>
      </c>
      <c r="B124" s="8">
        <f>IF($A124, _xlfn.XLOOKUP(C124,'Input Data'!$M$17:$M$29,'Input Data'!$N$17:$N$29),$B123)</f>
        <v>6.5000000000000002E-2</v>
      </c>
      <c r="C124" s="10">
        <f t="shared" si="8"/>
        <v>122</v>
      </c>
      <c r="D124" s="18">
        <f t="shared" si="9"/>
        <v>0</v>
      </c>
      <c r="E124" s="18">
        <f>IF(OR(D124&lt;=0,C124&gt;'Input Data'!$B$23*12),0,IF(AND(C124='Input Data'!$B$23*12,'Input Data'!$E$23&gt;'Input Data'!$B$23),D124+D124*B124/12,IF('Input Data'!$C$23="FRM",-PMT($B$3/12,'Input Data'!$E$23*12,$D$3),IF($A124,-PMT(B124/12,('Input Data'!$E$23*12)-C124+1,D124),E123))))</f>
        <v>0</v>
      </c>
      <c r="F124" s="18">
        <f t="shared" si="6"/>
        <v>0</v>
      </c>
      <c r="G124" s="18">
        <f>IF(C124&gt;'Input Data'!$B$23*12,0,D124*B124/12)</f>
        <v>0</v>
      </c>
      <c r="H124" s="18">
        <f t="shared" si="5"/>
        <v>0</v>
      </c>
      <c r="I124" s="18">
        <f t="shared" si="7"/>
        <v>0</v>
      </c>
    </row>
    <row r="125" spans="1:9" x14ac:dyDescent="0.25">
      <c r="A125" t="b">
        <f>IF(('Input Data'!$C$23)="FRM", FALSE, ISNUMBER(MATCH(C125,'Input Data'!$M$18:$M$30,0)))</f>
        <v>0</v>
      </c>
      <c r="B125" s="8">
        <f>IF($A125, _xlfn.XLOOKUP(C125,'Input Data'!$M$17:$M$29,'Input Data'!$N$17:$N$29),$B124)</f>
        <v>6.5000000000000002E-2</v>
      </c>
      <c r="C125" s="10">
        <f t="shared" si="8"/>
        <v>123</v>
      </c>
      <c r="D125" s="18">
        <f t="shared" si="9"/>
        <v>0</v>
      </c>
      <c r="E125" s="18">
        <f>IF(OR(D125&lt;=0,C125&gt;'Input Data'!$B$23*12),0,IF(AND(C125='Input Data'!$B$23*12,'Input Data'!$E$23&gt;'Input Data'!$B$23),D125+D125*B125/12,IF('Input Data'!$C$23="FRM",-PMT($B$3/12,'Input Data'!$E$23*12,$D$3),IF($A125,-PMT(B125/12,('Input Data'!$E$23*12)-C125+1,D125),E124))))</f>
        <v>0</v>
      </c>
      <c r="F125" s="18">
        <f t="shared" si="6"/>
        <v>0</v>
      </c>
      <c r="G125" s="18">
        <f>IF(C125&gt;'Input Data'!$B$23*12,0,D125*B125/12)</f>
        <v>0</v>
      </c>
      <c r="H125" s="18">
        <f t="shared" si="5"/>
        <v>0</v>
      </c>
      <c r="I125" s="18">
        <f t="shared" si="7"/>
        <v>0</v>
      </c>
    </row>
    <row r="126" spans="1:9" x14ac:dyDescent="0.25">
      <c r="A126" t="b">
        <f>IF(('Input Data'!$C$23)="FRM", FALSE, ISNUMBER(MATCH(C126,'Input Data'!$M$18:$M$30,0)))</f>
        <v>0</v>
      </c>
      <c r="B126" s="8">
        <f>IF($A126, _xlfn.XLOOKUP(C126,'Input Data'!$M$17:$M$29,'Input Data'!$N$17:$N$29),$B125)</f>
        <v>6.5000000000000002E-2</v>
      </c>
      <c r="C126" s="10">
        <f t="shared" si="8"/>
        <v>124</v>
      </c>
      <c r="D126" s="18">
        <f t="shared" si="9"/>
        <v>0</v>
      </c>
      <c r="E126" s="18">
        <f>IF(OR(D126&lt;=0,C126&gt;'Input Data'!$B$23*12),0,IF(AND(C126='Input Data'!$B$23*12,'Input Data'!$E$23&gt;'Input Data'!$B$23),D126+D126*B126/12,IF('Input Data'!$C$23="FRM",-PMT($B$3/12,'Input Data'!$E$23*12,$D$3),IF($A126,-PMT(B126/12,('Input Data'!$E$23*12)-C126+1,D126),E125))))</f>
        <v>0</v>
      </c>
      <c r="F126" s="18">
        <f t="shared" si="6"/>
        <v>0</v>
      </c>
      <c r="G126" s="18">
        <f>IF(C126&gt;'Input Data'!$B$23*12,0,D126*B126/12)</f>
        <v>0</v>
      </c>
      <c r="H126" s="18">
        <f t="shared" si="5"/>
        <v>0</v>
      </c>
      <c r="I126" s="18">
        <f t="shared" si="7"/>
        <v>0</v>
      </c>
    </row>
    <row r="127" spans="1:9" x14ac:dyDescent="0.25">
      <c r="A127" t="b">
        <f>IF(('Input Data'!$C$23)="FRM", FALSE, ISNUMBER(MATCH(C127,'Input Data'!$M$18:$M$30,0)))</f>
        <v>0</v>
      </c>
      <c r="B127" s="8">
        <f>IF($A127, _xlfn.XLOOKUP(C127,'Input Data'!$M$17:$M$29,'Input Data'!$N$17:$N$29),$B126)</f>
        <v>6.5000000000000002E-2</v>
      </c>
      <c r="C127" s="10">
        <f t="shared" si="8"/>
        <v>125</v>
      </c>
      <c r="D127" s="18">
        <f t="shared" si="9"/>
        <v>0</v>
      </c>
      <c r="E127" s="18">
        <f>IF(OR(D127&lt;=0,C127&gt;'Input Data'!$B$23*12),0,IF(AND(C127='Input Data'!$B$23*12,'Input Data'!$E$23&gt;'Input Data'!$B$23),D127+D127*B127/12,IF('Input Data'!$C$23="FRM",-PMT($B$3/12,'Input Data'!$E$23*12,$D$3),IF($A127,-PMT(B127/12,('Input Data'!$E$23*12)-C127+1,D127),E126))))</f>
        <v>0</v>
      </c>
      <c r="F127" s="18">
        <f t="shared" si="6"/>
        <v>0</v>
      </c>
      <c r="G127" s="18">
        <f>IF(C127&gt;'Input Data'!$B$23*12,0,D127*B127/12)</f>
        <v>0</v>
      </c>
      <c r="H127" s="18">
        <f t="shared" si="5"/>
        <v>0</v>
      </c>
      <c r="I127" s="18">
        <f t="shared" si="7"/>
        <v>0</v>
      </c>
    </row>
    <row r="128" spans="1:9" x14ac:dyDescent="0.25">
      <c r="A128" t="b">
        <f>IF(('Input Data'!$C$23)="FRM", FALSE, ISNUMBER(MATCH(C128,'Input Data'!$M$18:$M$30,0)))</f>
        <v>0</v>
      </c>
      <c r="B128" s="8">
        <f>IF($A128, _xlfn.XLOOKUP(C128,'Input Data'!$M$17:$M$29,'Input Data'!$N$17:$N$29),$B127)</f>
        <v>6.5000000000000002E-2</v>
      </c>
      <c r="C128" s="10">
        <f t="shared" si="8"/>
        <v>126</v>
      </c>
      <c r="D128" s="18">
        <f t="shared" si="9"/>
        <v>0</v>
      </c>
      <c r="E128" s="18">
        <f>IF(OR(D128&lt;=0,C128&gt;'Input Data'!$B$23*12),0,IF(AND(C128='Input Data'!$B$23*12,'Input Data'!$E$23&gt;'Input Data'!$B$23),D128+D128*B128/12,IF('Input Data'!$C$23="FRM",-PMT($B$3/12,'Input Data'!$E$23*12,$D$3),IF($A128,-PMT(B128/12,('Input Data'!$E$23*12)-C128+1,D128),E127))))</f>
        <v>0</v>
      </c>
      <c r="F128" s="18">
        <f t="shared" si="6"/>
        <v>0</v>
      </c>
      <c r="G128" s="18">
        <f>IF(C128&gt;'Input Data'!$B$23*12,0,D128*B128/12)</f>
        <v>0</v>
      </c>
      <c r="H128" s="18">
        <f t="shared" si="5"/>
        <v>0</v>
      </c>
      <c r="I128" s="18">
        <f t="shared" si="7"/>
        <v>0</v>
      </c>
    </row>
    <row r="129" spans="1:9" x14ac:dyDescent="0.25">
      <c r="A129" t="b">
        <f>IF(('Input Data'!$C$23)="FRM", FALSE, ISNUMBER(MATCH(C129,'Input Data'!$M$18:$M$30,0)))</f>
        <v>0</v>
      </c>
      <c r="B129" s="8">
        <f>IF($A129, _xlfn.XLOOKUP(C129,'Input Data'!$M$17:$M$29,'Input Data'!$N$17:$N$29),$B128)</f>
        <v>6.5000000000000002E-2</v>
      </c>
      <c r="C129" s="10">
        <f t="shared" si="8"/>
        <v>127</v>
      </c>
      <c r="D129" s="18">
        <f t="shared" si="9"/>
        <v>0</v>
      </c>
      <c r="E129" s="18">
        <f>IF(OR(D129&lt;=0,C129&gt;'Input Data'!$B$23*12),0,IF(AND(C129='Input Data'!$B$23*12,'Input Data'!$E$23&gt;'Input Data'!$B$23),D129+D129*B129/12,IF('Input Data'!$C$23="FRM",-PMT($B$3/12,'Input Data'!$E$23*12,$D$3),IF($A129,-PMT(B129/12,('Input Data'!$E$23*12)-C129+1,D129),E128))))</f>
        <v>0</v>
      </c>
      <c r="F129" s="18">
        <f t="shared" si="6"/>
        <v>0</v>
      </c>
      <c r="G129" s="18">
        <f>IF(C129&gt;'Input Data'!$B$23*12,0,D129*B129/12)</f>
        <v>0</v>
      </c>
      <c r="H129" s="18">
        <f t="shared" si="5"/>
        <v>0</v>
      </c>
      <c r="I129" s="18">
        <f t="shared" si="7"/>
        <v>0</v>
      </c>
    </row>
    <row r="130" spans="1:9" x14ac:dyDescent="0.25">
      <c r="A130" t="b">
        <f>IF(('Input Data'!$C$23)="FRM", FALSE, ISNUMBER(MATCH(C130,'Input Data'!$M$18:$M$30,0)))</f>
        <v>0</v>
      </c>
      <c r="B130" s="8">
        <f>IF($A130, _xlfn.XLOOKUP(C130,'Input Data'!$M$17:$M$29,'Input Data'!$N$17:$N$29),$B129)</f>
        <v>6.5000000000000002E-2</v>
      </c>
      <c r="C130" s="10">
        <f t="shared" si="8"/>
        <v>128</v>
      </c>
      <c r="D130" s="18">
        <f t="shared" si="9"/>
        <v>0</v>
      </c>
      <c r="E130" s="18">
        <f>IF(OR(D130&lt;=0,C130&gt;'Input Data'!$B$23*12),0,IF(AND(C130='Input Data'!$B$23*12,'Input Data'!$E$23&gt;'Input Data'!$B$23),D130+D130*B130/12,IF('Input Data'!$C$23="FRM",-PMT($B$3/12,'Input Data'!$E$23*12,$D$3),IF($A130,-PMT(B130/12,('Input Data'!$E$23*12)-C130+1,D130),E129))))</f>
        <v>0</v>
      </c>
      <c r="F130" s="18">
        <f t="shared" si="6"/>
        <v>0</v>
      </c>
      <c r="G130" s="18">
        <f>IF(C130&gt;'Input Data'!$B$23*12,0,D130*B130/12)</f>
        <v>0</v>
      </c>
      <c r="H130" s="18">
        <f t="shared" si="5"/>
        <v>0</v>
      </c>
      <c r="I130" s="18">
        <f t="shared" si="7"/>
        <v>0</v>
      </c>
    </row>
    <row r="131" spans="1:9" x14ac:dyDescent="0.25">
      <c r="A131" t="b">
        <f>IF(('Input Data'!$C$23)="FRM", FALSE, ISNUMBER(MATCH(C131,'Input Data'!$M$18:$M$30,0)))</f>
        <v>0</v>
      </c>
      <c r="B131" s="8">
        <f>IF($A131, _xlfn.XLOOKUP(C131,'Input Data'!$M$17:$M$29,'Input Data'!$N$17:$N$29),$B130)</f>
        <v>6.5000000000000002E-2</v>
      </c>
      <c r="C131" s="10">
        <f t="shared" si="8"/>
        <v>129</v>
      </c>
      <c r="D131" s="18">
        <f t="shared" si="9"/>
        <v>0</v>
      </c>
      <c r="E131" s="18">
        <f>IF(OR(D131&lt;=0,C131&gt;'Input Data'!$B$23*12),0,IF(AND(C131='Input Data'!$B$23*12,'Input Data'!$E$23&gt;'Input Data'!$B$23),D131+D131*B131/12,IF('Input Data'!$C$23="FRM",-PMT($B$3/12,'Input Data'!$E$23*12,$D$3),IF($A131,-PMT(B131/12,('Input Data'!$E$23*12)-C131+1,D131),E130))))</f>
        <v>0</v>
      </c>
      <c r="F131" s="18">
        <f t="shared" si="6"/>
        <v>0</v>
      </c>
      <c r="G131" s="18">
        <f>IF(C131&gt;'Input Data'!$B$23*12,0,D131*B131/12)</f>
        <v>0</v>
      </c>
      <c r="H131" s="18">
        <f t="shared" ref="H131:H194" si="10">MIN(E131-G131,D131)</f>
        <v>0</v>
      </c>
      <c r="I131" s="18">
        <f t="shared" si="7"/>
        <v>0</v>
      </c>
    </row>
    <row r="132" spans="1:9" x14ac:dyDescent="0.25">
      <c r="A132" t="b">
        <f>IF(('Input Data'!$C$23)="FRM", FALSE, ISNUMBER(MATCH(C132,'Input Data'!$M$18:$M$30,0)))</f>
        <v>0</v>
      </c>
      <c r="B132" s="8">
        <f>IF($A132, _xlfn.XLOOKUP(C132,'Input Data'!$M$17:$M$29,'Input Data'!$N$17:$N$29),$B131)</f>
        <v>6.5000000000000002E-2</v>
      </c>
      <c r="C132" s="10">
        <f t="shared" si="8"/>
        <v>130</v>
      </c>
      <c r="D132" s="18">
        <f t="shared" si="9"/>
        <v>0</v>
      </c>
      <c r="E132" s="18">
        <f>IF(OR(D132&lt;=0,C132&gt;'Input Data'!$B$23*12),0,IF(AND(C132='Input Data'!$B$23*12,'Input Data'!$E$23&gt;'Input Data'!$B$23),D132+D132*B132/12,IF('Input Data'!$C$23="FRM",-PMT($B$3/12,'Input Data'!$E$23*12,$D$3),IF($A132,-PMT(B132/12,('Input Data'!$E$23*12)-C132+1,D132),E131))))</f>
        <v>0</v>
      </c>
      <c r="F132" s="18">
        <f t="shared" ref="F132:F195" si="11">IF(D132-E132&lt;0,0,D132-E132)</f>
        <v>0</v>
      </c>
      <c r="G132" s="18">
        <f>IF(C132&gt;'Input Data'!$B$23*12,0,D132*B132/12)</f>
        <v>0</v>
      </c>
      <c r="H132" s="18">
        <f t="shared" si="10"/>
        <v>0</v>
      </c>
      <c r="I132" s="18">
        <f t="shared" ref="I132:I195" si="12">IF(ROUND(D132-H132,2)=0,0,D132-H132)</f>
        <v>0</v>
      </c>
    </row>
    <row r="133" spans="1:9" x14ac:dyDescent="0.25">
      <c r="A133" t="b">
        <f>IF(('Input Data'!$C$23)="FRM", FALSE, ISNUMBER(MATCH(C133,'Input Data'!$M$18:$M$30,0)))</f>
        <v>0</v>
      </c>
      <c r="B133" s="8">
        <f>IF($A133, _xlfn.XLOOKUP(C133,'Input Data'!$M$17:$M$29,'Input Data'!$N$17:$N$29),$B132)</f>
        <v>6.5000000000000002E-2</v>
      </c>
      <c r="C133" s="10">
        <f t="shared" ref="C133:C196" si="13">C132+1</f>
        <v>131</v>
      </c>
      <c r="D133" s="18">
        <f t="shared" ref="D133:D196" si="14">IF(I132&gt;0,I132-J132,0)</f>
        <v>0</v>
      </c>
      <c r="E133" s="18">
        <f>IF(OR(D133&lt;=0,C133&gt;'Input Data'!$B$23*12),0,IF(AND(C133='Input Data'!$B$23*12,'Input Data'!$E$23&gt;'Input Data'!$B$23),D133+D133*B133/12,IF('Input Data'!$C$23="FRM",-PMT($B$3/12,'Input Data'!$E$23*12,$D$3),IF($A133,-PMT(B133/12,('Input Data'!$E$23*12)-C133+1,D133),E132))))</f>
        <v>0</v>
      </c>
      <c r="F133" s="18">
        <f t="shared" si="11"/>
        <v>0</v>
      </c>
      <c r="G133" s="18">
        <f>IF(C133&gt;'Input Data'!$B$23*12,0,D133*B133/12)</f>
        <v>0</v>
      </c>
      <c r="H133" s="18">
        <f t="shared" si="10"/>
        <v>0</v>
      </c>
      <c r="I133" s="18">
        <f t="shared" si="12"/>
        <v>0</v>
      </c>
    </row>
    <row r="134" spans="1:9" x14ac:dyDescent="0.25">
      <c r="A134" t="b">
        <f>IF(('Input Data'!$C$23)="FRM", FALSE, ISNUMBER(MATCH(C134,'Input Data'!$M$18:$M$30,0)))</f>
        <v>0</v>
      </c>
      <c r="B134" s="8">
        <f>IF($A134, _xlfn.XLOOKUP(C134,'Input Data'!$M$17:$M$29,'Input Data'!$N$17:$N$29),$B133)</f>
        <v>6.5000000000000002E-2</v>
      </c>
      <c r="C134" s="10">
        <f t="shared" si="13"/>
        <v>132</v>
      </c>
      <c r="D134" s="18">
        <f t="shared" si="14"/>
        <v>0</v>
      </c>
      <c r="E134" s="18">
        <f>IF(OR(D134&lt;=0,C134&gt;'Input Data'!$B$23*12),0,IF(AND(C134='Input Data'!$B$23*12,'Input Data'!$E$23&gt;'Input Data'!$B$23),D134+D134*B134/12,IF('Input Data'!$C$23="FRM",-PMT($B$3/12,'Input Data'!$E$23*12,$D$3),IF($A134,-PMT(B134/12,('Input Data'!$E$23*12)-C134+1,D134),E133))))</f>
        <v>0</v>
      </c>
      <c r="F134" s="18">
        <f t="shared" si="11"/>
        <v>0</v>
      </c>
      <c r="G134" s="18">
        <f>IF(C134&gt;'Input Data'!$B$23*12,0,D134*B134/12)</f>
        <v>0</v>
      </c>
      <c r="H134" s="18">
        <f t="shared" si="10"/>
        <v>0</v>
      </c>
      <c r="I134" s="18">
        <f t="shared" si="12"/>
        <v>0</v>
      </c>
    </row>
    <row r="135" spans="1:9" x14ac:dyDescent="0.25">
      <c r="A135" t="b">
        <f>IF(('Input Data'!$C$23)="FRM", FALSE, ISNUMBER(MATCH(C135,'Input Data'!$M$18:$M$30,0)))</f>
        <v>0</v>
      </c>
      <c r="B135" s="8">
        <f>IF($A135, _xlfn.XLOOKUP(C135,'Input Data'!$M$17:$M$29,'Input Data'!$N$17:$N$29),$B134)</f>
        <v>6.5000000000000002E-2</v>
      </c>
      <c r="C135" s="10">
        <f t="shared" si="13"/>
        <v>133</v>
      </c>
      <c r="D135" s="18">
        <f t="shared" si="14"/>
        <v>0</v>
      </c>
      <c r="E135" s="18">
        <f>IF(OR(D135&lt;=0,C135&gt;'Input Data'!$B$23*12),0,IF(AND(C135='Input Data'!$B$23*12,'Input Data'!$E$23&gt;'Input Data'!$B$23),D135+D135*B135/12,IF('Input Data'!$C$23="FRM",-PMT($B$3/12,'Input Data'!$E$23*12,$D$3),IF($A135,-PMT(B135/12,('Input Data'!$E$23*12)-C135+1,D135),E134))))</f>
        <v>0</v>
      </c>
      <c r="F135" s="18">
        <f t="shared" si="11"/>
        <v>0</v>
      </c>
      <c r="G135" s="18">
        <f>IF(C135&gt;'Input Data'!$B$23*12,0,D135*B135/12)</f>
        <v>0</v>
      </c>
      <c r="H135" s="18">
        <f t="shared" si="10"/>
        <v>0</v>
      </c>
      <c r="I135" s="18">
        <f t="shared" si="12"/>
        <v>0</v>
      </c>
    </row>
    <row r="136" spans="1:9" x14ac:dyDescent="0.25">
      <c r="A136" t="b">
        <f>IF(('Input Data'!$C$23)="FRM", FALSE, ISNUMBER(MATCH(C136,'Input Data'!$M$18:$M$30,0)))</f>
        <v>0</v>
      </c>
      <c r="B136" s="8">
        <f>IF($A136, _xlfn.XLOOKUP(C136,'Input Data'!$M$17:$M$29,'Input Data'!$N$17:$N$29),$B135)</f>
        <v>6.5000000000000002E-2</v>
      </c>
      <c r="C136" s="10">
        <f t="shared" si="13"/>
        <v>134</v>
      </c>
      <c r="D136" s="18">
        <f t="shared" si="14"/>
        <v>0</v>
      </c>
      <c r="E136" s="18">
        <f>IF(OR(D136&lt;=0,C136&gt;'Input Data'!$B$23*12),0,IF(AND(C136='Input Data'!$B$23*12,'Input Data'!$E$23&gt;'Input Data'!$B$23),D136+D136*B136/12,IF('Input Data'!$C$23="FRM",-PMT($B$3/12,'Input Data'!$E$23*12,$D$3),IF($A136,-PMT(B136/12,('Input Data'!$E$23*12)-C136+1,D136),E135))))</f>
        <v>0</v>
      </c>
      <c r="F136" s="18">
        <f t="shared" si="11"/>
        <v>0</v>
      </c>
      <c r="G136" s="18">
        <f>IF(C136&gt;'Input Data'!$B$23*12,0,D136*B136/12)</f>
        <v>0</v>
      </c>
      <c r="H136" s="18">
        <f t="shared" si="10"/>
        <v>0</v>
      </c>
      <c r="I136" s="18">
        <f t="shared" si="12"/>
        <v>0</v>
      </c>
    </row>
    <row r="137" spans="1:9" x14ac:dyDescent="0.25">
      <c r="A137" t="b">
        <f>IF(('Input Data'!$C$23)="FRM", FALSE, ISNUMBER(MATCH(C137,'Input Data'!$M$18:$M$30,0)))</f>
        <v>0</v>
      </c>
      <c r="B137" s="8">
        <f>IF($A137, _xlfn.XLOOKUP(C137,'Input Data'!$M$17:$M$29,'Input Data'!$N$17:$N$29),$B136)</f>
        <v>6.5000000000000002E-2</v>
      </c>
      <c r="C137" s="10">
        <f t="shared" si="13"/>
        <v>135</v>
      </c>
      <c r="D137" s="18">
        <f t="shared" si="14"/>
        <v>0</v>
      </c>
      <c r="E137" s="18">
        <f>IF(OR(D137&lt;=0,C137&gt;'Input Data'!$B$23*12),0,IF(AND(C137='Input Data'!$B$23*12,'Input Data'!$E$23&gt;'Input Data'!$B$23),D137+D137*B137/12,IF('Input Data'!$C$23="FRM",-PMT($B$3/12,'Input Data'!$E$23*12,$D$3),IF($A137,-PMT(B137/12,('Input Data'!$E$23*12)-C137+1,D137),E136))))</f>
        <v>0</v>
      </c>
      <c r="F137" s="18">
        <f t="shared" si="11"/>
        <v>0</v>
      </c>
      <c r="G137" s="18">
        <f>IF(C137&gt;'Input Data'!$B$23*12,0,D137*B137/12)</f>
        <v>0</v>
      </c>
      <c r="H137" s="18">
        <f t="shared" si="10"/>
        <v>0</v>
      </c>
      <c r="I137" s="18">
        <f t="shared" si="12"/>
        <v>0</v>
      </c>
    </row>
    <row r="138" spans="1:9" x14ac:dyDescent="0.25">
      <c r="A138" t="b">
        <f>IF(('Input Data'!$C$23)="FRM", FALSE, ISNUMBER(MATCH(C138,'Input Data'!$M$18:$M$30,0)))</f>
        <v>0</v>
      </c>
      <c r="B138" s="8">
        <f>IF($A138, _xlfn.XLOOKUP(C138,'Input Data'!$M$17:$M$29,'Input Data'!$N$17:$N$29),$B137)</f>
        <v>6.5000000000000002E-2</v>
      </c>
      <c r="C138" s="10">
        <f t="shared" si="13"/>
        <v>136</v>
      </c>
      <c r="D138" s="18">
        <f t="shared" si="14"/>
        <v>0</v>
      </c>
      <c r="E138" s="18">
        <f>IF(OR(D138&lt;=0,C138&gt;'Input Data'!$B$23*12),0,IF(AND(C138='Input Data'!$B$23*12,'Input Data'!$E$23&gt;'Input Data'!$B$23),D138+D138*B138/12,IF('Input Data'!$C$23="FRM",-PMT($B$3/12,'Input Data'!$E$23*12,$D$3),IF($A138,-PMT(B138/12,('Input Data'!$E$23*12)-C138+1,D138),E137))))</f>
        <v>0</v>
      </c>
      <c r="F138" s="18">
        <f t="shared" si="11"/>
        <v>0</v>
      </c>
      <c r="G138" s="18">
        <f>IF(C138&gt;'Input Data'!$B$23*12,0,D138*B138/12)</f>
        <v>0</v>
      </c>
      <c r="H138" s="18">
        <f t="shared" si="10"/>
        <v>0</v>
      </c>
      <c r="I138" s="18">
        <f t="shared" si="12"/>
        <v>0</v>
      </c>
    </row>
    <row r="139" spans="1:9" x14ac:dyDescent="0.25">
      <c r="A139" t="b">
        <f>IF(('Input Data'!$C$23)="FRM", FALSE, ISNUMBER(MATCH(C139,'Input Data'!$M$18:$M$30,0)))</f>
        <v>0</v>
      </c>
      <c r="B139" s="8">
        <f>IF($A139, _xlfn.XLOOKUP(C139,'Input Data'!$M$17:$M$29,'Input Data'!$N$17:$N$29),$B138)</f>
        <v>6.5000000000000002E-2</v>
      </c>
      <c r="C139" s="10">
        <f t="shared" si="13"/>
        <v>137</v>
      </c>
      <c r="D139" s="18">
        <f t="shared" si="14"/>
        <v>0</v>
      </c>
      <c r="E139" s="18">
        <f>IF(OR(D139&lt;=0,C139&gt;'Input Data'!$B$23*12),0,IF(AND(C139='Input Data'!$B$23*12,'Input Data'!$E$23&gt;'Input Data'!$B$23),D139+D139*B139/12,IF('Input Data'!$C$23="FRM",-PMT($B$3/12,'Input Data'!$E$23*12,$D$3),IF($A139,-PMT(B139/12,('Input Data'!$E$23*12)-C139+1,D139),E138))))</f>
        <v>0</v>
      </c>
      <c r="F139" s="18">
        <f t="shared" si="11"/>
        <v>0</v>
      </c>
      <c r="G139" s="18">
        <f>IF(C139&gt;'Input Data'!$B$23*12,0,D139*B139/12)</f>
        <v>0</v>
      </c>
      <c r="H139" s="18">
        <f t="shared" si="10"/>
        <v>0</v>
      </c>
      <c r="I139" s="18">
        <f t="shared" si="12"/>
        <v>0</v>
      </c>
    </row>
    <row r="140" spans="1:9" x14ac:dyDescent="0.25">
      <c r="A140" t="b">
        <f>IF(('Input Data'!$C$23)="FRM", FALSE, ISNUMBER(MATCH(C140,'Input Data'!$M$18:$M$30,0)))</f>
        <v>0</v>
      </c>
      <c r="B140" s="8">
        <f>IF($A140, _xlfn.XLOOKUP(C140,'Input Data'!$M$17:$M$29,'Input Data'!$N$17:$N$29),$B139)</f>
        <v>6.5000000000000002E-2</v>
      </c>
      <c r="C140" s="10">
        <f t="shared" si="13"/>
        <v>138</v>
      </c>
      <c r="D140" s="18">
        <f t="shared" si="14"/>
        <v>0</v>
      </c>
      <c r="E140" s="18">
        <f>IF(OR(D140&lt;=0,C140&gt;'Input Data'!$B$23*12),0,IF(AND(C140='Input Data'!$B$23*12,'Input Data'!$E$23&gt;'Input Data'!$B$23),D140+D140*B140/12,IF('Input Data'!$C$23="FRM",-PMT($B$3/12,'Input Data'!$E$23*12,$D$3),IF($A140,-PMT(B140/12,('Input Data'!$E$23*12)-C140+1,D140),E139))))</f>
        <v>0</v>
      </c>
      <c r="F140" s="18">
        <f t="shared" si="11"/>
        <v>0</v>
      </c>
      <c r="G140" s="18">
        <f>IF(C140&gt;'Input Data'!$B$23*12,0,D140*B140/12)</f>
        <v>0</v>
      </c>
      <c r="H140" s="18">
        <f t="shared" si="10"/>
        <v>0</v>
      </c>
      <c r="I140" s="18">
        <f t="shared" si="12"/>
        <v>0</v>
      </c>
    </row>
    <row r="141" spans="1:9" x14ac:dyDescent="0.25">
      <c r="A141" t="b">
        <f>IF(('Input Data'!$C$23)="FRM", FALSE, ISNUMBER(MATCH(C141,'Input Data'!$M$18:$M$30,0)))</f>
        <v>0</v>
      </c>
      <c r="B141" s="8">
        <f>IF($A141, _xlfn.XLOOKUP(C141,'Input Data'!$M$17:$M$29,'Input Data'!$N$17:$N$29),$B140)</f>
        <v>6.5000000000000002E-2</v>
      </c>
      <c r="C141" s="10">
        <f t="shared" si="13"/>
        <v>139</v>
      </c>
      <c r="D141" s="18">
        <f t="shared" si="14"/>
        <v>0</v>
      </c>
      <c r="E141" s="18">
        <f>IF(OR(D141&lt;=0,C141&gt;'Input Data'!$B$23*12),0,IF(AND(C141='Input Data'!$B$23*12,'Input Data'!$E$23&gt;'Input Data'!$B$23),D141+D141*B141/12,IF('Input Data'!$C$23="FRM",-PMT($B$3/12,'Input Data'!$E$23*12,$D$3),IF($A141,-PMT(B141/12,('Input Data'!$E$23*12)-C141+1,D141),E140))))</f>
        <v>0</v>
      </c>
      <c r="F141" s="18">
        <f t="shared" si="11"/>
        <v>0</v>
      </c>
      <c r="G141" s="18">
        <f>IF(C141&gt;'Input Data'!$B$23*12,0,D141*B141/12)</f>
        <v>0</v>
      </c>
      <c r="H141" s="18">
        <f t="shared" si="10"/>
        <v>0</v>
      </c>
      <c r="I141" s="18">
        <f t="shared" si="12"/>
        <v>0</v>
      </c>
    </row>
    <row r="142" spans="1:9" x14ac:dyDescent="0.25">
      <c r="A142" t="b">
        <f>IF(('Input Data'!$C$23)="FRM", FALSE, ISNUMBER(MATCH(C142,'Input Data'!$M$18:$M$30,0)))</f>
        <v>0</v>
      </c>
      <c r="B142" s="8">
        <f>IF($A142, _xlfn.XLOOKUP(C142,'Input Data'!$M$17:$M$29,'Input Data'!$N$17:$N$29),$B141)</f>
        <v>6.5000000000000002E-2</v>
      </c>
      <c r="C142" s="10">
        <f t="shared" si="13"/>
        <v>140</v>
      </c>
      <c r="D142" s="18">
        <f t="shared" si="14"/>
        <v>0</v>
      </c>
      <c r="E142" s="18">
        <f>IF(OR(D142&lt;=0,C142&gt;'Input Data'!$B$23*12),0,IF(AND(C142='Input Data'!$B$23*12,'Input Data'!$E$23&gt;'Input Data'!$B$23),D142+D142*B142/12,IF('Input Data'!$C$23="FRM",-PMT($B$3/12,'Input Data'!$E$23*12,$D$3),IF($A142,-PMT(B142/12,('Input Data'!$E$23*12)-C142+1,D142),E141))))</f>
        <v>0</v>
      </c>
      <c r="F142" s="18">
        <f t="shared" si="11"/>
        <v>0</v>
      </c>
      <c r="G142" s="18">
        <f>IF(C142&gt;'Input Data'!$B$23*12,0,D142*B142/12)</f>
        <v>0</v>
      </c>
      <c r="H142" s="18">
        <f t="shared" si="10"/>
        <v>0</v>
      </c>
      <c r="I142" s="18">
        <f t="shared" si="12"/>
        <v>0</v>
      </c>
    </row>
    <row r="143" spans="1:9" x14ac:dyDescent="0.25">
      <c r="A143" t="b">
        <f>IF(('Input Data'!$C$23)="FRM", FALSE, ISNUMBER(MATCH(C143,'Input Data'!$M$18:$M$30,0)))</f>
        <v>0</v>
      </c>
      <c r="B143" s="8">
        <f>IF($A143, _xlfn.XLOOKUP(C143,'Input Data'!$M$17:$M$29,'Input Data'!$N$17:$N$29),$B142)</f>
        <v>6.5000000000000002E-2</v>
      </c>
      <c r="C143" s="10">
        <f t="shared" si="13"/>
        <v>141</v>
      </c>
      <c r="D143" s="18">
        <f t="shared" si="14"/>
        <v>0</v>
      </c>
      <c r="E143" s="18">
        <f>IF(OR(D143&lt;=0,C143&gt;'Input Data'!$B$23*12),0,IF(AND(C143='Input Data'!$B$23*12,'Input Data'!$E$23&gt;'Input Data'!$B$23),D143+D143*B143/12,IF('Input Data'!$C$23="FRM",-PMT($B$3/12,'Input Data'!$E$23*12,$D$3),IF($A143,-PMT(B143/12,('Input Data'!$E$23*12)-C143+1,D143),E142))))</f>
        <v>0</v>
      </c>
      <c r="F143" s="18">
        <f t="shared" si="11"/>
        <v>0</v>
      </c>
      <c r="G143" s="18">
        <f>IF(C143&gt;'Input Data'!$B$23*12,0,D143*B143/12)</f>
        <v>0</v>
      </c>
      <c r="H143" s="18">
        <f t="shared" si="10"/>
        <v>0</v>
      </c>
      <c r="I143" s="18">
        <f t="shared" si="12"/>
        <v>0</v>
      </c>
    </row>
    <row r="144" spans="1:9" x14ac:dyDescent="0.25">
      <c r="A144" t="b">
        <f>IF(('Input Data'!$C$23)="FRM", FALSE, ISNUMBER(MATCH(C144,'Input Data'!$M$18:$M$30,0)))</f>
        <v>0</v>
      </c>
      <c r="B144" s="8">
        <f>IF($A144, _xlfn.XLOOKUP(C144,'Input Data'!$M$17:$M$29,'Input Data'!$N$17:$N$29),$B143)</f>
        <v>6.5000000000000002E-2</v>
      </c>
      <c r="C144" s="10">
        <f t="shared" si="13"/>
        <v>142</v>
      </c>
      <c r="D144" s="18">
        <f t="shared" si="14"/>
        <v>0</v>
      </c>
      <c r="E144" s="18">
        <f>IF(OR(D144&lt;=0,C144&gt;'Input Data'!$B$23*12),0,IF(AND(C144='Input Data'!$B$23*12,'Input Data'!$E$23&gt;'Input Data'!$B$23),D144+D144*B144/12,IF('Input Data'!$C$23="FRM",-PMT($B$3/12,'Input Data'!$E$23*12,$D$3),IF($A144,-PMT(B144/12,('Input Data'!$E$23*12)-C144+1,D144),E143))))</f>
        <v>0</v>
      </c>
      <c r="F144" s="18">
        <f t="shared" si="11"/>
        <v>0</v>
      </c>
      <c r="G144" s="18">
        <f>IF(C144&gt;'Input Data'!$B$23*12,0,D144*B144/12)</f>
        <v>0</v>
      </c>
      <c r="H144" s="18">
        <f t="shared" si="10"/>
        <v>0</v>
      </c>
      <c r="I144" s="18">
        <f t="shared" si="12"/>
        <v>0</v>
      </c>
    </row>
    <row r="145" spans="1:9" x14ac:dyDescent="0.25">
      <c r="A145" t="b">
        <f>IF(('Input Data'!$C$23)="FRM", FALSE, ISNUMBER(MATCH(C145,'Input Data'!$M$18:$M$30,0)))</f>
        <v>0</v>
      </c>
      <c r="B145" s="8">
        <f>IF($A145, _xlfn.XLOOKUP(C145,'Input Data'!$M$17:$M$29,'Input Data'!$N$17:$N$29),$B144)</f>
        <v>6.5000000000000002E-2</v>
      </c>
      <c r="C145" s="10">
        <f t="shared" si="13"/>
        <v>143</v>
      </c>
      <c r="D145" s="18">
        <f t="shared" si="14"/>
        <v>0</v>
      </c>
      <c r="E145" s="18">
        <f>IF(OR(D145&lt;=0,C145&gt;'Input Data'!$B$23*12),0,IF(AND(C145='Input Data'!$B$23*12,'Input Data'!$E$23&gt;'Input Data'!$B$23),D145+D145*B145/12,IF('Input Data'!$C$23="FRM",-PMT($B$3/12,'Input Data'!$E$23*12,$D$3),IF($A145,-PMT(B145/12,('Input Data'!$E$23*12)-C145+1,D145),E144))))</f>
        <v>0</v>
      </c>
      <c r="F145" s="18">
        <f t="shared" si="11"/>
        <v>0</v>
      </c>
      <c r="G145" s="18">
        <f>IF(C145&gt;'Input Data'!$B$23*12,0,D145*B145/12)</f>
        <v>0</v>
      </c>
      <c r="H145" s="18">
        <f t="shared" si="10"/>
        <v>0</v>
      </c>
      <c r="I145" s="18">
        <f t="shared" si="12"/>
        <v>0</v>
      </c>
    </row>
    <row r="146" spans="1:9" x14ac:dyDescent="0.25">
      <c r="A146" t="b">
        <f>IF(('Input Data'!$C$23)="FRM", FALSE, ISNUMBER(MATCH(C146,'Input Data'!$M$18:$M$30,0)))</f>
        <v>0</v>
      </c>
      <c r="B146" s="8">
        <f>IF($A146, _xlfn.XLOOKUP(C146,'Input Data'!$M$17:$M$29,'Input Data'!$N$17:$N$29),$B145)</f>
        <v>6.5000000000000002E-2</v>
      </c>
      <c r="C146" s="10">
        <f t="shared" si="13"/>
        <v>144</v>
      </c>
      <c r="D146" s="18">
        <f t="shared" si="14"/>
        <v>0</v>
      </c>
      <c r="E146" s="18">
        <f>IF(OR(D146&lt;=0,C146&gt;'Input Data'!$B$23*12),0,IF(AND(C146='Input Data'!$B$23*12,'Input Data'!$E$23&gt;'Input Data'!$B$23),D146+D146*B146/12,IF('Input Data'!$C$23="FRM",-PMT($B$3/12,'Input Data'!$E$23*12,$D$3),IF($A146,-PMT(B146/12,('Input Data'!$E$23*12)-C146+1,D146),E145))))</f>
        <v>0</v>
      </c>
      <c r="F146" s="18">
        <f t="shared" si="11"/>
        <v>0</v>
      </c>
      <c r="G146" s="18">
        <f>IF(C146&gt;'Input Data'!$B$23*12,0,D146*B146/12)</f>
        <v>0</v>
      </c>
      <c r="H146" s="18">
        <f t="shared" si="10"/>
        <v>0</v>
      </c>
      <c r="I146" s="18">
        <f t="shared" si="12"/>
        <v>0</v>
      </c>
    </row>
    <row r="147" spans="1:9" x14ac:dyDescent="0.25">
      <c r="A147" t="b">
        <f>IF(('Input Data'!$C$23)="FRM", FALSE, ISNUMBER(MATCH(C147,'Input Data'!$M$18:$M$30,0)))</f>
        <v>0</v>
      </c>
      <c r="B147" s="8">
        <f>IF($A147, _xlfn.XLOOKUP(C147,'Input Data'!$M$17:$M$29,'Input Data'!$N$17:$N$29),$B146)</f>
        <v>6.5000000000000002E-2</v>
      </c>
      <c r="C147" s="10">
        <f t="shared" si="13"/>
        <v>145</v>
      </c>
      <c r="D147" s="18">
        <f t="shared" si="14"/>
        <v>0</v>
      </c>
      <c r="E147" s="18">
        <f>IF(OR(D147&lt;=0,C147&gt;'Input Data'!$B$23*12),0,IF(AND(C147='Input Data'!$B$23*12,'Input Data'!$E$23&gt;'Input Data'!$B$23),D147+D147*B147/12,IF('Input Data'!$C$23="FRM",-PMT($B$3/12,'Input Data'!$E$23*12,$D$3),IF($A147,-PMT(B147/12,('Input Data'!$E$23*12)-C147+1,D147),E146))))</f>
        <v>0</v>
      </c>
      <c r="F147" s="18">
        <f t="shared" si="11"/>
        <v>0</v>
      </c>
      <c r="G147" s="18">
        <f>IF(C147&gt;'Input Data'!$B$23*12,0,D147*B147/12)</f>
        <v>0</v>
      </c>
      <c r="H147" s="18">
        <f t="shared" si="10"/>
        <v>0</v>
      </c>
      <c r="I147" s="18">
        <f t="shared" si="12"/>
        <v>0</v>
      </c>
    </row>
    <row r="148" spans="1:9" x14ac:dyDescent="0.25">
      <c r="A148" t="b">
        <f>IF(('Input Data'!$C$23)="FRM", FALSE, ISNUMBER(MATCH(C148,'Input Data'!$M$18:$M$30,0)))</f>
        <v>0</v>
      </c>
      <c r="B148" s="8">
        <f>IF($A148, _xlfn.XLOOKUP(C148,'Input Data'!$M$17:$M$29,'Input Data'!$N$17:$N$29),$B147)</f>
        <v>6.5000000000000002E-2</v>
      </c>
      <c r="C148" s="10">
        <f t="shared" si="13"/>
        <v>146</v>
      </c>
      <c r="D148" s="18">
        <f t="shared" si="14"/>
        <v>0</v>
      </c>
      <c r="E148" s="18">
        <f>IF(OR(D148&lt;=0,C148&gt;'Input Data'!$B$23*12),0,IF(AND(C148='Input Data'!$B$23*12,'Input Data'!$E$23&gt;'Input Data'!$B$23),D148+D148*B148/12,IF('Input Data'!$C$23="FRM",-PMT($B$3/12,'Input Data'!$E$23*12,$D$3),IF($A148,-PMT(B148/12,('Input Data'!$E$23*12)-C148+1,D148),E147))))</f>
        <v>0</v>
      </c>
      <c r="F148" s="18">
        <f t="shared" si="11"/>
        <v>0</v>
      </c>
      <c r="G148" s="18">
        <f>IF(C148&gt;'Input Data'!$B$23*12,0,D148*B148/12)</f>
        <v>0</v>
      </c>
      <c r="H148" s="18">
        <f t="shared" si="10"/>
        <v>0</v>
      </c>
      <c r="I148" s="18">
        <f t="shared" si="12"/>
        <v>0</v>
      </c>
    </row>
    <row r="149" spans="1:9" x14ac:dyDescent="0.25">
      <c r="A149" t="b">
        <f>IF(('Input Data'!$C$23)="FRM", FALSE, ISNUMBER(MATCH(C149,'Input Data'!$M$18:$M$30,0)))</f>
        <v>0</v>
      </c>
      <c r="B149" s="8">
        <f>IF($A149, _xlfn.XLOOKUP(C149,'Input Data'!$M$17:$M$29,'Input Data'!$N$17:$N$29),$B148)</f>
        <v>6.5000000000000002E-2</v>
      </c>
      <c r="C149" s="10">
        <f t="shared" si="13"/>
        <v>147</v>
      </c>
      <c r="D149" s="18">
        <f t="shared" si="14"/>
        <v>0</v>
      </c>
      <c r="E149" s="18">
        <f>IF(OR(D149&lt;=0,C149&gt;'Input Data'!$B$23*12),0,IF(AND(C149='Input Data'!$B$23*12,'Input Data'!$E$23&gt;'Input Data'!$B$23),D149+D149*B149/12,IF('Input Data'!$C$23="FRM",-PMT($B$3/12,'Input Data'!$E$23*12,$D$3),IF($A149,-PMT(B149/12,('Input Data'!$E$23*12)-C149+1,D149),E148))))</f>
        <v>0</v>
      </c>
      <c r="F149" s="18">
        <f t="shared" si="11"/>
        <v>0</v>
      </c>
      <c r="G149" s="18">
        <f>IF(C149&gt;'Input Data'!$B$23*12,0,D149*B149/12)</f>
        <v>0</v>
      </c>
      <c r="H149" s="18">
        <f t="shared" si="10"/>
        <v>0</v>
      </c>
      <c r="I149" s="18">
        <f t="shared" si="12"/>
        <v>0</v>
      </c>
    </row>
    <row r="150" spans="1:9" x14ac:dyDescent="0.25">
      <c r="A150" t="b">
        <f>IF(('Input Data'!$C$23)="FRM", FALSE, ISNUMBER(MATCH(C150,'Input Data'!$M$18:$M$30,0)))</f>
        <v>0</v>
      </c>
      <c r="B150" s="8">
        <f>IF($A150, _xlfn.XLOOKUP(C150,'Input Data'!$M$17:$M$29,'Input Data'!$N$17:$N$29),$B149)</f>
        <v>6.5000000000000002E-2</v>
      </c>
      <c r="C150" s="10">
        <f t="shared" si="13"/>
        <v>148</v>
      </c>
      <c r="D150" s="18">
        <f t="shared" si="14"/>
        <v>0</v>
      </c>
      <c r="E150" s="18">
        <f>IF(OR(D150&lt;=0,C150&gt;'Input Data'!$B$23*12),0,IF(AND(C150='Input Data'!$B$23*12,'Input Data'!$E$23&gt;'Input Data'!$B$23),D150+D150*B150/12,IF('Input Data'!$C$23="FRM",-PMT($B$3/12,'Input Data'!$E$23*12,$D$3),IF($A150,-PMT(B150/12,('Input Data'!$E$23*12)-C150+1,D150),E149))))</f>
        <v>0</v>
      </c>
      <c r="F150" s="18">
        <f t="shared" si="11"/>
        <v>0</v>
      </c>
      <c r="G150" s="18">
        <f>IF(C150&gt;'Input Data'!$B$23*12,0,D150*B150/12)</f>
        <v>0</v>
      </c>
      <c r="H150" s="18">
        <f t="shared" si="10"/>
        <v>0</v>
      </c>
      <c r="I150" s="18">
        <f t="shared" si="12"/>
        <v>0</v>
      </c>
    </row>
    <row r="151" spans="1:9" x14ac:dyDescent="0.25">
      <c r="A151" t="b">
        <f>IF(('Input Data'!$C$23)="FRM", FALSE, ISNUMBER(MATCH(C151,'Input Data'!$M$18:$M$30,0)))</f>
        <v>0</v>
      </c>
      <c r="B151" s="8">
        <f>IF($A151, _xlfn.XLOOKUP(C151,'Input Data'!$M$17:$M$29,'Input Data'!$N$17:$N$29),$B150)</f>
        <v>6.5000000000000002E-2</v>
      </c>
      <c r="C151" s="10">
        <f t="shared" si="13"/>
        <v>149</v>
      </c>
      <c r="D151" s="18">
        <f t="shared" si="14"/>
        <v>0</v>
      </c>
      <c r="E151" s="18">
        <f>IF(OR(D151&lt;=0,C151&gt;'Input Data'!$B$23*12),0,IF(AND(C151='Input Data'!$B$23*12,'Input Data'!$E$23&gt;'Input Data'!$B$23),D151+D151*B151/12,IF('Input Data'!$C$23="FRM",-PMT($B$3/12,'Input Data'!$E$23*12,$D$3),IF($A151,-PMT(B151/12,('Input Data'!$E$23*12)-C151+1,D151),E150))))</f>
        <v>0</v>
      </c>
      <c r="F151" s="18">
        <f t="shared" si="11"/>
        <v>0</v>
      </c>
      <c r="G151" s="18">
        <f>IF(C151&gt;'Input Data'!$B$23*12,0,D151*B151/12)</f>
        <v>0</v>
      </c>
      <c r="H151" s="18">
        <f t="shared" si="10"/>
        <v>0</v>
      </c>
      <c r="I151" s="18">
        <f t="shared" si="12"/>
        <v>0</v>
      </c>
    </row>
    <row r="152" spans="1:9" x14ac:dyDescent="0.25">
      <c r="A152" t="b">
        <f>IF(('Input Data'!$C$23)="FRM", FALSE, ISNUMBER(MATCH(C152,'Input Data'!$M$18:$M$30,0)))</f>
        <v>0</v>
      </c>
      <c r="B152" s="8">
        <f>IF($A152, _xlfn.XLOOKUP(C152,'Input Data'!$M$17:$M$29,'Input Data'!$N$17:$N$29),$B151)</f>
        <v>6.5000000000000002E-2</v>
      </c>
      <c r="C152" s="10">
        <f t="shared" si="13"/>
        <v>150</v>
      </c>
      <c r="D152" s="18">
        <f t="shared" si="14"/>
        <v>0</v>
      </c>
      <c r="E152" s="18">
        <f>IF(OR(D152&lt;=0,C152&gt;'Input Data'!$B$23*12),0,IF(AND(C152='Input Data'!$B$23*12,'Input Data'!$E$23&gt;'Input Data'!$B$23),D152+D152*B152/12,IF('Input Data'!$C$23="FRM",-PMT($B$3/12,'Input Data'!$E$23*12,$D$3),IF($A152,-PMT(B152/12,('Input Data'!$E$23*12)-C152+1,D152),E151))))</f>
        <v>0</v>
      </c>
      <c r="F152" s="18">
        <f t="shared" si="11"/>
        <v>0</v>
      </c>
      <c r="G152" s="18">
        <f>IF(C152&gt;'Input Data'!$B$23*12,0,D152*B152/12)</f>
        <v>0</v>
      </c>
      <c r="H152" s="18">
        <f t="shared" si="10"/>
        <v>0</v>
      </c>
      <c r="I152" s="18">
        <f t="shared" si="12"/>
        <v>0</v>
      </c>
    </row>
    <row r="153" spans="1:9" x14ac:dyDescent="0.25">
      <c r="A153" t="b">
        <f>IF(('Input Data'!$C$23)="FRM", FALSE, ISNUMBER(MATCH(C153,'Input Data'!$M$18:$M$30,0)))</f>
        <v>0</v>
      </c>
      <c r="B153" s="8">
        <f>IF($A153, _xlfn.XLOOKUP(C153,'Input Data'!$M$17:$M$29,'Input Data'!$N$17:$N$29),$B152)</f>
        <v>6.5000000000000002E-2</v>
      </c>
      <c r="C153" s="10">
        <f t="shared" si="13"/>
        <v>151</v>
      </c>
      <c r="D153" s="18">
        <f t="shared" si="14"/>
        <v>0</v>
      </c>
      <c r="E153" s="18">
        <f>IF(OR(D153&lt;=0,C153&gt;'Input Data'!$B$23*12),0,IF(AND(C153='Input Data'!$B$23*12,'Input Data'!$E$23&gt;'Input Data'!$B$23),D153+D153*B153/12,IF('Input Data'!$C$23="FRM",-PMT($B$3/12,'Input Data'!$E$23*12,$D$3),IF($A153,-PMT(B153/12,('Input Data'!$E$23*12)-C153+1,D153),E152))))</f>
        <v>0</v>
      </c>
      <c r="F153" s="18">
        <f t="shared" si="11"/>
        <v>0</v>
      </c>
      <c r="G153" s="18">
        <f>IF(C153&gt;'Input Data'!$B$23*12,0,D153*B153/12)</f>
        <v>0</v>
      </c>
      <c r="H153" s="18">
        <f t="shared" si="10"/>
        <v>0</v>
      </c>
      <c r="I153" s="18">
        <f t="shared" si="12"/>
        <v>0</v>
      </c>
    </row>
    <row r="154" spans="1:9" x14ac:dyDescent="0.25">
      <c r="A154" t="b">
        <f>IF(('Input Data'!$C$23)="FRM", FALSE, ISNUMBER(MATCH(C154,'Input Data'!$M$18:$M$30,0)))</f>
        <v>0</v>
      </c>
      <c r="B154" s="8">
        <f>IF($A154, _xlfn.XLOOKUP(C154,'Input Data'!$M$17:$M$29,'Input Data'!$N$17:$N$29),$B153)</f>
        <v>6.5000000000000002E-2</v>
      </c>
      <c r="C154" s="10">
        <f t="shared" si="13"/>
        <v>152</v>
      </c>
      <c r="D154" s="18">
        <f t="shared" si="14"/>
        <v>0</v>
      </c>
      <c r="E154" s="18">
        <f>IF(OR(D154&lt;=0,C154&gt;'Input Data'!$B$23*12),0,IF(AND(C154='Input Data'!$B$23*12,'Input Data'!$E$23&gt;'Input Data'!$B$23),D154+D154*B154/12,IF('Input Data'!$C$23="FRM",-PMT($B$3/12,'Input Data'!$E$23*12,$D$3),IF($A154,-PMT(B154/12,('Input Data'!$E$23*12)-C154+1,D154),E153))))</f>
        <v>0</v>
      </c>
      <c r="F154" s="18">
        <f t="shared" si="11"/>
        <v>0</v>
      </c>
      <c r="G154" s="18">
        <f>IF(C154&gt;'Input Data'!$B$23*12,0,D154*B154/12)</f>
        <v>0</v>
      </c>
      <c r="H154" s="18">
        <f t="shared" si="10"/>
        <v>0</v>
      </c>
      <c r="I154" s="18">
        <f t="shared" si="12"/>
        <v>0</v>
      </c>
    </row>
    <row r="155" spans="1:9" x14ac:dyDescent="0.25">
      <c r="A155" t="b">
        <f>IF(('Input Data'!$C$23)="FRM", FALSE, ISNUMBER(MATCH(C155,'Input Data'!$M$18:$M$30,0)))</f>
        <v>0</v>
      </c>
      <c r="B155" s="8">
        <f>IF($A155, _xlfn.XLOOKUP(C155,'Input Data'!$M$17:$M$29,'Input Data'!$N$17:$N$29),$B154)</f>
        <v>6.5000000000000002E-2</v>
      </c>
      <c r="C155" s="10">
        <f t="shared" si="13"/>
        <v>153</v>
      </c>
      <c r="D155" s="18">
        <f t="shared" si="14"/>
        <v>0</v>
      </c>
      <c r="E155" s="18">
        <f>IF(OR(D155&lt;=0,C155&gt;'Input Data'!$B$23*12),0,IF(AND(C155='Input Data'!$B$23*12,'Input Data'!$E$23&gt;'Input Data'!$B$23),D155+D155*B155/12,IF('Input Data'!$C$23="FRM",-PMT($B$3/12,'Input Data'!$E$23*12,$D$3),IF($A155,-PMT(B155/12,('Input Data'!$E$23*12)-C155+1,D155),E154))))</f>
        <v>0</v>
      </c>
      <c r="F155" s="18">
        <f t="shared" si="11"/>
        <v>0</v>
      </c>
      <c r="G155" s="18">
        <f>IF(C155&gt;'Input Data'!$B$23*12,0,D155*B155/12)</f>
        <v>0</v>
      </c>
      <c r="H155" s="18">
        <f t="shared" si="10"/>
        <v>0</v>
      </c>
      <c r="I155" s="18">
        <f t="shared" si="12"/>
        <v>0</v>
      </c>
    </row>
    <row r="156" spans="1:9" x14ac:dyDescent="0.25">
      <c r="A156" t="b">
        <f>IF(('Input Data'!$C$23)="FRM", FALSE, ISNUMBER(MATCH(C156,'Input Data'!$M$18:$M$30,0)))</f>
        <v>0</v>
      </c>
      <c r="B156" s="8">
        <f>IF($A156, _xlfn.XLOOKUP(C156,'Input Data'!$M$17:$M$29,'Input Data'!$N$17:$N$29),$B155)</f>
        <v>6.5000000000000002E-2</v>
      </c>
      <c r="C156" s="10">
        <f t="shared" si="13"/>
        <v>154</v>
      </c>
      <c r="D156" s="18">
        <f t="shared" si="14"/>
        <v>0</v>
      </c>
      <c r="E156" s="18">
        <f>IF(OR(D156&lt;=0,C156&gt;'Input Data'!$B$23*12),0,IF(AND(C156='Input Data'!$B$23*12,'Input Data'!$E$23&gt;'Input Data'!$B$23),D156+D156*B156/12,IF('Input Data'!$C$23="FRM",-PMT($B$3/12,'Input Data'!$E$23*12,$D$3),IF($A156,-PMT(B156/12,('Input Data'!$E$23*12)-C156+1,D156),E155))))</f>
        <v>0</v>
      </c>
      <c r="F156" s="18">
        <f t="shared" si="11"/>
        <v>0</v>
      </c>
      <c r="G156" s="18">
        <f>IF(C156&gt;'Input Data'!$B$23*12,0,D156*B156/12)</f>
        <v>0</v>
      </c>
      <c r="H156" s="18">
        <f t="shared" si="10"/>
        <v>0</v>
      </c>
      <c r="I156" s="18">
        <f t="shared" si="12"/>
        <v>0</v>
      </c>
    </row>
    <row r="157" spans="1:9" x14ac:dyDescent="0.25">
      <c r="A157" t="b">
        <f>IF(('Input Data'!$C$23)="FRM", FALSE, ISNUMBER(MATCH(C157,'Input Data'!$M$18:$M$30,0)))</f>
        <v>0</v>
      </c>
      <c r="B157" s="8">
        <f>IF($A157, _xlfn.XLOOKUP(C157,'Input Data'!$M$17:$M$29,'Input Data'!$N$17:$N$29),$B156)</f>
        <v>6.5000000000000002E-2</v>
      </c>
      <c r="C157" s="10">
        <f t="shared" si="13"/>
        <v>155</v>
      </c>
      <c r="D157" s="18">
        <f t="shared" si="14"/>
        <v>0</v>
      </c>
      <c r="E157" s="18">
        <f>IF(OR(D157&lt;=0,C157&gt;'Input Data'!$B$23*12),0,IF(AND(C157='Input Data'!$B$23*12,'Input Data'!$E$23&gt;'Input Data'!$B$23),D157+D157*B157/12,IF('Input Data'!$C$23="FRM",-PMT($B$3/12,'Input Data'!$E$23*12,$D$3),IF($A157,-PMT(B157/12,('Input Data'!$E$23*12)-C157+1,D157),E156))))</f>
        <v>0</v>
      </c>
      <c r="F157" s="18">
        <f t="shared" si="11"/>
        <v>0</v>
      </c>
      <c r="G157" s="18">
        <f>IF(C157&gt;'Input Data'!$B$23*12,0,D157*B157/12)</f>
        <v>0</v>
      </c>
      <c r="H157" s="18">
        <f t="shared" si="10"/>
        <v>0</v>
      </c>
      <c r="I157" s="18">
        <f t="shared" si="12"/>
        <v>0</v>
      </c>
    </row>
    <row r="158" spans="1:9" x14ac:dyDescent="0.25">
      <c r="A158" t="b">
        <f>IF(('Input Data'!$C$23)="FRM", FALSE, ISNUMBER(MATCH(C158,'Input Data'!$M$18:$M$30,0)))</f>
        <v>0</v>
      </c>
      <c r="B158" s="8">
        <f>IF($A158, _xlfn.XLOOKUP(C158,'Input Data'!$M$17:$M$29,'Input Data'!$N$17:$N$29),$B157)</f>
        <v>6.5000000000000002E-2</v>
      </c>
      <c r="C158" s="10">
        <f t="shared" si="13"/>
        <v>156</v>
      </c>
      <c r="D158" s="18">
        <f t="shared" si="14"/>
        <v>0</v>
      </c>
      <c r="E158" s="18">
        <f>IF(OR(D158&lt;=0,C158&gt;'Input Data'!$B$23*12),0,IF(AND(C158='Input Data'!$B$23*12,'Input Data'!$E$23&gt;'Input Data'!$B$23),D158+D158*B158/12,IF('Input Data'!$C$23="FRM",-PMT($B$3/12,'Input Data'!$E$23*12,$D$3),IF($A158,-PMT(B158/12,('Input Data'!$E$23*12)-C158+1,D158),E157))))</f>
        <v>0</v>
      </c>
      <c r="F158" s="18">
        <f t="shared" si="11"/>
        <v>0</v>
      </c>
      <c r="G158" s="18">
        <f>IF(C158&gt;'Input Data'!$B$23*12,0,D158*B158/12)</f>
        <v>0</v>
      </c>
      <c r="H158" s="18">
        <f t="shared" si="10"/>
        <v>0</v>
      </c>
      <c r="I158" s="18">
        <f t="shared" si="12"/>
        <v>0</v>
      </c>
    </row>
    <row r="159" spans="1:9" x14ac:dyDescent="0.25">
      <c r="A159" t="b">
        <f>IF(('Input Data'!$C$23)="FRM", FALSE, ISNUMBER(MATCH(C159,'Input Data'!$M$18:$M$30,0)))</f>
        <v>0</v>
      </c>
      <c r="B159" s="8">
        <f>IF($A159, _xlfn.XLOOKUP(C159,'Input Data'!$M$17:$M$29,'Input Data'!$N$17:$N$29),$B158)</f>
        <v>6.5000000000000002E-2</v>
      </c>
      <c r="C159" s="10">
        <f t="shared" si="13"/>
        <v>157</v>
      </c>
      <c r="D159" s="18">
        <f t="shared" si="14"/>
        <v>0</v>
      </c>
      <c r="E159" s="18">
        <f>IF(OR(D159&lt;=0,C159&gt;'Input Data'!$B$23*12),0,IF(AND(C159='Input Data'!$B$23*12,'Input Data'!$E$23&gt;'Input Data'!$B$23),D159+D159*B159/12,IF('Input Data'!$C$23="FRM",-PMT($B$3/12,'Input Data'!$E$23*12,$D$3),IF($A159,-PMT(B159/12,('Input Data'!$E$23*12)-C159+1,D159),E158))))</f>
        <v>0</v>
      </c>
      <c r="F159" s="18">
        <f t="shared" si="11"/>
        <v>0</v>
      </c>
      <c r="G159" s="18">
        <f>IF(C159&gt;'Input Data'!$B$23*12,0,D159*B159/12)</f>
        <v>0</v>
      </c>
      <c r="H159" s="18">
        <f t="shared" si="10"/>
        <v>0</v>
      </c>
      <c r="I159" s="18">
        <f t="shared" si="12"/>
        <v>0</v>
      </c>
    </row>
    <row r="160" spans="1:9" x14ac:dyDescent="0.25">
      <c r="A160" t="b">
        <f>IF(('Input Data'!$C$23)="FRM", FALSE, ISNUMBER(MATCH(C160,'Input Data'!$M$18:$M$30,0)))</f>
        <v>0</v>
      </c>
      <c r="B160" s="8">
        <f>IF($A160, _xlfn.XLOOKUP(C160,'Input Data'!$M$17:$M$29,'Input Data'!$N$17:$N$29),$B159)</f>
        <v>6.5000000000000002E-2</v>
      </c>
      <c r="C160" s="10">
        <f t="shared" si="13"/>
        <v>158</v>
      </c>
      <c r="D160" s="18">
        <f t="shared" si="14"/>
        <v>0</v>
      </c>
      <c r="E160" s="18">
        <f>IF(OR(D160&lt;=0,C160&gt;'Input Data'!$B$23*12),0,IF(AND(C160='Input Data'!$B$23*12,'Input Data'!$E$23&gt;'Input Data'!$B$23),D160+D160*B160/12,IF('Input Data'!$C$23="FRM",-PMT($B$3/12,'Input Data'!$E$23*12,$D$3),IF($A160,-PMT(B160/12,('Input Data'!$E$23*12)-C160+1,D160),E159))))</f>
        <v>0</v>
      </c>
      <c r="F160" s="18">
        <f t="shared" si="11"/>
        <v>0</v>
      </c>
      <c r="G160" s="18">
        <f>IF(C160&gt;'Input Data'!$B$23*12,0,D160*B160/12)</f>
        <v>0</v>
      </c>
      <c r="H160" s="18">
        <f t="shared" si="10"/>
        <v>0</v>
      </c>
      <c r="I160" s="18">
        <f t="shared" si="12"/>
        <v>0</v>
      </c>
    </row>
    <row r="161" spans="1:9" x14ac:dyDescent="0.25">
      <c r="A161" t="b">
        <f>IF(('Input Data'!$C$23)="FRM", FALSE, ISNUMBER(MATCH(C161,'Input Data'!$M$18:$M$30,0)))</f>
        <v>0</v>
      </c>
      <c r="B161" s="8">
        <f>IF($A161, _xlfn.XLOOKUP(C161,'Input Data'!$M$17:$M$29,'Input Data'!$N$17:$N$29),$B160)</f>
        <v>6.5000000000000002E-2</v>
      </c>
      <c r="C161" s="10">
        <f t="shared" si="13"/>
        <v>159</v>
      </c>
      <c r="D161" s="18">
        <f t="shared" si="14"/>
        <v>0</v>
      </c>
      <c r="E161" s="18">
        <f>IF(OR(D161&lt;=0,C161&gt;'Input Data'!$B$23*12),0,IF(AND(C161='Input Data'!$B$23*12,'Input Data'!$E$23&gt;'Input Data'!$B$23),D161+D161*B161/12,IF('Input Data'!$C$23="FRM",-PMT($B$3/12,'Input Data'!$E$23*12,$D$3),IF($A161,-PMT(B161/12,('Input Data'!$E$23*12)-C161+1,D161),E160))))</f>
        <v>0</v>
      </c>
      <c r="F161" s="18">
        <f t="shared" si="11"/>
        <v>0</v>
      </c>
      <c r="G161" s="18">
        <f>IF(C161&gt;'Input Data'!$B$23*12,0,D161*B161/12)</f>
        <v>0</v>
      </c>
      <c r="H161" s="18">
        <f t="shared" si="10"/>
        <v>0</v>
      </c>
      <c r="I161" s="18">
        <f t="shared" si="12"/>
        <v>0</v>
      </c>
    </row>
    <row r="162" spans="1:9" x14ac:dyDescent="0.25">
      <c r="A162" t="b">
        <f>IF(('Input Data'!$C$23)="FRM", FALSE, ISNUMBER(MATCH(C162,'Input Data'!$M$18:$M$30,0)))</f>
        <v>0</v>
      </c>
      <c r="B162" s="8">
        <f>IF($A162, _xlfn.XLOOKUP(C162,'Input Data'!$M$17:$M$29,'Input Data'!$N$17:$N$29),$B161)</f>
        <v>6.5000000000000002E-2</v>
      </c>
      <c r="C162" s="10">
        <f t="shared" si="13"/>
        <v>160</v>
      </c>
      <c r="D162" s="18">
        <f t="shared" si="14"/>
        <v>0</v>
      </c>
      <c r="E162" s="18">
        <f>IF(OR(D162&lt;=0,C162&gt;'Input Data'!$B$23*12),0,IF(AND(C162='Input Data'!$B$23*12,'Input Data'!$E$23&gt;'Input Data'!$B$23),D162+D162*B162/12,IF('Input Data'!$C$23="FRM",-PMT($B$3/12,'Input Data'!$E$23*12,$D$3),IF($A162,-PMT(B162/12,('Input Data'!$E$23*12)-C162+1,D162),E161))))</f>
        <v>0</v>
      </c>
      <c r="F162" s="18">
        <f t="shared" si="11"/>
        <v>0</v>
      </c>
      <c r="G162" s="18">
        <f>IF(C162&gt;'Input Data'!$B$23*12,0,D162*B162/12)</f>
        <v>0</v>
      </c>
      <c r="H162" s="18">
        <f t="shared" si="10"/>
        <v>0</v>
      </c>
      <c r="I162" s="18">
        <f t="shared" si="12"/>
        <v>0</v>
      </c>
    </row>
    <row r="163" spans="1:9" x14ac:dyDescent="0.25">
      <c r="A163" t="b">
        <f>IF(('Input Data'!$C$23)="FRM", FALSE, ISNUMBER(MATCH(C163,'Input Data'!$M$18:$M$30,0)))</f>
        <v>0</v>
      </c>
      <c r="B163" s="8">
        <f>IF($A163, _xlfn.XLOOKUP(C163,'Input Data'!$M$17:$M$29,'Input Data'!$N$17:$N$29),$B162)</f>
        <v>6.5000000000000002E-2</v>
      </c>
      <c r="C163" s="10">
        <f t="shared" si="13"/>
        <v>161</v>
      </c>
      <c r="D163" s="18">
        <f t="shared" si="14"/>
        <v>0</v>
      </c>
      <c r="E163" s="18">
        <f>IF(OR(D163&lt;=0,C163&gt;'Input Data'!$B$23*12),0,IF(AND(C163='Input Data'!$B$23*12,'Input Data'!$E$23&gt;'Input Data'!$B$23),D163+D163*B163/12,IF('Input Data'!$C$23="FRM",-PMT($B$3/12,'Input Data'!$E$23*12,$D$3),IF($A163,-PMT(B163/12,('Input Data'!$E$23*12)-C163+1,D163),E162))))</f>
        <v>0</v>
      </c>
      <c r="F163" s="18">
        <f t="shared" si="11"/>
        <v>0</v>
      </c>
      <c r="G163" s="18">
        <f>IF(C163&gt;'Input Data'!$B$23*12,0,D163*B163/12)</f>
        <v>0</v>
      </c>
      <c r="H163" s="18">
        <f t="shared" si="10"/>
        <v>0</v>
      </c>
      <c r="I163" s="18">
        <f t="shared" si="12"/>
        <v>0</v>
      </c>
    </row>
    <row r="164" spans="1:9" x14ac:dyDescent="0.25">
      <c r="A164" t="b">
        <f>IF(('Input Data'!$C$23)="FRM", FALSE, ISNUMBER(MATCH(C164,'Input Data'!$M$18:$M$30,0)))</f>
        <v>0</v>
      </c>
      <c r="B164" s="8">
        <f>IF($A164, _xlfn.XLOOKUP(C164,'Input Data'!$M$17:$M$29,'Input Data'!$N$17:$N$29),$B163)</f>
        <v>6.5000000000000002E-2</v>
      </c>
      <c r="C164" s="10">
        <f t="shared" si="13"/>
        <v>162</v>
      </c>
      <c r="D164" s="18">
        <f t="shared" si="14"/>
        <v>0</v>
      </c>
      <c r="E164" s="18">
        <f>IF(OR(D164&lt;=0,C164&gt;'Input Data'!$B$23*12),0,IF(AND(C164='Input Data'!$B$23*12,'Input Data'!$E$23&gt;'Input Data'!$B$23),D164+D164*B164/12,IF('Input Data'!$C$23="FRM",-PMT($B$3/12,'Input Data'!$E$23*12,$D$3),IF($A164,-PMT(B164/12,('Input Data'!$E$23*12)-C164+1,D164),E163))))</f>
        <v>0</v>
      </c>
      <c r="F164" s="18">
        <f t="shared" si="11"/>
        <v>0</v>
      </c>
      <c r="G164" s="18">
        <f>IF(C164&gt;'Input Data'!$B$23*12,0,D164*B164/12)</f>
        <v>0</v>
      </c>
      <c r="H164" s="18">
        <f t="shared" si="10"/>
        <v>0</v>
      </c>
      <c r="I164" s="18">
        <f t="shared" si="12"/>
        <v>0</v>
      </c>
    </row>
    <row r="165" spans="1:9" x14ac:dyDescent="0.25">
      <c r="A165" t="b">
        <f>IF(('Input Data'!$C$23)="FRM", FALSE, ISNUMBER(MATCH(C165,'Input Data'!$M$18:$M$30,0)))</f>
        <v>0</v>
      </c>
      <c r="B165" s="8">
        <f>IF($A165, _xlfn.XLOOKUP(C165,'Input Data'!$M$17:$M$29,'Input Data'!$N$17:$N$29),$B164)</f>
        <v>6.5000000000000002E-2</v>
      </c>
      <c r="C165" s="10">
        <f t="shared" si="13"/>
        <v>163</v>
      </c>
      <c r="D165" s="18">
        <f t="shared" si="14"/>
        <v>0</v>
      </c>
      <c r="E165" s="18">
        <f>IF(OR(D165&lt;=0,C165&gt;'Input Data'!$B$23*12),0,IF(AND(C165='Input Data'!$B$23*12,'Input Data'!$E$23&gt;'Input Data'!$B$23),D165+D165*B165/12,IF('Input Data'!$C$23="FRM",-PMT($B$3/12,'Input Data'!$E$23*12,$D$3),IF($A165,-PMT(B165/12,('Input Data'!$E$23*12)-C165+1,D165),E164))))</f>
        <v>0</v>
      </c>
      <c r="F165" s="18">
        <f t="shared" si="11"/>
        <v>0</v>
      </c>
      <c r="G165" s="18">
        <f>IF(C165&gt;'Input Data'!$B$23*12,0,D165*B165/12)</f>
        <v>0</v>
      </c>
      <c r="H165" s="18">
        <f t="shared" si="10"/>
        <v>0</v>
      </c>
      <c r="I165" s="18">
        <f t="shared" si="12"/>
        <v>0</v>
      </c>
    </row>
    <row r="166" spans="1:9" x14ac:dyDescent="0.25">
      <c r="A166" t="b">
        <f>IF(('Input Data'!$C$23)="FRM", FALSE, ISNUMBER(MATCH(C166,'Input Data'!$M$18:$M$30,0)))</f>
        <v>0</v>
      </c>
      <c r="B166" s="8">
        <f>IF($A166, _xlfn.XLOOKUP(C166,'Input Data'!$M$17:$M$29,'Input Data'!$N$17:$N$29),$B165)</f>
        <v>6.5000000000000002E-2</v>
      </c>
      <c r="C166" s="10">
        <f t="shared" si="13"/>
        <v>164</v>
      </c>
      <c r="D166" s="18">
        <f t="shared" si="14"/>
        <v>0</v>
      </c>
      <c r="E166" s="18">
        <f>IF(OR(D166&lt;=0,C166&gt;'Input Data'!$B$23*12),0,IF(AND(C166='Input Data'!$B$23*12,'Input Data'!$E$23&gt;'Input Data'!$B$23),D166+D166*B166/12,IF('Input Data'!$C$23="FRM",-PMT($B$3/12,'Input Data'!$E$23*12,$D$3),IF($A166,-PMT(B166/12,('Input Data'!$E$23*12)-C166+1,D166),E165))))</f>
        <v>0</v>
      </c>
      <c r="F166" s="18">
        <f t="shared" si="11"/>
        <v>0</v>
      </c>
      <c r="G166" s="18">
        <f>IF(C166&gt;'Input Data'!$B$23*12,0,D166*B166/12)</f>
        <v>0</v>
      </c>
      <c r="H166" s="18">
        <f t="shared" si="10"/>
        <v>0</v>
      </c>
      <c r="I166" s="18">
        <f t="shared" si="12"/>
        <v>0</v>
      </c>
    </row>
    <row r="167" spans="1:9" x14ac:dyDescent="0.25">
      <c r="A167" t="b">
        <f>IF(('Input Data'!$C$23)="FRM", FALSE, ISNUMBER(MATCH(C167,'Input Data'!$M$18:$M$30,0)))</f>
        <v>0</v>
      </c>
      <c r="B167" s="8">
        <f>IF($A167, _xlfn.XLOOKUP(C167,'Input Data'!$M$17:$M$29,'Input Data'!$N$17:$N$29),$B166)</f>
        <v>6.5000000000000002E-2</v>
      </c>
      <c r="C167" s="10">
        <f t="shared" si="13"/>
        <v>165</v>
      </c>
      <c r="D167" s="18">
        <f t="shared" si="14"/>
        <v>0</v>
      </c>
      <c r="E167" s="18">
        <f>IF(OR(D167&lt;=0,C167&gt;'Input Data'!$B$23*12),0,IF(AND(C167='Input Data'!$B$23*12,'Input Data'!$E$23&gt;'Input Data'!$B$23),D167+D167*B167/12,IF('Input Data'!$C$23="FRM",-PMT($B$3/12,'Input Data'!$E$23*12,$D$3),IF($A167,-PMT(B167/12,('Input Data'!$E$23*12)-C167+1,D167),E166))))</f>
        <v>0</v>
      </c>
      <c r="F167" s="18">
        <f t="shared" si="11"/>
        <v>0</v>
      </c>
      <c r="G167" s="18">
        <f>IF(C167&gt;'Input Data'!$B$23*12,0,D167*B167/12)</f>
        <v>0</v>
      </c>
      <c r="H167" s="18">
        <f t="shared" si="10"/>
        <v>0</v>
      </c>
      <c r="I167" s="18">
        <f t="shared" si="12"/>
        <v>0</v>
      </c>
    </row>
    <row r="168" spans="1:9" x14ac:dyDescent="0.25">
      <c r="A168" t="b">
        <f>IF(('Input Data'!$C$23)="FRM", FALSE, ISNUMBER(MATCH(C168,'Input Data'!$M$18:$M$30,0)))</f>
        <v>0</v>
      </c>
      <c r="B168" s="8">
        <f>IF($A168, _xlfn.XLOOKUP(C168,'Input Data'!$M$17:$M$29,'Input Data'!$N$17:$N$29),$B167)</f>
        <v>6.5000000000000002E-2</v>
      </c>
      <c r="C168" s="10">
        <f t="shared" si="13"/>
        <v>166</v>
      </c>
      <c r="D168" s="18">
        <f t="shared" si="14"/>
        <v>0</v>
      </c>
      <c r="E168" s="18">
        <f>IF(OR(D168&lt;=0,C168&gt;'Input Data'!$B$23*12),0,IF(AND(C168='Input Data'!$B$23*12,'Input Data'!$E$23&gt;'Input Data'!$B$23),D168+D168*B168/12,IF('Input Data'!$C$23="FRM",-PMT($B$3/12,'Input Data'!$E$23*12,$D$3),IF($A168,-PMT(B168/12,('Input Data'!$E$23*12)-C168+1,D168),E167))))</f>
        <v>0</v>
      </c>
      <c r="F168" s="18">
        <f t="shared" si="11"/>
        <v>0</v>
      </c>
      <c r="G168" s="18">
        <f>IF(C168&gt;'Input Data'!$B$23*12,0,D168*B168/12)</f>
        <v>0</v>
      </c>
      <c r="H168" s="18">
        <f t="shared" si="10"/>
        <v>0</v>
      </c>
      <c r="I168" s="18">
        <f t="shared" si="12"/>
        <v>0</v>
      </c>
    </row>
    <row r="169" spans="1:9" x14ac:dyDescent="0.25">
      <c r="A169" t="b">
        <f>IF(('Input Data'!$C$23)="FRM", FALSE, ISNUMBER(MATCH(C169,'Input Data'!$M$18:$M$30,0)))</f>
        <v>0</v>
      </c>
      <c r="B169" s="8">
        <f>IF($A169, _xlfn.XLOOKUP(C169,'Input Data'!$M$17:$M$29,'Input Data'!$N$17:$N$29),$B168)</f>
        <v>6.5000000000000002E-2</v>
      </c>
      <c r="C169" s="10">
        <f t="shared" si="13"/>
        <v>167</v>
      </c>
      <c r="D169" s="18">
        <f t="shared" si="14"/>
        <v>0</v>
      </c>
      <c r="E169" s="18">
        <f>IF(OR(D169&lt;=0,C169&gt;'Input Data'!$B$23*12),0,IF(AND(C169='Input Data'!$B$23*12,'Input Data'!$E$23&gt;'Input Data'!$B$23),D169+D169*B169/12,IF('Input Data'!$C$23="FRM",-PMT($B$3/12,'Input Data'!$E$23*12,$D$3),IF($A169,-PMT(B169/12,('Input Data'!$E$23*12)-C169+1,D169),E168))))</f>
        <v>0</v>
      </c>
      <c r="F169" s="18">
        <f t="shared" si="11"/>
        <v>0</v>
      </c>
      <c r="G169" s="18">
        <f>IF(C169&gt;'Input Data'!$B$23*12,0,D169*B169/12)</f>
        <v>0</v>
      </c>
      <c r="H169" s="18">
        <f t="shared" si="10"/>
        <v>0</v>
      </c>
      <c r="I169" s="18">
        <f t="shared" si="12"/>
        <v>0</v>
      </c>
    </row>
    <row r="170" spans="1:9" x14ac:dyDescent="0.25">
      <c r="A170" t="b">
        <f>IF(('Input Data'!$C$23)="FRM", FALSE, ISNUMBER(MATCH(C170,'Input Data'!$M$18:$M$30,0)))</f>
        <v>0</v>
      </c>
      <c r="B170" s="8">
        <f>IF($A170, _xlfn.XLOOKUP(C170,'Input Data'!$M$17:$M$29,'Input Data'!$N$17:$N$29),$B169)</f>
        <v>6.5000000000000002E-2</v>
      </c>
      <c r="C170" s="10">
        <f t="shared" si="13"/>
        <v>168</v>
      </c>
      <c r="D170" s="18">
        <f t="shared" si="14"/>
        <v>0</v>
      </c>
      <c r="E170" s="18">
        <f>IF(OR(D170&lt;=0,C170&gt;'Input Data'!$B$23*12),0,IF(AND(C170='Input Data'!$B$23*12,'Input Data'!$E$23&gt;'Input Data'!$B$23),D170+D170*B170/12,IF('Input Data'!$C$23="FRM",-PMT($B$3/12,'Input Data'!$E$23*12,$D$3),IF($A170,-PMT(B170/12,('Input Data'!$E$23*12)-C170+1,D170),E169))))</f>
        <v>0</v>
      </c>
      <c r="F170" s="18">
        <f t="shared" si="11"/>
        <v>0</v>
      </c>
      <c r="G170" s="18">
        <f>IF(C170&gt;'Input Data'!$B$23*12,0,D170*B170/12)</f>
        <v>0</v>
      </c>
      <c r="H170" s="18">
        <f t="shared" si="10"/>
        <v>0</v>
      </c>
      <c r="I170" s="18">
        <f t="shared" si="12"/>
        <v>0</v>
      </c>
    </row>
    <row r="171" spans="1:9" x14ac:dyDescent="0.25">
      <c r="A171" t="b">
        <f>IF(('Input Data'!$C$23)="FRM", FALSE, ISNUMBER(MATCH(C171,'Input Data'!$M$18:$M$30,0)))</f>
        <v>0</v>
      </c>
      <c r="B171" s="8">
        <f>IF($A171, _xlfn.XLOOKUP(C171,'Input Data'!$M$17:$M$29,'Input Data'!$N$17:$N$29),$B170)</f>
        <v>6.5000000000000002E-2</v>
      </c>
      <c r="C171" s="10">
        <f t="shared" si="13"/>
        <v>169</v>
      </c>
      <c r="D171" s="18">
        <f t="shared" si="14"/>
        <v>0</v>
      </c>
      <c r="E171" s="18">
        <f>IF(OR(D171&lt;=0,C171&gt;'Input Data'!$B$23*12),0,IF(AND(C171='Input Data'!$B$23*12,'Input Data'!$E$23&gt;'Input Data'!$B$23),D171+D171*B171/12,IF('Input Data'!$C$23="FRM",-PMT($B$3/12,'Input Data'!$E$23*12,$D$3),IF($A171,-PMT(B171/12,('Input Data'!$E$23*12)-C171+1,D171),E170))))</f>
        <v>0</v>
      </c>
      <c r="F171" s="18">
        <f t="shared" si="11"/>
        <v>0</v>
      </c>
      <c r="G171" s="18">
        <f>IF(C171&gt;'Input Data'!$B$23*12,0,D171*B171/12)</f>
        <v>0</v>
      </c>
      <c r="H171" s="18">
        <f t="shared" si="10"/>
        <v>0</v>
      </c>
      <c r="I171" s="18">
        <f t="shared" si="12"/>
        <v>0</v>
      </c>
    </row>
    <row r="172" spans="1:9" x14ac:dyDescent="0.25">
      <c r="A172" t="b">
        <f>IF(('Input Data'!$C$23)="FRM", FALSE, ISNUMBER(MATCH(C172,'Input Data'!$M$18:$M$30,0)))</f>
        <v>0</v>
      </c>
      <c r="B172" s="8">
        <f>IF($A172, _xlfn.XLOOKUP(C172,'Input Data'!$M$17:$M$29,'Input Data'!$N$17:$N$29),$B171)</f>
        <v>6.5000000000000002E-2</v>
      </c>
      <c r="C172" s="10">
        <f t="shared" si="13"/>
        <v>170</v>
      </c>
      <c r="D172" s="18">
        <f t="shared" si="14"/>
        <v>0</v>
      </c>
      <c r="E172" s="18">
        <f>IF(OR(D172&lt;=0,C172&gt;'Input Data'!$B$23*12),0,IF(AND(C172='Input Data'!$B$23*12,'Input Data'!$E$23&gt;'Input Data'!$B$23),D172+D172*B172/12,IF('Input Data'!$C$23="FRM",-PMT($B$3/12,'Input Data'!$E$23*12,$D$3),IF($A172,-PMT(B172/12,('Input Data'!$E$23*12)-C172+1,D172),E171))))</f>
        <v>0</v>
      </c>
      <c r="F172" s="18">
        <f t="shared" si="11"/>
        <v>0</v>
      </c>
      <c r="G172" s="18">
        <f>IF(C172&gt;'Input Data'!$B$23*12,0,D172*B172/12)</f>
        <v>0</v>
      </c>
      <c r="H172" s="18">
        <f t="shared" si="10"/>
        <v>0</v>
      </c>
      <c r="I172" s="18">
        <f t="shared" si="12"/>
        <v>0</v>
      </c>
    </row>
    <row r="173" spans="1:9" x14ac:dyDescent="0.25">
      <c r="A173" t="b">
        <f>IF(('Input Data'!$C$23)="FRM", FALSE, ISNUMBER(MATCH(C173,'Input Data'!$M$18:$M$30,0)))</f>
        <v>0</v>
      </c>
      <c r="B173" s="8">
        <f>IF($A173, _xlfn.XLOOKUP(C173,'Input Data'!$M$17:$M$29,'Input Data'!$N$17:$N$29),$B172)</f>
        <v>6.5000000000000002E-2</v>
      </c>
      <c r="C173" s="10">
        <f t="shared" si="13"/>
        <v>171</v>
      </c>
      <c r="D173" s="18">
        <f t="shared" si="14"/>
        <v>0</v>
      </c>
      <c r="E173" s="18">
        <f>IF(OR(D173&lt;=0,C173&gt;'Input Data'!$B$23*12),0,IF(AND(C173='Input Data'!$B$23*12,'Input Data'!$E$23&gt;'Input Data'!$B$23),D173+D173*B173/12,IF('Input Data'!$C$23="FRM",-PMT($B$3/12,'Input Data'!$E$23*12,$D$3),IF($A173,-PMT(B173/12,('Input Data'!$E$23*12)-C173+1,D173),E172))))</f>
        <v>0</v>
      </c>
      <c r="F173" s="18">
        <f t="shared" si="11"/>
        <v>0</v>
      </c>
      <c r="G173" s="18">
        <f>IF(C173&gt;'Input Data'!$B$23*12,0,D173*B173/12)</f>
        <v>0</v>
      </c>
      <c r="H173" s="18">
        <f t="shared" si="10"/>
        <v>0</v>
      </c>
      <c r="I173" s="18">
        <f t="shared" si="12"/>
        <v>0</v>
      </c>
    </row>
    <row r="174" spans="1:9" x14ac:dyDescent="0.25">
      <c r="A174" t="b">
        <f>IF(('Input Data'!$C$23)="FRM", FALSE, ISNUMBER(MATCH(C174,'Input Data'!$M$18:$M$30,0)))</f>
        <v>0</v>
      </c>
      <c r="B174" s="8">
        <f>IF($A174, _xlfn.XLOOKUP(C174,'Input Data'!$M$17:$M$29,'Input Data'!$N$17:$N$29),$B173)</f>
        <v>6.5000000000000002E-2</v>
      </c>
      <c r="C174" s="10">
        <f t="shared" si="13"/>
        <v>172</v>
      </c>
      <c r="D174" s="18">
        <f t="shared" si="14"/>
        <v>0</v>
      </c>
      <c r="E174" s="18">
        <f>IF(OR(D174&lt;=0,C174&gt;'Input Data'!$B$23*12),0,IF(AND(C174='Input Data'!$B$23*12,'Input Data'!$E$23&gt;'Input Data'!$B$23),D174+D174*B174/12,IF('Input Data'!$C$23="FRM",-PMT($B$3/12,'Input Data'!$E$23*12,$D$3),IF($A174,-PMT(B174/12,('Input Data'!$E$23*12)-C174+1,D174),E173))))</f>
        <v>0</v>
      </c>
      <c r="F174" s="18">
        <f t="shared" si="11"/>
        <v>0</v>
      </c>
      <c r="G174" s="18">
        <f>IF(C174&gt;'Input Data'!$B$23*12,0,D174*B174/12)</f>
        <v>0</v>
      </c>
      <c r="H174" s="18">
        <f t="shared" si="10"/>
        <v>0</v>
      </c>
      <c r="I174" s="18">
        <f t="shared" si="12"/>
        <v>0</v>
      </c>
    </row>
    <row r="175" spans="1:9" x14ac:dyDescent="0.25">
      <c r="A175" t="b">
        <f>IF(('Input Data'!$C$23)="FRM", FALSE, ISNUMBER(MATCH(C175,'Input Data'!$M$18:$M$30,0)))</f>
        <v>0</v>
      </c>
      <c r="B175" s="8">
        <f>IF($A175, _xlfn.XLOOKUP(C175,'Input Data'!$M$17:$M$29,'Input Data'!$N$17:$N$29),$B174)</f>
        <v>6.5000000000000002E-2</v>
      </c>
      <c r="C175" s="10">
        <f t="shared" si="13"/>
        <v>173</v>
      </c>
      <c r="D175" s="18">
        <f t="shared" si="14"/>
        <v>0</v>
      </c>
      <c r="E175" s="18">
        <f>IF(OR(D175&lt;=0,C175&gt;'Input Data'!$B$23*12),0,IF(AND(C175='Input Data'!$B$23*12,'Input Data'!$E$23&gt;'Input Data'!$B$23),D175+D175*B175/12,IF('Input Data'!$C$23="FRM",-PMT($B$3/12,'Input Data'!$E$23*12,$D$3),IF($A175,-PMT(B175/12,('Input Data'!$E$23*12)-C175+1,D175),E174))))</f>
        <v>0</v>
      </c>
      <c r="F175" s="18">
        <f t="shared" si="11"/>
        <v>0</v>
      </c>
      <c r="G175" s="18">
        <f>IF(C175&gt;'Input Data'!$B$23*12,0,D175*B175/12)</f>
        <v>0</v>
      </c>
      <c r="H175" s="18">
        <f t="shared" si="10"/>
        <v>0</v>
      </c>
      <c r="I175" s="18">
        <f t="shared" si="12"/>
        <v>0</v>
      </c>
    </row>
    <row r="176" spans="1:9" x14ac:dyDescent="0.25">
      <c r="A176" t="b">
        <f>IF(('Input Data'!$C$23)="FRM", FALSE, ISNUMBER(MATCH(C176,'Input Data'!$M$18:$M$30,0)))</f>
        <v>0</v>
      </c>
      <c r="B176" s="8">
        <f>IF($A176, _xlfn.XLOOKUP(C176,'Input Data'!$M$17:$M$29,'Input Data'!$N$17:$N$29),$B175)</f>
        <v>6.5000000000000002E-2</v>
      </c>
      <c r="C176" s="10">
        <f t="shared" si="13"/>
        <v>174</v>
      </c>
      <c r="D176" s="18">
        <f t="shared" si="14"/>
        <v>0</v>
      </c>
      <c r="E176" s="18">
        <f>IF(OR(D176&lt;=0,C176&gt;'Input Data'!$B$23*12),0,IF(AND(C176='Input Data'!$B$23*12,'Input Data'!$E$23&gt;'Input Data'!$B$23),D176+D176*B176/12,IF('Input Data'!$C$23="FRM",-PMT($B$3/12,'Input Data'!$E$23*12,$D$3),IF($A176,-PMT(B176/12,('Input Data'!$E$23*12)-C176+1,D176),E175))))</f>
        <v>0</v>
      </c>
      <c r="F176" s="18">
        <f t="shared" si="11"/>
        <v>0</v>
      </c>
      <c r="G176" s="18">
        <f>IF(C176&gt;'Input Data'!$B$23*12,0,D176*B176/12)</f>
        <v>0</v>
      </c>
      <c r="H176" s="18">
        <f t="shared" si="10"/>
        <v>0</v>
      </c>
      <c r="I176" s="18">
        <f t="shared" si="12"/>
        <v>0</v>
      </c>
    </row>
    <row r="177" spans="1:9" x14ac:dyDescent="0.25">
      <c r="A177" t="b">
        <f>IF(('Input Data'!$C$23)="FRM", FALSE, ISNUMBER(MATCH(C177,'Input Data'!$M$18:$M$30,0)))</f>
        <v>0</v>
      </c>
      <c r="B177" s="8">
        <f>IF($A177, _xlfn.XLOOKUP(C177,'Input Data'!$M$17:$M$29,'Input Data'!$N$17:$N$29),$B176)</f>
        <v>6.5000000000000002E-2</v>
      </c>
      <c r="C177" s="10">
        <f t="shared" si="13"/>
        <v>175</v>
      </c>
      <c r="D177" s="18">
        <f t="shared" si="14"/>
        <v>0</v>
      </c>
      <c r="E177" s="18">
        <f>IF(OR(D177&lt;=0,C177&gt;'Input Data'!$B$23*12),0,IF(AND(C177='Input Data'!$B$23*12,'Input Data'!$E$23&gt;'Input Data'!$B$23),D177+D177*B177/12,IF('Input Data'!$C$23="FRM",-PMT($B$3/12,'Input Data'!$E$23*12,$D$3),IF($A177,-PMT(B177/12,('Input Data'!$E$23*12)-C177+1,D177),E176))))</f>
        <v>0</v>
      </c>
      <c r="F177" s="18">
        <f t="shared" si="11"/>
        <v>0</v>
      </c>
      <c r="G177" s="18">
        <f>IF(C177&gt;'Input Data'!$B$23*12,0,D177*B177/12)</f>
        <v>0</v>
      </c>
      <c r="H177" s="18">
        <f t="shared" si="10"/>
        <v>0</v>
      </c>
      <c r="I177" s="18">
        <f t="shared" si="12"/>
        <v>0</v>
      </c>
    </row>
    <row r="178" spans="1:9" x14ac:dyDescent="0.25">
      <c r="A178" t="b">
        <f>IF(('Input Data'!$C$23)="FRM", FALSE, ISNUMBER(MATCH(C178,'Input Data'!$M$18:$M$30,0)))</f>
        <v>0</v>
      </c>
      <c r="B178" s="8">
        <f>IF($A178, _xlfn.XLOOKUP(C178,'Input Data'!$M$17:$M$29,'Input Data'!$N$17:$N$29),$B177)</f>
        <v>6.5000000000000002E-2</v>
      </c>
      <c r="C178" s="10">
        <f t="shared" si="13"/>
        <v>176</v>
      </c>
      <c r="D178" s="18">
        <f t="shared" si="14"/>
        <v>0</v>
      </c>
      <c r="E178" s="18">
        <f>IF(OR(D178&lt;=0,C178&gt;'Input Data'!$B$23*12),0,IF(AND(C178='Input Data'!$B$23*12,'Input Data'!$E$23&gt;'Input Data'!$B$23),D178+D178*B178/12,IF('Input Data'!$C$23="FRM",-PMT($B$3/12,'Input Data'!$E$23*12,$D$3),IF($A178,-PMT(B178/12,('Input Data'!$E$23*12)-C178+1,D178),E177))))</f>
        <v>0</v>
      </c>
      <c r="F178" s="18">
        <f t="shared" si="11"/>
        <v>0</v>
      </c>
      <c r="G178" s="18">
        <f>IF(C178&gt;'Input Data'!$B$23*12,0,D178*B178/12)</f>
        <v>0</v>
      </c>
      <c r="H178" s="18">
        <f t="shared" si="10"/>
        <v>0</v>
      </c>
      <c r="I178" s="18">
        <f t="shared" si="12"/>
        <v>0</v>
      </c>
    </row>
    <row r="179" spans="1:9" x14ac:dyDescent="0.25">
      <c r="A179" t="b">
        <f>IF(('Input Data'!$C$23)="FRM", FALSE, ISNUMBER(MATCH(C179,'Input Data'!$M$18:$M$30,0)))</f>
        <v>0</v>
      </c>
      <c r="B179" s="8">
        <f>IF($A179, _xlfn.XLOOKUP(C179,'Input Data'!$M$17:$M$29,'Input Data'!$N$17:$N$29),$B178)</f>
        <v>6.5000000000000002E-2</v>
      </c>
      <c r="C179" s="10">
        <f t="shared" si="13"/>
        <v>177</v>
      </c>
      <c r="D179" s="18">
        <f t="shared" si="14"/>
        <v>0</v>
      </c>
      <c r="E179" s="18">
        <f>IF(OR(D179&lt;=0,C179&gt;'Input Data'!$B$23*12),0,IF(AND(C179='Input Data'!$B$23*12,'Input Data'!$E$23&gt;'Input Data'!$B$23),D179+D179*B179/12,IF('Input Data'!$C$23="FRM",-PMT($B$3/12,'Input Data'!$E$23*12,$D$3),IF($A179,-PMT(B179/12,('Input Data'!$E$23*12)-C179+1,D179),E178))))</f>
        <v>0</v>
      </c>
      <c r="F179" s="18">
        <f t="shared" si="11"/>
        <v>0</v>
      </c>
      <c r="G179" s="18">
        <f>IF(C179&gt;'Input Data'!$B$23*12,0,D179*B179/12)</f>
        <v>0</v>
      </c>
      <c r="H179" s="18">
        <f t="shared" si="10"/>
        <v>0</v>
      </c>
      <c r="I179" s="18">
        <f t="shared" si="12"/>
        <v>0</v>
      </c>
    </row>
    <row r="180" spans="1:9" x14ac:dyDescent="0.25">
      <c r="A180" t="b">
        <f>IF(('Input Data'!$C$23)="FRM", FALSE, ISNUMBER(MATCH(C180,'Input Data'!$M$18:$M$30,0)))</f>
        <v>0</v>
      </c>
      <c r="B180" s="8">
        <f>IF($A180, _xlfn.XLOOKUP(C180,'Input Data'!$M$17:$M$29,'Input Data'!$N$17:$N$29),$B179)</f>
        <v>6.5000000000000002E-2</v>
      </c>
      <c r="C180" s="10">
        <f t="shared" si="13"/>
        <v>178</v>
      </c>
      <c r="D180" s="18">
        <f t="shared" si="14"/>
        <v>0</v>
      </c>
      <c r="E180" s="18">
        <f>IF(OR(D180&lt;=0,C180&gt;'Input Data'!$B$23*12),0,IF(AND(C180='Input Data'!$B$23*12,'Input Data'!$E$23&gt;'Input Data'!$B$23),D180+D180*B180/12,IF('Input Data'!$C$23="FRM",-PMT($B$3/12,'Input Data'!$E$23*12,$D$3),IF($A180,-PMT(B180/12,('Input Data'!$E$23*12)-C180+1,D180),E179))))</f>
        <v>0</v>
      </c>
      <c r="F180" s="18">
        <f t="shared" si="11"/>
        <v>0</v>
      </c>
      <c r="G180" s="18">
        <f>IF(C180&gt;'Input Data'!$B$23*12,0,D180*B180/12)</f>
        <v>0</v>
      </c>
      <c r="H180" s="18">
        <f t="shared" si="10"/>
        <v>0</v>
      </c>
      <c r="I180" s="18">
        <f t="shared" si="12"/>
        <v>0</v>
      </c>
    </row>
    <row r="181" spans="1:9" x14ac:dyDescent="0.25">
      <c r="A181" t="b">
        <f>IF(('Input Data'!$C$23)="FRM", FALSE, ISNUMBER(MATCH(C181,'Input Data'!$M$18:$M$30,0)))</f>
        <v>0</v>
      </c>
      <c r="B181" s="8">
        <f>IF($A181, _xlfn.XLOOKUP(C181,'Input Data'!$M$17:$M$29,'Input Data'!$N$17:$N$29),$B180)</f>
        <v>6.5000000000000002E-2</v>
      </c>
      <c r="C181" s="10">
        <f t="shared" si="13"/>
        <v>179</v>
      </c>
      <c r="D181" s="18">
        <f t="shared" si="14"/>
        <v>0</v>
      </c>
      <c r="E181" s="18">
        <f>IF(OR(D181&lt;=0,C181&gt;'Input Data'!$B$23*12),0,IF(AND(C181='Input Data'!$B$23*12,'Input Data'!$E$23&gt;'Input Data'!$B$23),D181+D181*B181/12,IF('Input Data'!$C$23="FRM",-PMT($B$3/12,'Input Data'!$E$23*12,$D$3),IF($A181,-PMT(B181/12,('Input Data'!$E$23*12)-C181+1,D181),E180))))</f>
        <v>0</v>
      </c>
      <c r="F181" s="18">
        <f t="shared" si="11"/>
        <v>0</v>
      </c>
      <c r="G181" s="18">
        <f>IF(C181&gt;'Input Data'!$B$23*12,0,D181*B181/12)</f>
        <v>0</v>
      </c>
      <c r="H181" s="18">
        <f t="shared" si="10"/>
        <v>0</v>
      </c>
      <c r="I181" s="18">
        <f t="shared" si="12"/>
        <v>0</v>
      </c>
    </row>
    <row r="182" spans="1:9" x14ac:dyDescent="0.25">
      <c r="A182" t="b">
        <f>IF(('Input Data'!$C$23)="FRM", FALSE, ISNUMBER(MATCH(C182,'Input Data'!$M$18:$M$30,0)))</f>
        <v>0</v>
      </c>
      <c r="B182" s="8">
        <f>IF($A182, _xlfn.XLOOKUP(C182,'Input Data'!$M$17:$M$29,'Input Data'!$N$17:$N$29),$B181)</f>
        <v>6.5000000000000002E-2</v>
      </c>
      <c r="C182" s="10">
        <f t="shared" si="13"/>
        <v>180</v>
      </c>
      <c r="D182" s="18">
        <f>IF(I181&gt;0,I181-J181,0)</f>
        <v>0</v>
      </c>
      <c r="E182" s="18">
        <f>IF(OR(D182&lt;=0,C182&gt;'Input Data'!$B$23*12),0,IF(AND(C182='Input Data'!$B$23*12,'Input Data'!$E$23&gt;'Input Data'!$B$23),D182+D182*B182/12,IF('Input Data'!$C$23="FRM",-PMT($B$3/12,'Input Data'!$E$23*12,$D$3),IF($A182,-PMT(B182/12,('Input Data'!$E$23*12)-C182+1,D182),E181))))</f>
        <v>0</v>
      </c>
      <c r="F182" s="18">
        <f t="shared" si="11"/>
        <v>0</v>
      </c>
      <c r="G182" s="18">
        <f>IF(C182&gt;'Input Data'!$B$23*12,0,D182*B182/12)</f>
        <v>0</v>
      </c>
      <c r="H182" s="18">
        <f>MIN(E182-G182,D182)</f>
        <v>0</v>
      </c>
      <c r="I182" s="18">
        <f>IF(ROUND(D182-H182,2)=0,0,D182-H182)</f>
        <v>0</v>
      </c>
    </row>
    <row r="183" spans="1:9" x14ac:dyDescent="0.25">
      <c r="A183" t="b">
        <f>IF(('Input Data'!$C$23)="FRM", FALSE, ISNUMBER(MATCH(C183,'Input Data'!$M$18:$M$30,0)))</f>
        <v>0</v>
      </c>
      <c r="B183" s="8">
        <f>IF($A183, _xlfn.XLOOKUP(C183,'Input Data'!$M$17:$M$29,'Input Data'!$N$17:$N$29),$B182)</f>
        <v>6.5000000000000002E-2</v>
      </c>
      <c r="C183" s="10">
        <f t="shared" si="13"/>
        <v>181</v>
      </c>
      <c r="D183" s="18">
        <f t="shared" si="14"/>
        <v>0</v>
      </c>
      <c r="E183" s="18">
        <f>IF(OR(D183&lt;=0,C183&gt;'Input Data'!$B$23*12),0,IF(AND(C183='Input Data'!$B$23*12,'Input Data'!$E$23&gt;'Input Data'!$B$23),D183+D183*B183/12,IF('Input Data'!$C$23="FRM",-PMT($B$3/12,'Input Data'!$E$23*12,$D$3),IF($A183,-PMT(B183/12,('Input Data'!$E$23*12)-C183+1,D183),E182))))</f>
        <v>0</v>
      </c>
      <c r="F183" s="18">
        <f t="shared" si="11"/>
        <v>0</v>
      </c>
      <c r="G183" s="18">
        <f>IF(C183&gt;'Input Data'!$B$23*12,0,D183*B183/12)</f>
        <v>0</v>
      </c>
      <c r="H183" s="18">
        <f t="shared" si="10"/>
        <v>0</v>
      </c>
      <c r="I183" s="18">
        <f t="shared" si="12"/>
        <v>0</v>
      </c>
    </row>
    <row r="184" spans="1:9" x14ac:dyDescent="0.25">
      <c r="A184" t="b">
        <f>IF(('Input Data'!$C$23)="FRM", FALSE, ISNUMBER(MATCH(C184,'Input Data'!$M$18:$M$30,0)))</f>
        <v>0</v>
      </c>
      <c r="B184" s="8">
        <f>IF($A184, _xlfn.XLOOKUP(C184,'Input Data'!$M$17:$M$29,'Input Data'!$N$17:$N$29),$B183)</f>
        <v>6.5000000000000002E-2</v>
      </c>
      <c r="C184" s="10">
        <f t="shared" si="13"/>
        <v>182</v>
      </c>
      <c r="D184" s="18">
        <f t="shared" si="14"/>
        <v>0</v>
      </c>
      <c r="E184" s="18">
        <f>IF(OR(D184&lt;=0,C184&gt;'Input Data'!$B$23*12),0,IF(AND(C184='Input Data'!$B$23*12,'Input Data'!$E$23&gt;'Input Data'!$B$23),D184+D184*B184/12,IF('Input Data'!$C$23="FRM",-PMT($B$3/12,'Input Data'!$E$23*12,$D$3),IF($A184,-PMT(B184/12,('Input Data'!$E$23*12)-C184+1,D184),E183))))</f>
        <v>0</v>
      </c>
      <c r="F184" s="18">
        <f t="shared" si="11"/>
        <v>0</v>
      </c>
      <c r="G184" s="18">
        <f>IF(C184&gt;'Input Data'!$B$23*12,0,D184*B184/12)</f>
        <v>0</v>
      </c>
      <c r="H184" s="18">
        <f t="shared" si="10"/>
        <v>0</v>
      </c>
      <c r="I184" s="18">
        <f t="shared" si="12"/>
        <v>0</v>
      </c>
    </row>
    <row r="185" spans="1:9" x14ac:dyDescent="0.25">
      <c r="A185" t="b">
        <f>IF(('Input Data'!$C$23)="FRM", FALSE, ISNUMBER(MATCH(C185,'Input Data'!$M$18:$M$30,0)))</f>
        <v>0</v>
      </c>
      <c r="B185" s="8">
        <f>IF($A185, _xlfn.XLOOKUP(C185,'Input Data'!$M$17:$M$29,'Input Data'!$N$17:$N$29),$B184)</f>
        <v>6.5000000000000002E-2</v>
      </c>
      <c r="C185" s="10">
        <f t="shared" si="13"/>
        <v>183</v>
      </c>
      <c r="D185" s="18">
        <f t="shared" si="14"/>
        <v>0</v>
      </c>
      <c r="E185" s="18">
        <f>IF(OR(D185&lt;=0,C185&gt;'Input Data'!$B$23*12),0,IF(AND(C185='Input Data'!$B$23*12,'Input Data'!$E$23&gt;'Input Data'!$B$23),D185+D185*B185/12,IF('Input Data'!$C$23="FRM",-PMT($B$3/12,'Input Data'!$E$23*12,$D$3),IF($A185,-PMT(B185/12,('Input Data'!$E$23*12)-C185+1,D185),E184))))</f>
        <v>0</v>
      </c>
      <c r="F185" s="18">
        <f t="shared" si="11"/>
        <v>0</v>
      </c>
      <c r="G185" s="18">
        <f>IF(C185&gt;'Input Data'!$B$23*12,0,D185*B185/12)</f>
        <v>0</v>
      </c>
      <c r="H185" s="18">
        <f t="shared" si="10"/>
        <v>0</v>
      </c>
      <c r="I185" s="18">
        <f t="shared" si="12"/>
        <v>0</v>
      </c>
    </row>
    <row r="186" spans="1:9" x14ac:dyDescent="0.25">
      <c r="A186" t="b">
        <f>IF(('Input Data'!$C$23)="FRM", FALSE, ISNUMBER(MATCH(C186,'Input Data'!$M$18:$M$30,0)))</f>
        <v>0</v>
      </c>
      <c r="B186" s="8">
        <f>IF($A186, _xlfn.XLOOKUP(C186,'Input Data'!$M$17:$M$29,'Input Data'!$N$17:$N$29),$B185)</f>
        <v>6.5000000000000002E-2</v>
      </c>
      <c r="C186" s="10">
        <f t="shared" si="13"/>
        <v>184</v>
      </c>
      <c r="D186" s="18">
        <f t="shared" si="14"/>
        <v>0</v>
      </c>
      <c r="E186" s="18">
        <f>IF(OR(D186&lt;=0,C186&gt;'Input Data'!$B$23*12),0,IF(AND(C186='Input Data'!$B$23*12,'Input Data'!$E$23&gt;'Input Data'!$B$23),D186+D186*B186/12,IF('Input Data'!$C$23="FRM",-PMT($B$3/12,'Input Data'!$E$23*12,$D$3),IF($A186,-PMT(B186/12,('Input Data'!$E$23*12)-C186+1,D186),E185))))</f>
        <v>0</v>
      </c>
      <c r="F186" s="18">
        <f t="shared" si="11"/>
        <v>0</v>
      </c>
      <c r="G186" s="18">
        <f>IF(C186&gt;'Input Data'!$B$23*12,0,D186*B186/12)</f>
        <v>0</v>
      </c>
      <c r="H186" s="18">
        <f t="shared" si="10"/>
        <v>0</v>
      </c>
      <c r="I186" s="18">
        <f t="shared" si="12"/>
        <v>0</v>
      </c>
    </row>
    <row r="187" spans="1:9" x14ac:dyDescent="0.25">
      <c r="A187" t="b">
        <f>IF(('Input Data'!$C$23)="FRM", FALSE, ISNUMBER(MATCH(C187,'Input Data'!$M$18:$M$30,0)))</f>
        <v>0</v>
      </c>
      <c r="B187" s="8">
        <f>IF($A187, _xlfn.XLOOKUP(C187,'Input Data'!$M$17:$M$29,'Input Data'!$N$17:$N$29),$B186)</f>
        <v>6.5000000000000002E-2</v>
      </c>
      <c r="C187" s="10">
        <f t="shared" si="13"/>
        <v>185</v>
      </c>
      <c r="D187" s="18">
        <f t="shared" si="14"/>
        <v>0</v>
      </c>
      <c r="E187" s="18">
        <f>IF(OR(D187&lt;=0,C187&gt;'Input Data'!$B$23*12),0,IF(AND(C187='Input Data'!$B$23*12,'Input Data'!$E$23&gt;'Input Data'!$B$23),D187+D187*B187/12,IF('Input Data'!$C$23="FRM",-PMT($B$3/12,'Input Data'!$E$23*12,$D$3),IF($A187,-PMT(B187/12,('Input Data'!$E$23*12)-C187+1,D187),E186))))</f>
        <v>0</v>
      </c>
      <c r="F187" s="18">
        <f t="shared" si="11"/>
        <v>0</v>
      </c>
      <c r="G187" s="18">
        <f>IF(C187&gt;'Input Data'!$B$23*12,0,D187*B187/12)</f>
        <v>0</v>
      </c>
      <c r="H187" s="18">
        <f t="shared" si="10"/>
        <v>0</v>
      </c>
      <c r="I187" s="18">
        <f t="shared" si="12"/>
        <v>0</v>
      </c>
    </row>
    <row r="188" spans="1:9" x14ac:dyDescent="0.25">
      <c r="A188" t="b">
        <f>IF(('Input Data'!$C$23)="FRM", FALSE, ISNUMBER(MATCH(C188,'Input Data'!$M$18:$M$30,0)))</f>
        <v>0</v>
      </c>
      <c r="B188" s="8">
        <f>IF($A188, _xlfn.XLOOKUP(C188,'Input Data'!$M$17:$M$29,'Input Data'!$N$17:$N$29),$B187)</f>
        <v>6.5000000000000002E-2</v>
      </c>
      <c r="C188" s="10">
        <f t="shared" si="13"/>
        <v>186</v>
      </c>
      <c r="D188" s="18">
        <f t="shared" si="14"/>
        <v>0</v>
      </c>
      <c r="E188" s="18">
        <f>IF(OR(D188&lt;=0,C188&gt;'Input Data'!$B$23*12),0,IF(AND(C188='Input Data'!$B$23*12,'Input Data'!$E$23&gt;'Input Data'!$B$23),D188+D188*B188/12,IF('Input Data'!$C$23="FRM",-PMT($B$3/12,'Input Data'!$E$23*12,$D$3),IF($A188,-PMT(B188/12,('Input Data'!$E$23*12)-C188+1,D188),E187))))</f>
        <v>0</v>
      </c>
      <c r="F188" s="18">
        <f t="shared" si="11"/>
        <v>0</v>
      </c>
      <c r="G188" s="18">
        <f>IF(C188&gt;'Input Data'!$B$23*12,0,D188*B188/12)</f>
        <v>0</v>
      </c>
      <c r="H188" s="18">
        <f t="shared" si="10"/>
        <v>0</v>
      </c>
      <c r="I188" s="18">
        <f t="shared" si="12"/>
        <v>0</v>
      </c>
    </row>
    <row r="189" spans="1:9" x14ac:dyDescent="0.25">
      <c r="A189" t="b">
        <f>IF(('Input Data'!$C$23)="FRM", FALSE, ISNUMBER(MATCH(C189,'Input Data'!$M$18:$M$30,0)))</f>
        <v>0</v>
      </c>
      <c r="B189" s="8">
        <f>IF($A189, _xlfn.XLOOKUP(C189,'Input Data'!$M$17:$M$29,'Input Data'!$N$17:$N$29),$B188)</f>
        <v>6.5000000000000002E-2</v>
      </c>
      <c r="C189" s="10">
        <f t="shared" si="13"/>
        <v>187</v>
      </c>
      <c r="D189" s="18">
        <f t="shared" si="14"/>
        <v>0</v>
      </c>
      <c r="E189" s="18">
        <f>IF(OR(D189&lt;=0,C189&gt;'Input Data'!$B$23*12),0,IF(AND(C189='Input Data'!$B$23*12,'Input Data'!$E$23&gt;'Input Data'!$B$23),D189+D189*B189/12,IF('Input Data'!$C$23="FRM",-PMT($B$3/12,'Input Data'!$E$23*12,$D$3),IF($A189,-PMT(B189/12,('Input Data'!$E$23*12)-C189+1,D189),E188))))</f>
        <v>0</v>
      </c>
      <c r="F189" s="18">
        <f t="shared" si="11"/>
        <v>0</v>
      </c>
      <c r="G189" s="18">
        <f>IF(C189&gt;'Input Data'!$B$23*12,0,D189*B189/12)</f>
        <v>0</v>
      </c>
      <c r="H189" s="18">
        <f t="shared" si="10"/>
        <v>0</v>
      </c>
      <c r="I189" s="18">
        <f t="shared" si="12"/>
        <v>0</v>
      </c>
    </row>
    <row r="190" spans="1:9" x14ac:dyDescent="0.25">
      <c r="A190" t="b">
        <f>IF(('Input Data'!$C$23)="FRM", FALSE, ISNUMBER(MATCH(C190,'Input Data'!$M$18:$M$30,0)))</f>
        <v>0</v>
      </c>
      <c r="B190" s="8">
        <f>IF($A190, _xlfn.XLOOKUP(C190,'Input Data'!$M$17:$M$29,'Input Data'!$N$17:$N$29),$B189)</f>
        <v>6.5000000000000002E-2</v>
      </c>
      <c r="C190" s="10">
        <f t="shared" si="13"/>
        <v>188</v>
      </c>
      <c r="D190" s="18">
        <f t="shared" si="14"/>
        <v>0</v>
      </c>
      <c r="E190" s="18">
        <f>IF(OR(D190&lt;=0,C190&gt;'Input Data'!$B$23*12),0,IF(AND(C190='Input Data'!$B$23*12,'Input Data'!$E$23&gt;'Input Data'!$B$23),D190+D190*B190/12,IF('Input Data'!$C$23="FRM",-PMT($B$3/12,'Input Data'!$E$23*12,$D$3),IF($A190,-PMT(B190/12,('Input Data'!$E$23*12)-C190+1,D190),E189))))</f>
        <v>0</v>
      </c>
      <c r="F190" s="18">
        <f t="shared" si="11"/>
        <v>0</v>
      </c>
      <c r="G190" s="18">
        <f>IF(C190&gt;'Input Data'!$B$23*12,0,D190*B190/12)</f>
        <v>0</v>
      </c>
      <c r="H190" s="18">
        <f t="shared" si="10"/>
        <v>0</v>
      </c>
      <c r="I190" s="18">
        <f t="shared" si="12"/>
        <v>0</v>
      </c>
    </row>
    <row r="191" spans="1:9" x14ac:dyDescent="0.25">
      <c r="A191" t="b">
        <f>IF(('Input Data'!$C$23)="FRM", FALSE, ISNUMBER(MATCH(C191,'Input Data'!$M$18:$M$30,0)))</f>
        <v>0</v>
      </c>
      <c r="B191" s="8">
        <f>IF($A191, _xlfn.XLOOKUP(C191,'Input Data'!$M$17:$M$29,'Input Data'!$N$17:$N$29),$B190)</f>
        <v>6.5000000000000002E-2</v>
      </c>
      <c r="C191" s="10">
        <f t="shared" si="13"/>
        <v>189</v>
      </c>
      <c r="D191" s="18">
        <f t="shared" si="14"/>
        <v>0</v>
      </c>
      <c r="E191" s="18">
        <f>IF(OR(D191&lt;=0,C191&gt;'Input Data'!$B$23*12),0,IF(AND(C191='Input Data'!$B$23*12,'Input Data'!$E$23&gt;'Input Data'!$B$23),D191+D191*B191/12,IF('Input Data'!$C$23="FRM",-PMT($B$3/12,'Input Data'!$E$23*12,$D$3),IF($A191,-PMT(B191/12,('Input Data'!$E$23*12)-C191+1,D191),E190))))</f>
        <v>0</v>
      </c>
      <c r="F191" s="18">
        <f t="shared" si="11"/>
        <v>0</v>
      </c>
      <c r="G191" s="18">
        <f>IF(C191&gt;'Input Data'!$B$23*12,0,D191*B191/12)</f>
        <v>0</v>
      </c>
      <c r="H191" s="18">
        <f t="shared" si="10"/>
        <v>0</v>
      </c>
      <c r="I191" s="18">
        <f t="shared" si="12"/>
        <v>0</v>
      </c>
    </row>
    <row r="192" spans="1:9" x14ac:dyDescent="0.25">
      <c r="A192" t="b">
        <f>IF(('Input Data'!$C$23)="FRM", FALSE, ISNUMBER(MATCH(C192,'Input Data'!$M$18:$M$30,0)))</f>
        <v>0</v>
      </c>
      <c r="B192" s="8">
        <f>IF($A192, _xlfn.XLOOKUP(C192,'Input Data'!$M$17:$M$29,'Input Data'!$N$17:$N$29),$B191)</f>
        <v>6.5000000000000002E-2</v>
      </c>
      <c r="C192" s="10">
        <f t="shared" si="13"/>
        <v>190</v>
      </c>
      <c r="D192" s="18">
        <f>IF(I191&gt;0,I191-J191,0)</f>
        <v>0</v>
      </c>
      <c r="E192" s="18">
        <f>IF(OR(D192&lt;=0,C192&gt;'Input Data'!$B$23*12),0,IF(AND(C192='Input Data'!$B$23*12,'Input Data'!$E$23&gt;'Input Data'!$B$23),D192+D192*B192/12,IF('Input Data'!$C$23="FRM",-PMT($B$3/12,'Input Data'!$E$23*12,$D$3),IF($A192,-PMT(B192/12,('Input Data'!$E$23*12)-C192+1,D192),E191))))</f>
        <v>0</v>
      </c>
      <c r="F192" s="18">
        <f t="shared" si="11"/>
        <v>0</v>
      </c>
      <c r="G192" s="18">
        <f>IF(C192&gt;'Input Data'!$B$23*12,0,D192*B192/12)</f>
        <v>0</v>
      </c>
      <c r="H192" s="18">
        <f t="shared" si="10"/>
        <v>0</v>
      </c>
      <c r="I192" s="18">
        <f t="shared" si="12"/>
        <v>0</v>
      </c>
    </row>
    <row r="193" spans="1:9" x14ac:dyDescent="0.25">
      <c r="A193" t="b">
        <f>IF(('Input Data'!$C$23)="FRM", FALSE, ISNUMBER(MATCH(C193,'Input Data'!$M$18:$M$30,0)))</f>
        <v>0</v>
      </c>
      <c r="B193" s="8">
        <f>IF($A193, _xlfn.XLOOKUP(C193,'Input Data'!$M$17:$M$29,'Input Data'!$N$17:$N$29),$B192)</f>
        <v>6.5000000000000002E-2</v>
      </c>
      <c r="C193" s="10">
        <f t="shared" si="13"/>
        <v>191</v>
      </c>
      <c r="D193" s="18">
        <f t="shared" si="14"/>
        <v>0</v>
      </c>
      <c r="E193" s="18">
        <f>IF(OR(D193&lt;=0,C193&gt;'Input Data'!$B$23*12),0,IF(AND(C193='Input Data'!$B$23*12,'Input Data'!$E$23&gt;'Input Data'!$B$23),D193+D193*B193/12,IF('Input Data'!$C$23="FRM",-PMT($B$3/12,'Input Data'!$E$23*12,$D$3),IF($A193,-PMT(B193/12,('Input Data'!$E$23*12)-C193+1,D193),E192))))</f>
        <v>0</v>
      </c>
      <c r="F193" s="18">
        <f t="shared" si="11"/>
        <v>0</v>
      </c>
      <c r="G193" s="18">
        <f>IF(C193&gt;'Input Data'!$B$23*12,0,D193*B193/12)</f>
        <v>0</v>
      </c>
      <c r="H193" s="18">
        <f t="shared" si="10"/>
        <v>0</v>
      </c>
      <c r="I193" s="18">
        <f t="shared" si="12"/>
        <v>0</v>
      </c>
    </row>
    <row r="194" spans="1:9" x14ac:dyDescent="0.25">
      <c r="A194" t="b">
        <f>IF(('Input Data'!$C$23)="FRM", FALSE, ISNUMBER(MATCH(C194,'Input Data'!$M$18:$M$30,0)))</f>
        <v>0</v>
      </c>
      <c r="B194" s="8">
        <f>IF($A194, _xlfn.XLOOKUP(C194,'Input Data'!$M$17:$M$29,'Input Data'!$N$17:$N$29),$B193)</f>
        <v>6.5000000000000002E-2</v>
      </c>
      <c r="C194" s="10">
        <f t="shared" si="13"/>
        <v>192</v>
      </c>
      <c r="D194" s="18">
        <f t="shared" si="14"/>
        <v>0</v>
      </c>
      <c r="E194" s="18">
        <f>IF(OR(D194&lt;=0,C194&gt;'Input Data'!$B$23*12),0,IF(AND(C194='Input Data'!$B$23*12,'Input Data'!$E$23&gt;'Input Data'!$B$23),D194+D194*B194/12,IF('Input Data'!$C$23="FRM",-PMT($B$3/12,'Input Data'!$E$23*12,$D$3),IF($A194,-PMT(B194/12,('Input Data'!$E$23*12)-C194+1,D194),E193))))</f>
        <v>0</v>
      </c>
      <c r="F194" s="18">
        <f t="shared" si="11"/>
        <v>0</v>
      </c>
      <c r="G194" s="18">
        <f>IF(C194&gt;'Input Data'!$B$23*12,0,D194*B194/12)</f>
        <v>0</v>
      </c>
      <c r="H194" s="18">
        <f t="shared" si="10"/>
        <v>0</v>
      </c>
      <c r="I194" s="18">
        <f t="shared" si="12"/>
        <v>0</v>
      </c>
    </row>
    <row r="195" spans="1:9" x14ac:dyDescent="0.25">
      <c r="A195" t="b">
        <f>IF(('Input Data'!$C$23)="FRM", FALSE, ISNUMBER(MATCH(C195,'Input Data'!$M$18:$M$30,0)))</f>
        <v>0</v>
      </c>
      <c r="B195" s="8">
        <f>IF($A195, _xlfn.XLOOKUP(C195,'Input Data'!$M$17:$M$29,'Input Data'!$N$17:$N$29),$B194)</f>
        <v>6.5000000000000002E-2</v>
      </c>
      <c r="C195" s="10">
        <f t="shared" si="13"/>
        <v>193</v>
      </c>
      <c r="D195" s="18">
        <f t="shared" si="14"/>
        <v>0</v>
      </c>
      <c r="E195" s="18">
        <f>IF(OR(D195&lt;=0,C195&gt;'Input Data'!$B$23*12),0,IF(AND(C195='Input Data'!$B$23*12,'Input Data'!$E$23&gt;'Input Data'!$B$23),D195+D195*B195/12,IF('Input Data'!$C$23="FRM",-PMT($B$3/12,'Input Data'!$E$23*12,$D$3),IF($A195,-PMT(B195/12,('Input Data'!$E$23*12)-C195+1,D195),E194))))</f>
        <v>0</v>
      </c>
      <c r="F195" s="18">
        <f t="shared" si="11"/>
        <v>0</v>
      </c>
      <c r="G195" s="18">
        <f>IF(C195&gt;'Input Data'!$B$23*12,0,D195*B195/12)</f>
        <v>0</v>
      </c>
      <c r="H195" s="18">
        <f t="shared" ref="H195:H258" si="15">MIN(E195-G195,D195)</f>
        <v>0</v>
      </c>
      <c r="I195" s="18">
        <f t="shared" si="12"/>
        <v>0</v>
      </c>
    </row>
    <row r="196" spans="1:9" x14ac:dyDescent="0.25">
      <c r="A196" t="b">
        <f>IF(('Input Data'!$C$23)="FRM", FALSE, ISNUMBER(MATCH(C196,'Input Data'!$M$18:$M$30,0)))</f>
        <v>0</v>
      </c>
      <c r="B196" s="8">
        <f>IF($A196, _xlfn.XLOOKUP(C196,'Input Data'!$M$17:$M$29,'Input Data'!$N$17:$N$29),$B195)</f>
        <v>6.5000000000000002E-2</v>
      </c>
      <c r="C196" s="10">
        <f t="shared" si="13"/>
        <v>194</v>
      </c>
      <c r="D196" s="18">
        <f t="shared" si="14"/>
        <v>0</v>
      </c>
      <c r="E196" s="18">
        <f>IF(OR(D196&lt;=0,C196&gt;'Input Data'!$B$23*12),0,IF(AND(C196='Input Data'!$B$23*12,'Input Data'!$E$23&gt;'Input Data'!$B$23),D196+D196*B196/12,IF('Input Data'!$C$23="FRM",-PMT($B$3/12,'Input Data'!$E$23*12,$D$3),IF($A196,-PMT(B196/12,('Input Data'!$E$23*12)-C196+1,D196),E195))))</f>
        <v>0</v>
      </c>
      <c r="F196" s="18">
        <f t="shared" ref="F196:F259" si="16">IF(D196-E196&lt;0,0,D196-E196)</f>
        <v>0</v>
      </c>
      <c r="G196" s="18">
        <f>IF(C196&gt;'Input Data'!$B$23*12,0,D196*B196/12)</f>
        <v>0</v>
      </c>
      <c r="H196" s="18">
        <f t="shared" si="15"/>
        <v>0</v>
      </c>
      <c r="I196" s="18">
        <f t="shared" ref="I196:I259" si="17">IF(ROUND(D196-H196,2)=0,0,D196-H196)</f>
        <v>0</v>
      </c>
    </row>
    <row r="197" spans="1:9" x14ac:dyDescent="0.25">
      <c r="A197" t="b">
        <f>IF(('Input Data'!$C$23)="FRM", FALSE, ISNUMBER(MATCH(C197,'Input Data'!$M$18:$M$30,0)))</f>
        <v>0</v>
      </c>
      <c r="B197" s="8">
        <f>IF($A197, _xlfn.XLOOKUP(C197,'Input Data'!$M$17:$M$29,'Input Data'!$N$17:$N$29),$B196)</f>
        <v>6.5000000000000002E-2</v>
      </c>
      <c r="C197" s="10">
        <f t="shared" ref="C197:C260" si="18">C196+1</f>
        <v>195</v>
      </c>
      <c r="D197" s="18">
        <f t="shared" ref="D197:D260" si="19">IF(I196&gt;0,I196-J196,0)</f>
        <v>0</v>
      </c>
      <c r="E197" s="18">
        <f>IF(OR(D197&lt;=0,C197&gt;'Input Data'!$B$23*12),0,IF(AND(C197='Input Data'!$B$23*12,'Input Data'!$E$23&gt;'Input Data'!$B$23),D197+D197*B197/12,IF('Input Data'!$C$23="FRM",-PMT($B$3/12,'Input Data'!$E$23*12,$D$3),IF($A197,-PMT(B197/12,('Input Data'!$E$23*12)-C197+1,D197),E196))))</f>
        <v>0</v>
      </c>
      <c r="F197" s="18">
        <f t="shared" si="16"/>
        <v>0</v>
      </c>
      <c r="G197" s="18">
        <f>IF(C197&gt;'Input Data'!$B$23*12,0,D197*B197/12)</f>
        <v>0</v>
      </c>
      <c r="H197" s="18">
        <f t="shared" si="15"/>
        <v>0</v>
      </c>
      <c r="I197" s="18">
        <f t="shared" si="17"/>
        <v>0</v>
      </c>
    </row>
    <row r="198" spans="1:9" x14ac:dyDescent="0.25">
      <c r="A198" t="b">
        <f>IF(('Input Data'!$C$23)="FRM", FALSE, ISNUMBER(MATCH(C198,'Input Data'!$M$18:$M$30,0)))</f>
        <v>0</v>
      </c>
      <c r="B198" s="8">
        <f>IF($A198, _xlfn.XLOOKUP(C198,'Input Data'!$M$17:$M$29,'Input Data'!$N$17:$N$29),$B197)</f>
        <v>6.5000000000000002E-2</v>
      </c>
      <c r="C198" s="10">
        <f t="shared" si="18"/>
        <v>196</v>
      </c>
      <c r="D198" s="18">
        <f t="shared" si="19"/>
        <v>0</v>
      </c>
      <c r="E198" s="18">
        <f>IF(OR(D198&lt;=0,C198&gt;'Input Data'!$B$23*12),0,IF(AND(C198='Input Data'!$B$23*12,'Input Data'!$E$23&gt;'Input Data'!$B$23),D198+D198*B198/12,IF('Input Data'!$C$23="FRM",-PMT($B$3/12,'Input Data'!$E$23*12,$D$3),IF($A198,-PMT(B198/12,('Input Data'!$E$23*12)-C198+1,D198),E197))))</f>
        <v>0</v>
      </c>
      <c r="F198" s="18">
        <f t="shared" si="16"/>
        <v>0</v>
      </c>
      <c r="G198" s="18">
        <f>IF(C198&gt;'Input Data'!$B$23*12,0,D198*B198/12)</f>
        <v>0</v>
      </c>
      <c r="H198" s="18">
        <f t="shared" si="15"/>
        <v>0</v>
      </c>
      <c r="I198" s="18">
        <f t="shared" si="17"/>
        <v>0</v>
      </c>
    </row>
    <row r="199" spans="1:9" x14ac:dyDescent="0.25">
      <c r="A199" t="b">
        <f>IF(('Input Data'!$C$23)="FRM", FALSE, ISNUMBER(MATCH(C199,'Input Data'!$M$18:$M$30,0)))</f>
        <v>0</v>
      </c>
      <c r="B199" s="8">
        <f>IF($A199, _xlfn.XLOOKUP(C199,'Input Data'!$M$17:$M$29,'Input Data'!$N$17:$N$29),$B198)</f>
        <v>6.5000000000000002E-2</v>
      </c>
      <c r="C199" s="10">
        <f t="shared" si="18"/>
        <v>197</v>
      </c>
      <c r="D199" s="18">
        <f t="shared" si="19"/>
        <v>0</v>
      </c>
      <c r="E199" s="18">
        <f>IF(OR(D199&lt;=0,C199&gt;'Input Data'!$B$23*12),0,IF(AND(C199='Input Data'!$B$23*12,'Input Data'!$E$23&gt;'Input Data'!$B$23),D199+D199*B199/12,IF('Input Data'!$C$23="FRM",-PMT($B$3/12,'Input Data'!$E$23*12,$D$3),IF($A199,-PMT(B199/12,('Input Data'!$E$23*12)-C199+1,D199),E198))))</f>
        <v>0</v>
      </c>
      <c r="F199" s="18">
        <f t="shared" si="16"/>
        <v>0</v>
      </c>
      <c r="G199" s="18">
        <f>IF(C199&gt;'Input Data'!$B$23*12,0,D199*B199/12)</f>
        <v>0</v>
      </c>
      <c r="H199" s="18">
        <f t="shared" si="15"/>
        <v>0</v>
      </c>
      <c r="I199" s="18">
        <f t="shared" si="17"/>
        <v>0</v>
      </c>
    </row>
    <row r="200" spans="1:9" x14ac:dyDescent="0.25">
      <c r="A200" t="b">
        <f>IF(('Input Data'!$C$23)="FRM", FALSE, ISNUMBER(MATCH(C200,'Input Data'!$M$18:$M$30,0)))</f>
        <v>0</v>
      </c>
      <c r="B200" s="8">
        <f>IF($A200, _xlfn.XLOOKUP(C200,'Input Data'!$M$17:$M$29,'Input Data'!$N$17:$N$29),$B199)</f>
        <v>6.5000000000000002E-2</v>
      </c>
      <c r="C200" s="10">
        <f t="shared" si="18"/>
        <v>198</v>
      </c>
      <c r="D200" s="18">
        <f t="shared" si="19"/>
        <v>0</v>
      </c>
      <c r="E200" s="18">
        <f>IF(OR(D200&lt;=0,C200&gt;'Input Data'!$B$23*12),0,IF(AND(C200='Input Data'!$B$23*12,'Input Data'!$E$23&gt;'Input Data'!$B$23),D200+D200*B200/12,IF('Input Data'!$C$23="FRM",-PMT($B$3/12,'Input Data'!$E$23*12,$D$3),IF($A200,-PMT(B200/12,('Input Data'!$E$23*12)-C200+1,D200),E199))))</f>
        <v>0</v>
      </c>
      <c r="F200" s="18">
        <f t="shared" si="16"/>
        <v>0</v>
      </c>
      <c r="G200" s="18">
        <f>IF(C200&gt;'Input Data'!$B$23*12,0,D200*B200/12)</f>
        <v>0</v>
      </c>
      <c r="H200" s="18">
        <f t="shared" si="15"/>
        <v>0</v>
      </c>
      <c r="I200" s="18">
        <f t="shared" si="17"/>
        <v>0</v>
      </c>
    </row>
    <row r="201" spans="1:9" x14ac:dyDescent="0.25">
      <c r="A201" t="b">
        <f>IF(('Input Data'!$C$23)="FRM", FALSE, ISNUMBER(MATCH(C201,'Input Data'!$M$18:$M$30,0)))</f>
        <v>0</v>
      </c>
      <c r="B201" s="8">
        <f>IF($A201, _xlfn.XLOOKUP(C201,'Input Data'!$M$17:$M$29,'Input Data'!$N$17:$N$29),$B200)</f>
        <v>6.5000000000000002E-2</v>
      </c>
      <c r="C201" s="10">
        <f t="shared" si="18"/>
        <v>199</v>
      </c>
      <c r="D201" s="18">
        <f t="shared" si="19"/>
        <v>0</v>
      </c>
      <c r="E201" s="18">
        <f>IF(OR(D201&lt;=0,C201&gt;'Input Data'!$B$23*12),0,IF(AND(C201='Input Data'!$B$23*12,'Input Data'!$E$23&gt;'Input Data'!$B$23),D201+D201*B201/12,IF('Input Data'!$C$23="FRM",-PMT($B$3/12,'Input Data'!$E$23*12,$D$3),IF($A201,-PMT(B201/12,('Input Data'!$E$23*12)-C201+1,D201),E200))))</f>
        <v>0</v>
      </c>
      <c r="F201" s="18">
        <f t="shared" si="16"/>
        <v>0</v>
      </c>
      <c r="G201" s="18">
        <f>IF(C201&gt;'Input Data'!$B$23*12,0,D201*B201/12)</f>
        <v>0</v>
      </c>
      <c r="H201" s="18">
        <f t="shared" si="15"/>
        <v>0</v>
      </c>
      <c r="I201" s="18">
        <f t="shared" si="17"/>
        <v>0</v>
      </c>
    </row>
    <row r="202" spans="1:9" x14ac:dyDescent="0.25">
      <c r="A202" t="b">
        <f>IF(('Input Data'!$C$23)="FRM", FALSE, ISNUMBER(MATCH(C202,'Input Data'!$M$18:$M$30,0)))</f>
        <v>0</v>
      </c>
      <c r="B202" s="8">
        <f>IF($A202, _xlfn.XLOOKUP(C202,'Input Data'!$M$17:$M$29,'Input Data'!$N$17:$N$29),$B201)</f>
        <v>6.5000000000000002E-2</v>
      </c>
      <c r="C202" s="10">
        <f t="shared" si="18"/>
        <v>200</v>
      </c>
      <c r="D202" s="18">
        <f t="shared" si="19"/>
        <v>0</v>
      </c>
      <c r="E202" s="18">
        <f>IF(OR(D202&lt;=0,C202&gt;'Input Data'!$B$23*12),0,IF(AND(C202='Input Data'!$B$23*12,'Input Data'!$E$23&gt;'Input Data'!$B$23),D202+D202*B202/12,IF('Input Data'!$C$23="FRM",-PMT($B$3/12,'Input Data'!$E$23*12,$D$3),IF($A202,-PMT(B202/12,('Input Data'!$E$23*12)-C202+1,D202),E201))))</f>
        <v>0</v>
      </c>
      <c r="F202" s="18">
        <f t="shared" si="16"/>
        <v>0</v>
      </c>
      <c r="G202" s="18">
        <f>IF(C202&gt;'Input Data'!$B$23*12,0,D202*B202/12)</f>
        <v>0</v>
      </c>
      <c r="H202" s="18">
        <f t="shared" si="15"/>
        <v>0</v>
      </c>
      <c r="I202" s="18">
        <f t="shared" si="17"/>
        <v>0</v>
      </c>
    </row>
    <row r="203" spans="1:9" x14ac:dyDescent="0.25">
      <c r="A203" t="b">
        <f>IF(('Input Data'!$C$23)="FRM", FALSE, ISNUMBER(MATCH(C203,'Input Data'!$M$18:$M$30,0)))</f>
        <v>0</v>
      </c>
      <c r="B203" s="8">
        <f>IF($A203, _xlfn.XLOOKUP(C203,'Input Data'!$M$17:$M$29,'Input Data'!$N$17:$N$29),$B202)</f>
        <v>6.5000000000000002E-2</v>
      </c>
      <c r="C203" s="10">
        <f t="shared" si="18"/>
        <v>201</v>
      </c>
      <c r="D203" s="18">
        <f t="shared" si="19"/>
        <v>0</v>
      </c>
      <c r="E203" s="18">
        <f>IF(OR(D203&lt;=0,C203&gt;'Input Data'!$B$23*12),0,IF(AND(C203='Input Data'!$B$23*12,'Input Data'!$E$23&gt;'Input Data'!$B$23),D203+D203*B203/12,IF('Input Data'!$C$23="FRM",-PMT($B$3/12,'Input Data'!$E$23*12,$D$3),IF($A203,-PMT(B203/12,('Input Data'!$E$23*12)-C203+1,D203),E202))))</f>
        <v>0</v>
      </c>
      <c r="F203" s="18">
        <f t="shared" si="16"/>
        <v>0</v>
      </c>
      <c r="G203" s="18">
        <f>IF(C203&gt;'Input Data'!$B$23*12,0,D203*B203/12)</f>
        <v>0</v>
      </c>
      <c r="H203" s="18">
        <f t="shared" si="15"/>
        <v>0</v>
      </c>
      <c r="I203" s="18">
        <f t="shared" si="17"/>
        <v>0</v>
      </c>
    </row>
    <row r="204" spans="1:9" x14ac:dyDescent="0.25">
      <c r="A204" t="b">
        <f>IF(('Input Data'!$C$23)="FRM", FALSE, ISNUMBER(MATCH(C204,'Input Data'!$M$18:$M$30,0)))</f>
        <v>0</v>
      </c>
      <c r="B204" s="8">
        <f>IF($A204, _xlfn.XLOOKUP(C204,'Input Data'!$M$17:$M$29,'Input Data'!$N$17:$N$29),$B203)</f>
        <v>6.5000000000000002E-2</v>
      </c>
      <c r="C204" s="10">
        <f t="shared" si="18"/>
        <v>202</v>
      </c>
      <c r="D204" s="18">
        <f t="shared" si="19"/>
        <v>0</v>
      </c>
      <c r="E204" s="18">
        <f>IF(OR(D204&lt;=0,C204&gt;'Input Data'!$B$23*12),0,IF(AND(C204='Input Data'!$B$23*12,'Input Data'!$E$23&gt;'Input Data'!$B$23),D204+D204*B204/12,IF('Input Data'!$C$23="FRM",-PMT($B$3/12,'Input Data'!$E$23*12,$D$3),IF($A204,-PMT(B204/12,('Input Data'!$E$23*12)-C204+1,D204),E203))))</f>
        <v>0</v>
      </c>
      <c r="F204" s="18">
        <f t="shared" si="16"/>
        <v>0</v>
      </c>
      <c r="G204" s="18">
        <f>IF(C204&gt;'Input Data'!$B$23*12,0,D204*B204/12)</f>
        <v>0</v>
      </c>
      <c r="H204" s="18">
        <f t="shared" si="15"/>
        <v>0</v>
      </c>
      <c r="I204" s="18">
        <f t="shared" si="17"/>
        <v>0</v>
      </c>
    </row>
    <row r="205" spans="1:9" x14ac:dyDescent="0.25">
      <c r="A205" t="b">
        <f>IF(('Input Data'!$C$23)="FRM", FALSE, ISNUMBER(MATCH(C205,'Input Data'!$M$18:$M$30,0)))</f>
        <v>0</v>
      </c>
      <c r="B205" s="8">
        <f>IF($A205, _xlfn.XLOOKUP(C205,'Input Data'!$M$17:$M$29,'Input Data'!$N$17:$N$29),$B204)</f>
        <v>6.5000000000000002E-2</v>
      </c>
      <c r="C205" s="10">
        <f t="shared" si="18"/>
        <v>203</v>
      </c>
      <c r="D205" s="18">
        <f t="shared" si="19"/>
        <v>0</v>
      </c>
      <c r="E205" s="18">
        <f>IF(OR(D205&lt;=0,C205&gt;'Input Data'!$B$23*12),0,IF(AND(C205='Input Data'!$B$23*12,'Input Data'!$E$23&gt;'Input Data'!$B$23),D205+D205*B205/12,IF('Input Data'!$C$23="FRM",-PMT($B$3/12,'Input Data'!$E$23*12,$D$3),IF($A205,-PMT(B205/12,('Input Data'!$E$23*12)-C205+1,D205),E204))))</f>
        <v>0</v>
      </c>
      <c r="F205" s="18">
        <f t="shared" si="16"/>
        <v>0</v>
      </c>
      <c r="G205" s="18">
        <f>IF(C205&gt;'Input Data'!$B$23*12,0,D205*B205/12)</f>
        <v>0</v>
      </c>
      <c r="H205" s="18">
        <f t="shared" si="15"/>
        <v>0</v>
      </c>
      <c r="I205" s="18">
        <f t="shared" si="17"/>
        <v>0</v>
      </c>
    </row>
    <row r="206" spans="1:9" x14ac:dyDescent="0.25">
      <c r="A206" t="b">
        <f>IF(('Input Data'!$C$23)="FRM", FALSE, ISNUMBER(MATCH(C206,'Input Data'!$M$18:$M$30,0)))</f>
        <v>0</v>
      </c>
      <c r="B206" s="8">
        <f>IF($A206, _xlfn.XLOOKUP(C206,'Input Data'!$M$17:$M$29,'Input Data'!$N$17:$N$29),$B205)</f>
        <v>6.5000000000000002E-2</v>
      </c>
      <c r="C206" s="10">
        <f t="shared" si="18"/>
        <v>204</v>
      </c>
      <c r="D206" s="18">
        <f t="shared" si="19"/>
        <v>0</v>
      </c>
      <c r="E206" s="18">
        <f>IF(OR(D206&lt;=0,C206&gt;'Input Data'!$B$23*12),0,IF(AND(C206='Input Data'!$B$23*12,'Input Data'!$E$23&gt;'Input Data'!$B$23),D206+D206*B206/12,IF('Input Data'!$C$23="FRM",-PMT($B$3/12,'Input Data'!$E$23*12,$D$3),IF($A206,-PMT(B206/12,('Input Data'!$E$23*12)-C206+1,D206),E205))))</f>
        <v>0</v>
      </c>
      <c r="F206" s="18">
        <f t="shared" si="16"/>
        <v>0</v>
      </c>
      <c r="G206" s="18">
        <f>IF(C206&gt;'Input Data'!$B$23*12,0,D206*B206/12)</f>
        <v>0</v>
      </c>
      <c r="H206" s="18">
        <f t="shared" si="15"/>
        <v>0</v>
      </c>
      <c r="I206" s="18">
        <f t="shared" si="17"/>
        <v>0</v>
      </c>
    </row>
    <row r="207" spans="1:9" x14ac:dyDescent="0.25">
      <c r="A207" t="b">
        <f>IF(('Input Data'!$C$23)="FRM", FALSE, ISNUMBER(MATCH(C207,'Input Data'!$M$18:$M$30,0)))</f>
        <v>0</v>
      </c>
      <c r="B207" s="8">
        <f>IF($A207, _xlfn.XLOOKUP(C207,'Input Data'!$M$17:$M$29,'Input Data'!$N$17:$N$29),$B206)</f>
        <v>6.5000000000000002E-2</v>
      </c>
      <c r="C207" s="10">
        <f t="shared" si="18"/>
        <v>205</v>
      </c>
      <c r="D207" s="18">
        <f t="shared" si="19"/>
        <v>0</v>
      </c>
      <c r="E207" s="18">
        <f>IF(OR(D207&lt;=0,C207&gt;'Input Data'!$B$23*12),0,IF(AND(C207='Input Data'!$B$23*12,'Input Data'!$E$23&gt;'Input Data'!$B$23),D207+D207*B207/12,IF('Input Data'!$C$23="FRM",-PMT($B$3/12,'Input Data'!$E$23*12,$D$3),IF($A207,-PMT(B207/12,('Input Data'!$E$23*12)-C207+1,D207),E206))))</f>
        <v>0</v>
      </c>
      <c r="F207" s="18">
        <f t="shared" si="16"/>
        <v>0</v>
      </c>
      <c r="G207" s="18">
        <f>IF(C207&gt;'Input Data'!$B$23*12,0,D207*B207/12)</f>
        <v>0</v>
      </c>
      <c r="H207" s="18">
        <f t="shared" si="15"/>
        <v>0</v>
      </c>
      <c r="I207" s="18">
        <f t="shared" si="17"/>
        <v>0</v>
      </c>
    </row>
    <row r="208" spans="1:9" x14ac:dyDescent="0.25">
      <c r="A208" t="b">
        <f>IF(('Input Data'!$C$23)="FRM", FALSE, ISNUMBER(MATCH(C208,'Input Data'!$M$18:$M$30,0)))</f>
        <v>0</v>
      </c>
      <c r="B208" s="8">
        <f>IF($A208, _xlfn.XLOOKUP(C208,'Input Data'!$M$17:$M$29,'Input Data'!$N$17:$N$29),$B207)</f>
        <v>6.5000000000000002E-2</v>
      </c>
      <c r="C208" s="10">
        <f t="shared" si="18"/>
        <v>206</v>
      </c>
      <c r="D208" s="18">
        <f t="shared" si="19"/>
        <v>0</v>
      </c>
      <c r="E208" s="18">
        <f>IF(OR(D208&lt;=0,C208&gt;'Input Data'!$B$23*12),0,IF(AND(C208='Input Data'!$B$23*12,'Input Data'!$E$23&gt;'Input Data'!$B$23),D208+D208*B208/12,IF('Input Data'!$C$23="FRM",-PMT($B$3/12,'Input Data'!$E$23*12,$D$3),IF($A208,-PMT(B208/12,('Input Data'!$E$23*12)-C208+1,D208),E207))))</f>
        <v>0</v>
      </c>
      <c r="F208" s="18">
        <f t="shared" si="16"/>
        <v>0</v>
      </c>
      <c r="G208" s="18">
        <f>IF(C208&gt;'Input Data'!$B$23*12,0,D208*B208/12)</f>
        <v>0</v>
      </c>
      <c r="H208" s="18">
        <f t="shared" si="15"/>
        <v>0</v>
      </c>
      <c r="I208" s="18">
        <f t="shared" si="17"/>
        <v>0</v>
      </c>
    </row>
    <row r="209" spans="1:9" x14ac:dyDescent="0.25">
      <c r="A209" t="b">
        <f>IF(('Input Data'!$C$23)="FRM", FALSE, ISNUMBER(MATCH(C209,'Input Data'!$M$18:$M$30,0)))</f>
        <v>0</v>
      </c>
      <c r="B209" s="8">
        <f>IF($A209, _xlfn.XLOOKUP(C209,'Input Data'!$M$17:$M$29,'Input Data'!$N$17:$N$29),$B208)</f>
        <v>6.5000000000000002E-2</v>
      </c>
      <c r="C209" s="10">
        <f t="shared" si="18"/>
        <v>207</v>
      </c>
      <c r="D209" s="18">
        <f t="shared" si="19"/>
        <v>0</v>
      </c>
      <c r="E209" s="18">
        <f>IF(OR(D209&lt;=0,C209&gt;'Input Data'!$B$23*12),0,IF(AND(C209='Input Data'!$B$23*12,'Input Data'!$E$23&gt;'Input Data'!$B$23),D209+D209*B209/12,IF('Input Data'!$C$23="FRM",-PMT($B$3/12,'Input Data'!$E$23*12,$D$3),IF($A209,-PMT(B209/12,('Input Data'!$E$23*12)-C209+1,D209),E208))))</f>
        <v>0</v>
      </c>
      <c r="F209" s="18">
        <f t="shared" si="16"/>
        <v>0</v>
      </c>
      <c r="G209" s="18">
        <f>IF(C209&gt;'Input Data'!$B$23*12,0,D209*B209/12)</f>
        <v>0</v>
      </c>
      <c r="H209" s="18">
        <f t="shared" si="15"/>
        <v>0</v>
      </c>
      <c r="I209" s="18">
        <f t="shared" si="17"/>
        <v>0</v>
      </c>
    </row>
    <row r="210" spans="1:9" x14ac:dyDescent="0.25">
      <c r="A210" t="b">
        <f>IF(('Input Data'!$C$23)="FRM", FALSE, ISNUMBER(MATCH(C210,'Input Data'!$M$18:$M$30,0)))</f>
        <v>0</v>
      </c>
      <c r="B210" s="8">
        <f>IF($A210, _xlfn.XLOOKUP(C210,'Input Data'!$M$17:$M$29,'Input Data'!$N$17:$N$29),$B209)</f>
        <v>6.5000000000000002E-2</v>
      </c>
      <c r="C210" s="10">
        <f t="shared" si="18"/>
        <v>208</v>
      </c>
      <c r="D210" s="18">
        <f t="shared" si="19"/>
        <v>0</v>
      </c>
      <c r="E210" s="18">
        <f>IF(OR(D210&lt;=0,C210&gt;'Input Data'!$B$23*12),0,IF(AND(C210='Input Data'!$B$23*12,'Input Data'!$E$23&gt;'Input Data'!$B$23),D210+D210*B210/12,IF('Input Data'!$C$23="FRM",-PMT($B$3/12,'Input Data'!$E$23*12,$D$3),IF($A210,-PMT(B210/12,('Input Data'!$E$23*12)-C210+1,D210),E209))))</f>
        <v>0</v>
      </c>
      <c r="F210" s="18">
        <f t="shared" si="16"/>
        <v>0</v>
      </c>
      <c r="G210" s="18">
        <f>IF(C210&gt;'Input Data'!$B$23*12,0,D210*B210/12)</f>
        <v>0</v>
      </c>
      <c r="H210" s="18">
        <f t="shared" si="15"/>
        <v>0</v>
      </c>
      <c r="I210" s="18">
        <f t="shared" si="17"/>
        <v>0</v>
      </c>
    </row>
    <row r="211" spans="1:9" x14ac:dyDescent="0.25">
      <c r="A211" t="b">
        <f>IF(('Input Data'!$C$23)="FRM", FALSE, ISNUMBER(MATCH(C211,'Input Data'!$M$18:$M$30,0)))</f>
        <v>0</v>
      </c>
      <c r="B211" s="8">
        <f>IF($A211, _xlfn.XLOOKUP(C211,'Input Data'!$M$17:$M$29,'Input Data'!$N$17:$N$29),$B210)</f>
        <v>6.5000000000000002E-2</v>
      </c>
      <c r="C211" s="10">
        <f t="shared" si="18"/>
        <v>209</v>
      </c>
      <c r="D211" s="18">
        <f t="shared" si="19"/>
        <v>0</v>
      </c>
      <c r="E211" s="18">
        <f>IF(OR(D211&lt;=0,C211&gt;'Input Data'!$B$23*12),0,IF(AND(C211='Input Data'!$B$23*12,'Input Data'!$E$23&gt;'Input Data'!$B$23),D211+D211*B211/12,IF('Input Data'!$C$23="FRM",-PMT($B$3/12,'Input Data'!$E$23*12,$D$3),IF($A211,-PMT(B211/12,('Input Data'!$E$23*12)-C211+1,D211),E210))))</f>
        <v>0</v>
      </c>
      <c r="F211" s="18">
        <f t="shared" si="16"/>
        <v>0</v>
      </c>
      <c r="G211" s="18">
        <f>IF(C211&gt;'Input Data'!$B$23*12,0,D211*B211/12)</f>
        <v>0</v>
      </c>
      <c r="H211" s="18">
        <f t="shared" si="15"/>
        <v>0</v>
      </c>
      <c r="I211" s="18">
        <f t="shared" si="17"/>
        <v>0</v>
      </c>
    </row>
    <row r="212" spans="1:9" x14ac:dyDescent="0.25">
      <c r="A212" t="b">
        <f>IF(('Input Data'!$C$23)="FRM", FALSE, ISNUMBER(MATCH(C212,'Input Data'!$M$18:$M$30,0)))</f>
        <v>0</v>
      </c>
      <c r="B212" s="8">
        <f>IF($A212, _xlfn.XLOOKUP(C212,'Input Data'!$M$17:$M$29,'Input Data'!$N$17:$N$29),$B211)</f>
        <v>6.5000000000000002E-2</v>
      </c>
      <c r="C212" s="10">
        <f t="shared" si="18"/>
        <v>210</v>
      </c>
      <c r="D212" s="18">
        <f t="shared" si="19"/>
        <v>0</v>
      </c>
      <c r="E212" s="18">
        <f>IF(OR(D212&lt;=0,C212&gt;'Input Data'!$B$23*12),0,IF(AND(C212='Input Data'!$B$23*12,'Input Data'!$E$23&gt;'Input Data'!$B$23),D212+D212*B212/12,IF('Input Data'!$C$23="FRM",-PMT($B$3/12,'Input Data'!$E$23*12,$D$3),IF($A212,-PMT(B212/12,('Input Data'!$E$23*12)-C212+1,D212),E211))))</f>
        <v>0</v>
      </c>
      <c r="F212" s="18">
        <f t="shared" si="16"/>
        <v>0</v>
      </c>
      <c r="G212" s="18">
        <f>IF(C212&gt;'Input Data'!$B$23*12,0,D212*B212/12)</f>
        <v>0</v>
      </c>
      <c r="H212" s="18">
        <f t="shared" si="15"/>
        <v>0</v>
      </c>
      <c r="I212" s="18">
        <f t="shared" si="17"/>
        <v>0</v>
      </c>
    </row>
    <row r="213" spans="1:9" x14ac:dyDescent="0.25">
      <c r="A213" t="b">
        <f>IF(('Input Data'!$C$23)="FRM", FALSE, ISNUMBER(MATCH(C213,'Input Data'!$M$18:$M$30,0)))</f>
        <v>0</v>
      </c>
      <c r="B213" s="8">
        <f>IF($A213, _xlfn.XLOOKUP(C213,'Input Data'!$M$17:$M$29,'Input Data'!$N$17:$N$29),$B212)</f>
        <v>6.5000000000000002E-2</v>
      </c>
      <c r="C213" s="10">
        <f t="shared" si="18"/>
        <v>211</v>
      </c>
      <c r="D213" s="18">
        <f t="shared" si="19"/>
        <v>0</v>
      </c>
      <c r="E213" s="18">
        <f>IF(OR(D213&lt;=0,C213&gt;'Input Data'!$B$23*12),0,IF(AND(C213='Input Data'!$B$23*12,'Input Data'!$E$23&gt;'Input Data'!$B$23),D213+D213*B213/12,IF('Input Data'!$C$23="FRM",-PMT($B$3/12,'Input Data'!$E$23*12,$D$3),IF($A213,-PMT(B213/12,('Input Data'!$E$23*12)-C213+1,D213),E212))))</f>
        <v>0</v>
      </c>
      <c r="F213" s="18">
        <f t="shared" si="16"/>
        <v>0</v>
      </c>
      <c r="G213" s="18">
        <f>IF(C213&gt;'Input Data'!$B$23*12,0,D213*B213/12)</f>
        <v>0</v>
      </c>
      <c r="H213" s="18">
        <f t="shared" si="15"/>
        <v>0</v>
      </c>
      <c r="I213" s="18">
        <f t="shared" si="17"/>
        <v>0</v>
      </c>
    </row>
    <row r="214" spans="1:9" x14ac:dyDescent="0.25">
      <c r="A214" t="b">
        <f>IF(('Input Data'!$C$23)="FRM", FALSE, ISNUMBER(MATCH(C214,'Input Data'!$M$18:$M$30,0)))</f>
        <v>0</v>
      </c>
      <c r="B214" s="8">
        <f>IF($A214, _xlfn.XLOOKUP(C214,'Input Data'!$M$17:$M$29,'Input Data'!$N$17:$N$29),$B213)</f>
        <v>6.5000000000000002E-2</v>
      </c>
      <c r="C214" s="10">
        <f t="shared" si="18"/>
        <v>212</v>
      </c>
      <c r="D214" s="18">
        <f t="shared" si="19"/>
        <v>0</v>
      </c>
      <c r="E214" s="18">
        <f>IF(OR(D214&lt;=0,C214&gt;'Input Data'!$B$23*12),0,IF(AND(C214='Input Data'!$B$23*12,'Input Data'!$E$23&gt;'Input Data'!$B$23),D214+D214*B214/12,IF('Input Data'!$C$23="FRM",-PMT($B$3/12,'Input Data'!$E$23*12,$D$3),IF($A214,-PMT(B214/12,('Input Data'!$E$23*12)-C214+1,D214),E213))))</f>
        <v>0</v>
      </c>
      <c r="F214" s="18">
        <f t="shared" si="16"/>
        <v>0</v>
      </c>
      <c r="G214" s="18">
        <f>IF(C214&gt;'Input Data'!$B$23*12,0,D214*B214/12)</f>
        <v>0</v>
      </c>
      <c r="H214" s="18">
        <f t="shared" si="15"/>
        <v>0</v>
      </c>
      <c r="I214" s="18">
        <f t="shared" si="17"/>
        <v>0</v>
      </c>
    </row>
    <row r="215" spans="1:9" x14ac:dyDescent="0.25">
      <c r="A215" t="b">
        <f>IF(('Input Data'!$C$23)="FRM", FALSE, ISNUMBER(MATCH(C215,'Input Data'!$M$18:$M$30,0)))</f>
        <v>0</v>
      </c>
      <c r="B215" s="8">
        <f>IF($A215, _xlfn.XLOOKUP(C215,'Input Data'!$M$17:$M$29,'Input Data'!$N$17:$N$29),$B214)</f>
        <v>6.5000000000000002E-2</v>
      </c>
      <c r="C215" s="10">
        <f t="shared" si="18"/>
        <v>213</v>
      </c>
      <c r="D215" s="18">
        <f t="shared" si="19"/>
        <v>0</v>
      </c>
      <c r="E215" s="18">
        <f>IF(OR(D215&lt;=0,C215&gt;'Input Data'!$B$23*12),0,IF(AND(C215='Input Data'!$B$23*12,'Input Data'!$E$23&gt;'Input Data'!$B$23),D215+D215*B215/12,IF('Input Data'!$C$23="FRM",-PMT($B$3/12,'Input Data'!$E$23*12,$D$3),IF($A215,-PMT(B215/12,('Input Data'!$E$23*12)-C215+1,D215),E214))))</f>
        <v>0</v>
      </c>
      <c r="F215" s="18">
        <f t="shared" si="16"/>
        <v>0</v>
      </c>
      <c r="G215" s="18">
        <f>IF(C215&gt;'Input Data'!$B$23*12,0,D215*B215/12)</f>
        <v>0</v>
      </c>
      <c r="H215" s="18">
        <f t="shared" si="15"/>
        <v>0</v>
      </c>
      <c r="I215" s="18">
        <f t="shared" si="17"/>
        <v>0</v>
      </c>
    </row>
    <row r="216" spans="1:9" x14ac:dyDescent="0.25">
      <c r="A216" t="b">
        <f>IF(('Input Data'!$C$23)="FRM", FALSE, ISNUMBER(MATCH(C216,'Input Data'!$M$18:$M$30,0)))</f>
        <v>0</v>
      </c>
      <c r="B216" s="8">
        <f>IF($A216, _xlfn.XLOOKUP(C216,'Input Data'!$M$17:$M$29,'Input Data'!$N$17:$N$29),$B215)</f>
        <v>6.5000000000000002E-2</v>
      </c>
      <c r="C216" s="10">
        <f t="shared" si="18"/>
        <v>214</v>
      </c>
      <c r="D216" s="18">
        <f t="shared" si="19"/>
        <v>0</v>
      </c>
      <c r="E216" s="18">
        <f>IF(OR(D216&lt;=0,C216&gt;'Input Data'!$B$23*12),0,IF(AND(C216='Input Data'!$B$23*12,'Input Data'!$E$23&gt;'Input Data'!$B$23),D216+D216*B216/12,IF('Input Data'!$C$23="FRM",-PMT($B$3/12,'Input Data'!$E$23*12,$D$3),IF($A216,-PMT(B216/12,('Input Data'!$E$23*12)-C216+1,D216),E215))))</f>
        <v>0</v>
      </c>
      <c r="F216" s="18">
        <f t="shared" si="16"/>
        <v>0</v>
      </c>
      <c r="G216" s="18">
        <f>IF(C216&gt;'Input Data'!$B$23*12,0,D216*B216/12)</f>
        <v>0</v>
      </c>
      <c r="H216" s="18">
        <f t="shared" si="15"/>
        <v>0</v>
      </c>
      <c r="I216" s="18">
        <f t="shared" si="17"/>
        <v>0</v>
      </c>
    </row>
    <row r="217" spans="1:9" x14ac:dyDescent="0.25">
      <c r="A217" t="b">
        <f>IF(('Input Data'!$C$23)="FRM", FALSE, ISNUMBER(MATCH(C217,'Input Data'!$M$18:$M$30,0)))</f>
        <v>0</v>
      </c>
      <c r="B217" s="8">
        <f>IF($A217, _xlfn.XLOOKUP(C217,'Input Data'!$M$17:$M$29,'Input Data'!$N$17:$N$29),$B216)</f>
        <v>6.5000000000000002E-2</v>
      </c>
      <c r="C217" s="10">
        <f t="shared" si="18"/>
        <v>215</v>
      </c>
      <c r="D217" s="18">
        <f t="shared" si="19"/>
        <v>0</v>
      </c>
      <c r="E217" s="18">
        <f>IF(OR(D217&lt;=0,C217&gt;'Input Data'!$B$23*12),0,IF(AND(C217='Input Data'!$B$23*12,'Input Data'!$E$23&gt;'Input Data'!$B$23),D217+D217*B217/12,IF('Input Data'!$C$23="FRM",-PMT($B$3/12,'Input Data'!$E$23*12,$D$3),IF($A217,-PMT(B217/12,('Input Data'!$E$23*12)-C217+1,D217),E216))))</f>
        <v>0</v>
      </c>
      <c r="F217" s="18">
        <f t="shared" si="16"/>
        <v>0</v>
      </c>
      <c r="G217" s="18">
        <f>IF(C217&gt;'Input Data'!$B$23*12,0,D217*B217/12)</f>
        <v>0</v>
      </c>
      <c r="H217" s="18">
        <f t="shared" si="15"/>
        <v>0</v>
      </c>
      <c r="I217" s="18">
        <f t="shared" si="17"/>
        <v>0</v>
      </c>
    </row>
    <row r="218" spans="1:9" x14ac:dyDescent="0.25">
      <c r="A218" t="b">
        <f>IF(('Input Data'!$C$23)="FRM", FALSE, ISNUMBER(MATCH(C218,'Input Data'!$M$18:$M$30,0)))</f>
        <v>0</v>
      </c>
      <c r="B218" s="8">
        <f>IF($A218, _xlfn.XLOOKUP(C218,'Input Data'!$M$17:$M$29,'Input Data'!$N$17:$N$29),$B217)</f>
        <v>6.5000000000000002E-2</v>
      </c>
      <c r="C218" s="10">
        <f t="shared" si="18"/>
        <v>216</v>
      </c>
      <c r="D218" s="18">
        <f t="shared" si="19"/>
        <v>0</v>
      </c>
      <c r="E218" s="18">
        <f>IF(OR(D218&lt;=0,C218&gt;'Input Data'!$B$23*12),0,IF(AND(C218='Input Data'!$B$23*12,'Input Data'!$E$23&gt;'Input Data'!$B$23),D218+D218*B218/12,IF('Input Data'!$C$23="FRM",-PMT($B$3/12,'Input Data'!$E$23*12,$D$3),IF($A218,-PMT(B218/12,('Input Data'!$E$23*12)-C218+1,D218),E217))))</f>
        <v>0</v>
      </c>
      <c r="F218" s="18">
        <f t="shared" si="16"/>
        <v>0</v>
      </c>
      <c r="G218" s="18">
        <f>IF(C218&gt;'Input Data'!$B$23*12,0,D218*B218/12)</f>
        <v>0</v>
      </c>
      <c r="H218" s="18">
        <f t="shared" si="15"/>
        <v>0</v>
      </c>
      <c r="I218" s="18">
        <f t="shared" si="17"/>
        <v>0</v>
      </c>
    </row>
    <row r="219" spans="1:9" x14ac:dyDescent="0.25">
      <c r="A219" t="b">
        <f>IF(('Input Data'!$C$23)="FRM", FALSE, ISNUMBER(MATCH(C219,'Input Data'!$M$18:$M$30,0)))</f>
        <v>0</v>
      </c>
      <c r="B219" s="8">
        <f>IF($A219, _xlfn.XLOOKUP(C219,'Input Data'!$M$17:$M$29,'Input Data'!$N$17:$N$29),$B218)</f>
        <v>6.5000000000000002E-2</v>
      </c>
      <c r="C219" s="10">
        <f t="shared" si="18"/>
        <v>217</v>
      </c>
      <c r="D219" s="18">
        <f t="shared" si="19"/>
        <v>0</v>
      </c>
      <c r="E219" s="18">
        <f>IF(OR(D219&lt;=0,C219&gt;'Input Data'!$B$23*12),0,IF(AND(C219='Input Data'!$B$23*12,'Input Data'!$E$23&gt;'Input Data'!$B$23),D219+D219*B219/12,IF('Input Data'!$C$23="FRM",-PMT($B$3/12,'Input Data'!$E$23*12,$D$3),IF($A219,-PMT(B219/12,('Input Data'!$E$23*12)-C219+1,D219),E218))))</f>
        <v>0</v>
      </c>
      <c r="F219" s="18">
        <f t="shared" si="16"/>
        <v>0</v>
      </c>
      <c r="G219" s="18">
        <f>IF(C219&gt;'Input Data'!$B$23*12,0,D219*B219/12)</f>
        <v>0</v>
      </c>
      <c r="H219" s="18">
        <f t="shared" si="15"/>
        <v>0</v>
      </c>
      <c r="I219" s="18">
        <f t="shared" si="17"/>
        <v>0</v>
      </c>
    </row>
    <row r="220" spans="1:9" x14ac:dyDescent="0.25">
      <c r="A220" t="b">
        <f>IF(('Input Data'!$C$23)="FRM", FALSE, ISNUMBER(MATCH(C220,'Input Data'!$M$18:$M$30,0)))</f>
        <v>0</v>
      </c>
      <c r="B220" s="8">
        <f>IF($A220, _xlfn.XLOOKUP(C220,'Input Data'!$M$17:$M$29,'Input Data'!$N$17:$N$29),$B219)</f>
        <v>6.5000000000000002E-2</v>
      </c>
      <c r="C220" s="10">
        <f t="shared" si="18"/>
        <v>218</v>
      </c>
      <c r="D220" s="18">
        <f t="shared" si="19"/>
        <v>0</v>
      </c>
      <c r="E220" s="18">
        <f>IF(OR(D220&lt;=0,C220&gt;'Input Data'!$B$23*12),0,IF(AND(C220='Input Data'!$B$23*12,'Input Data'!$E$23&gt;'Input Data'!$B$23),D220+D220*B220/12,IF('Input Data'!$C$23="FRM",-PMT($B$3/12,'Input Data'!$E$23*12,$D$3),IF($A220,-PMT(B220/12,('Input Data'!$E$23*12)-C220+1,D220),E219))))</f>
        <v>0</v>
      </c>
      <c r="F220" s="18">
        <f t="shared" si="16"/>
        <v>0</v>
      </c>
      <c r="G220" s="18">
        <f>IF(C220&gt;'Input Data'!$B$23*12,0,D220*B220/12)</f>
        <v>0</v>
      </c>
      <c r="H220" s="18">
        <f t="shared" si="15"/>
        <v>0</v>
      </c>
      <c r="I220" s="18">
        <f t="shared" si="17"/>
        <v>0</v>
      </c>
    </row>
    <row r="221" spans="1:9" x14ac:dyDescent="0.25">
      <c r="A221" t="b">
        <f>IF(('Input Data'!$C$23)="FRM", FALSE, ISNUMBER(MATCH(C221,'Input Data'!$M$18:$M$30,0)))</f>
        <v>0</v>
      </c>
      <c r="B221" s="8">
        <f>IF($A221, _xlfn.XLOOKUP(C221,'Input Data'!$M$17:$M$29,'Input Data'!$N$17:$N$29),$B220)</f>
        <v>6.5000000000000002E-2</v>
      </c>
      <c r="C221" s="10">
        <f t="shared" si="18"/>
        <v>219</v>
      </c>
      <c r="D221" s="18">
        <f t="shared" si="19"/>
        <v>0</v>
      </c>
      <c r="E221" s="18">
        <f>IF(OR(D221&lt;=0,C221&gt;'Input Data'!$B$23*12),0,IF(AND(C221='Input Data'!$B$23*12,'Input Data'!$E$23&gt;'Input Data'!$B$23),D221+D221*B221/12,IF('Input Data'!$C$23="FRM",-PMT($B$3/12,'Input Data'!$E$23*12,$D$3),IF($A221,-PMT(B221/12,('Input Data'!$E$23*12)-C221+1,D221),E220))))</f>
        <v>0</v>
      </c>
      <c r="F221" s="18">
        <f t="shared" si="16"/>
        <v>0</v>
      </c>
      <c r="G221" s="18">
        <f>IF(C221&gt;'Input Data'!$B$23*12,0,D221*B221/12)</f>
        <v>0</v>
      </c>
      <c r="H221" s="18">
        <f t="shared" si="15"/>
        <v>0</v>
      </c>
      <c r="I221" s="18">
        <f t="shared" si="17"/>
        <v>0</v>
      </c>
    </row>
    <row r="222" spans="1:9" x14ac:dyDescent="0.25">
      <c r="A222" t="b">
        <f>IF(('Input Data'!$C$23)="FRM", FALSE, ISNUMBER(MATCH(C222,'Input Data'!$M$18:$M$30,0)))</f>
        <v>0</v>
      </c>
      <c r="B222" s="8">
        <f>IF($A222, _xlfn.XLOOKUP(C222,'Input Data'!$M$17:$M$29,'Input Data'!$N$17:$N$29),$B221)</f>
        <v>6.5000000000000002E-2</v>
      </c>
      <c r="C222" s="10">
        <f t="shared" si="18"/>
        <v>220</v>
      </c>
      <c r="D222" s="18">
        <f t="shared" si="19"/>
        <v>0</v>
      </c>
      <c r="E222" s="18">
        <f>IF(OR(D222&lt;=0,C222&gt;'Input Data'!$B$23*12),0,IF(AND(C222='Input Data'!$B$23*12,'Input Data'!$E$23&gt;'Input Data'!$B$23),D222+D222*B222/12,IF('Input Data'!$C$23="FRM",-PMT($B$3/12,'Input Data'!$E$23*12,$D$3),IF($A222,-PMT(B222/12,('Input Data'!$E$23*12)-C222+1,D222),E221))))</f>
        <v>0</v>
      </c>
      <c r="F222" s="18">
        <f t="shared" si="16"/>
        <v>0</v>
      </c>
      <c r="G222" s="18">
        <f>IF(C222&gt;'Input Data'!$B$23*12,0,D222*B222/12)</f>
        <v>0</v>
      </c>
      <c r="H222" s="18">
        <f t="shared" si="15"/>
        <v>0</v>
      </c>
      <c r="I222" s="18">
        <f t="shared" si="17"/>
        <v>0</v>
      </c>
    </row>
    <row r="223" spans="1:9" x14ac:dyDescent="0.25">
      <c r="A223" t="b">
        <f>IF(('Input Data'!$C$23)="FRM", FALSE, ISNUMBER(MATCH(C223,'Input Data'!$M$18:$M$30,0)))</f>
        <v>0</v>
      </c>
      <c r="B223" s="8">
        <f>IF($A223, _xlfn.XLOOKUP(C223,'Input Data'!$M$17:$M$29,'Input Data'!$N$17:$N$29),$B222)</f>
        <v>6.5000000000000002E-2</v>
      </c>
      <c r="C223" s="10">
        <f t="shared" si="18"/>
        <v>221</v>
      </c>
      <c r="D223" s="18">
        <f t="shared" si="19"/>
        <v>0</v>
      </c>
      <c r="E223" s="18">
        <f>IF(OR(D223&lt;=0,C223&gt;'Input Data'!$B$23*12),0,IF(AND(C223='Input Data'!$B$23*12,'Input Data'!$E$23&gt;'Input Data'!$B$23),D223+D223*B223/12,IF('Input Data'!$C$23="FRM",-PMT($B$3/12,'Input Data'!$E$23*12,$D$3),IF($A223,-PMT(B223/12,('Input Data'!$E$23*12)-C223+1,D223),E222))))</f>
        <v>0</v>
      </c>
      <c r="F223" s="18">
        <f t="shared" si="16"/>
        <v>0</v>
      </c>
      <c r="G223" s="18">
        <f>IF(C223&gt;'Input Data'!$B$23*12,0,D223*B223/12)</f>
        <v>0</v>
      </c>
      <c r="H223" s="18">
        <f t="shared" si="15"/>
        <v>0</v>
      </c>
      <c r="I223" s="18">
        <f t="shared" si="17"/>
        <v>0</v>
      </c>
    </row>
    <row r="224" spans="1:9" x14ac:dyDescent="0.25">
      <c r="A224" t="b">
        <f>IF(('Input Data'!$C$23)="FRM", FALSE, ISNUMBER(MATCH(C224,'Input Data'!$M$18:$M$30,0)))</f>
        <v>0</v>
      </c>
      <c r="B224" s="8">
        <f>IF($A224, _xlfn.XLOOKUP(C224,'Input Data'!$M$17:$M$29,'Input Data'!$N$17:$N$29),$B223)</f>
        <v>6.5000000000000002E-2</v>
      </c>
      <c r="C224" s="10">
        <f t="shared" si="18"/>
        <v>222</v>
      </c>
      <c r="D224" s="18">
        <f t="shared" si="19"/>
        <v>0</v>
      </c>
      <c r="E224" s="18">
        <f>IF(OR(D224&lt;=0,C224&gt;'Input Data'!$B$23*12),0,IF(AND(C224='Input Data'!$B$23*12,'Input Data'!$E$23&gt;'Input Data'!$B$23),D224+D224*B224/12,IF('Input Data'!$C$23="FRM",-PMT($B$3/12,'Input Data'!$E$23*12,$D$3),IF($A224,-PMT(B224/12,('Input Data'!$E$23*12)-C224+1,D224),E223))))</f>
        <v>0</v>
      </c>
      <c r="F224" s="18">
        <f t="shared" si="16"/>
        <v>0</v>
      </c>
      <c r="G224" s="18">
        <f>IF(C224&gt;'Input Data'!$B$23*12,0,D224*B224/12)</f>
        <v>0</v>
      </c>
      <c r="H224" s="18">
        <f t="shared" si="15"/>
        <v>0</v>
      </c>
      <c r="I224" s="18">
        <f t="shared" si="17"/>
        <v>0</v>
      </c>
    </row>
    <row r="225" spans="1:9" x14ac:dyDescent="0.25">
      <c r="A225" t="b">
        <f>IF(('Input Data'!$C$23)="FRM", FALSE, ISNUMBER(MATCH(C225,'Input Data'!$M$18:$M$30,0)))</f>
        <v>0</v>
      </c>
      <c r="B225" s="8">
        <f>IF($A225, _xlfn.XLOOKUP(C225,'Input Data'!$M$17:$M$29,'Input Data'!$N$17:$N$29),$B224)</f>
        <v>6.5000000000000002E-2</v>
      </c>
      <c r="C225" s="10">
        <f t="shared" si="18"/>
        <v>223</v>
      </c>
      <c r="D225" s="18">
        <f t="shared" si="19"/>
        <v>0</v>
      </c>
      <c r="E225" s="18">
        <f>IF(OR(D225&lt;=0,C225&gt;'Input Data'!$B$23*12),0,IF(AND(C225='Input Data'!$B$23*12,'Input Data'!$E$23&gt;'Input Data'!$B$23),D225+D225*B225/12,IF('Input Data'!$C$23="FRM",-PMT($B$3/12,'Input Data'!$E$23*12,$D$3),IF($A225,-PMT(B225/12,('Input Data'!$E$23*12)-C225+1,D225),E224))))</f>
        <v>0</v>
      </c>
      <c r="F225" s="18">
        <f t="shared" si="16"/>
        <v>0</v>
      </c>
      <c r="G225" s="18">
        <f>IF(C225&gt;'Input Data'!$B$23*12,0,D225*B225/12)</f>
        <v>0</v>
      </c>
      <c r="H225" s="18">
        <f t="shared" si="15"/>
        <v>0</v>
      </c>
      <c r="I225" s="18">
        <f t="shared" si="17"/>
        <v>0</v>
      </c>
    </row>
    <row r="226" spans="1:9" x14ac:dyDescent="0.25">
      <c r="A226" t="b">
        <f>IF(('Input Data'!$C$23)="FRM", FALSE, ISNUMBER(MATCH(C226,'Input Data'!$M$18:$M$30,0)))</f>
        <v>0</v>
      </c>
      <c r="B226" s="8">
        <f>IF($A226, _xlfn.XLOOKUP(C226,'Input Data'!$M$17:$M$29,'Input Data'!$N$17:$N$29),$B225)</f>
        <v>6.5000000000000002E-2</v>
      </c>
      <c r="C226" s="10">
        <f t="shared" si="18"/>
        <v>224</v>
      </c>
      <c r="D226" s="18">
        <f t="shared" si="19"/>
        <v>0</v>
      </c>
      <c r="E226" s="18">
        <f>IF(OR(D226&lt;=0,C226&gt;'Input Data'!$B$23*12),0,IF(AND(C226='Input Data'!$B$23*12,'Input Data'!$E$23&gt;'Input Data'!$B$23),D226+D226*B226/12,IF('Input Data'!$C$23="FRM",-PMT($B$3/12,'Input Data'!$E$23*12,$D$3),IF($A226,-PMT(B226/12,('Input Data'!$E$23*12)-C226+1,D226),E225))))</f>
        <v>0</v>
      </c>
      <c r="F226" s="18">
        <f t="shared" si="16"/>
        <v>0</v>
      </c>
      <c r="G226" s="18">
        <f>IF(C226&gt;'Input Data'!$B$23*12,0,D226*B226/12)</f>
        <v>0</v>
      </c>
      <c r="H226" s="18">
        <f t="shared" si="15"/>
        <v>0</v>
      </c>
      <c r="I226" s="18">
        <f t="shared" si="17"/>
        <v>0</v>
      </c>
    </row>
    <row r="227" spans="1:9" x14ac:dyDescent="0.25">
      <c r="A227" t="b">
        <f>IF(('Input Data'!$C$23)="FRM", FALSE, ISNUMBER(MATCH(C227,'Input Data'!$M$18:$M$30,0)))</f>
        <v>0</v>
      </c>
      <c r="B227" s="8">
        <f>IF($A227, _xlfn.XLOOKUP(C227,'Input Data'!$M$17:$M$29,'Input Data'!$N$17:$N$29),$B226)</f>
        <v>6.5000000000000002E-2</v>
      </c>
      <c r="C227" s="10">
        <f t="shared" si="18"/>
        <v>225</v>
      </c>
      <c r="D227" s="18">
        <f t="shared" si="19"/>
        <v>0</v>
      </c>
      <c r="E227" s="18">
        <f>IF(OR(D227&lt;=0,C227&gt;'Input Data'!$B$23*12),0,IF(AND(C227='Input Data'!$B$23*12,'Input Data'!$E$23&gt;'Input Data'!$B$23),D227+D227*B227/12,IF('Input Data'!$C$23="FRM",-PMT($B$3/12,'Input Data'!$E$23*12,$D$3),IF($A227,-PMT(B227/12,('Input Data'!$E$23*12)-C227+1,D227),E226))))</f>
        <v>0</v>
      </c>
      <c r="F227" s="18">
        <f t="shared" si="16"/>
        <v>0</v>
      </c>
      <c r="G227" s="18">
        <f>IF(C227&gt;'Input Data'!$B$23*12,0,D227*B227/12)</f>
        <v>0</v>
      </c>
      <c r="H227" s="18">
        <f t="shared" si="15"/>
        <v>0</v>
      </c>
      <c r="I227" s="18">
        <f t="shared" si="17"/>
        <v>0</v>
      </c>
    </row>
    <row r="228" spans="1:9" x14ac:dyDescent="0.25">
      <c r="A228" t="b">
        <f>IF(('Input Data'!$C$23)="FRM", FALSE, ISNUMBER(MATCH(C228,'Input Data'!$M$18:$M$30,0)))</f>
        <v>0</v>
      </c>
      <c r="B228" s="8">
        <f>IF($A228, _xlfn.XLOOKUP(C228,'Input Data'!$M$17:$M$29,'Input Data'!$N$17:$N$29),$B227)</f>
        <v>6.5000000000000002E-2</v>
      </c>
      <c r="C228" s="10">
        <f t="shared" si="18"/>
        <v>226</v>
      </c>
      <c r="D228" s="18">
        <f t="shared" si="19"/>
        <v>0</v>
      </c>
      <c r="E228" s="18">
        <f>IF(OR(D228&lt;=0,C228&gt;'Input Data'!$B$23*12),0,IF(AND(C228='Input Data'!$B$23*12,'Input Data'!$E$23&gt;'Input Data'!$B$23),D228+D228*B228/12,IF('Input Data'!$C$23="FRM",-PMT($B$3/12,'Input Data'!$E$23*12,$D$3),IF($A228,-PMT(B228/12,('Input Data'!$E$23*12)-C228+1,D228),E227))))</f>
        <v>0</v>
      </c>
      <c r="F228" s="18">
        <f t="shared" si="16"/>
        <v>0</v>
      </c>
      <c r="G228" s="18">
        <f>IF(C228&gt;'Input Data'!$B$23*12,0,D228*B228/12)</f>
        <v>0</v>
      </c>
      <c r="H228" s="18">
        <f t="shared" si="15"/>
        <v>0</v>
      </c>
      <c r="I228" s="18">
        <f t="shared" si="17"/>
        <v>0</v>
      </c>
    </row>
    <row r="229" spans="1:9" x14ac:dyDescent="0.25">
      <c r="A229" t="b">
        <f>IF(('Input Data'!$C$23)="FRM", FALSE, ISNUMBER(MATCH(C229,'Input Data'!$M$18:$M$30,0)))</f>
        <v>0</v>
      </c>
      <c r="B229" s="8">
        <f>IF($A229, _xlfn.XLOOKUP(C229,'Input Data'!$M$17:$M$29,'Input Data'!$N$17:$N$29),$B228)</f>
        <v>6.5000000000000002E-2</v>
      </c>
      <c r="C229" s="10">
        <f t="shared" si="18"/>
        <v>227</v>
      </c>
      <c r="D229" s="18">
        <f t="shared" si="19"/>
        <v>0</v>
      </c>
      <c r="E229" s="18">
        <f>IF(OR(D229&lt;=0,C229&gt;'Input Data'!$B$23*12),0,IF(AND(C229='Input Data'!$B$23*12,'Input Data'!$E$23&gt;'Input Data'!$B$23),D229+D229*B229/12,IF('Input Data'!$C$23="FRM",-PMT($B$3/12,'Input Data'!$E$23*12,$D$3),IF($A229,-PMT(B229/12,('Input Data'!$E$23*12)-C229+1,D229),E228))))</f>
        <v>0</v>
      </c>
      <c r="F229" s="18">
        <f t="shared" si="16"/>
        <v>0</v>
      </c>
      <c r="G229" s="18">
        <f>IF(C229&gt;'Input Data'!$B$23*12,0,D229*B229/12)</f>
        <v>0</v>
      </c>
      <c r="H229" s="18">
        <f t="shared" si="15"/>
        <v>0</v>
      </c>
      <c r="I229" s="18">
        <f t="shared" si="17"/>
        <v>0</v>
      </c>
    </row>
    <row r="230" spans="1:9" x14ac:dyDescent="0.25">
      <c r="A230" t="b">
        <f>IF(('Input Data'!$C$23)="FRM", FALSE, ISNUMBER(MATCH(C230,'Input Data'!$M$18:$M$30,0)))</f>
        <v>0</v>
      </c>
      <c r="B230" s="8">
        <f>IF($A230, _xlfn.XLOOKUP(C230,'Input Data'!$M$17:$M$29,'Input Data'!$N$17:$N$29),$B229)</f>
        <v>6.5000000000000002E-2</v>
      </c>
      <c r="C230" s="10">
        <f t="shared" si="18"/>
        <v>228</v>
      </c>
      <c r="D230" s="18">
        <f t="shared" si="19"/>
        <v>0</v>
      </c>
      <c r="E230" s="18">
        <f>IF(OR(D230&lt;=0,C230&gt;'Input Data'!$B$23*12),0,IF(AND(C230='Input Data'!$B$23*12,'Input Data'!$E$23&gt;'Input Data'!$B$23),D230+D230*B230/12,IF('Input Data'!$C$23="FRM",-PMT($B$3/12,'Input Data'!$E$23*12,$D$3),IF($A230,-PMT(B230/12,('Input Data'!$E$23*12)-C230+1,D230),E229))))</f>
        <v>0</v>
      </c>
      <c r="F230" s="18">
        <f t="shared" si="16"/>
        <v>0</v>
      </c>
      <c r="G230" s="18">
        <f>IF(C230&gt;'Input Data'!$B$23*12,0,D230*B230/12)</f>
        <v>0</v>
      </c>
      <c r="H230" s="18">
        <f t="shared" si="15"/>
        <v>0</v>
      </c>
      <c r="I230" s="18">
        <f t="shared" si="17"/>
        <v>0</v>
      </c>
    </row>
    <row r="231" spans="1:9" x14ac:dyDescent="0.25">
      <c r="A231" t="b">
        <f>IF(('Input Data'!$C$23)="FRM", FALSE, ISNUMBER(MATCH(C231,'Input Data'!$M$18:$M$30,0)))</f>
        <v>0</v>
      </c>
      <c r="B231" s="8">
        <f>IF($A231, _xlfn.XLOOKUP(C231,'Input Data'!$M$17:$M$29,'Input Data'!$N$17:$N$29),$B230)</f>
        <v>6.5000000000000002E-2</v>
      </c>
      <c r="C231" s="10">
        <f t="shared" si="18"/>
        <v>229</v>
      </c>
      <c r="D231" s="18">
        <f t="shared" si="19"/>
        <v>0</v>
      </c>
      <c r="E231" s="18">
        <f>IF(OR(D231&lt;=0,C231&gt;'Input Data'!$B$23*12),0,IF(AND(C231='Input Data'!$B$23*12,'Input Data'!$E$23&gt;'Input Data'!$B$23),D231+D231*B231/12,IF('Input Data'!$C$23="FRM",-PMT($B$3/12,'Input Data'!$E$23*12,$D$3),IF($A231,-PMT(B231/12,('Input Data'!$E$23*12)-C231+1,D231),E230))))</f>
        <v>0</v>
      </c>
      <c r="F231" s="18">
        <f t="shared" si="16"/>
        <v>0</v>
      </c>
      <c r="G231" s="18">
        <f>IF(C231&gt;'Input Data'!$B$23*12,0,D231*B231/12)</f>
        <v>0</v>
      </c>
      <c r="H231" s="18">
        <f t="shared" si="15"/>
        <v>0</v>
      </c>
      <c r="I231" s="18">
        <f t="shared" si="17"/>
        <v>0</v>
      </c>
    </row>
    <row r="232" spans="1:9" x14ac:dyDescent="0.25">
      <c r="A232" t="b">
        <f>IF(('Input Data'!$C$23)="FRM", FALSE, ISNUMBER(MATCH(C232,'Input Data'!$M$18:$M$30,0)))</f>
        <v>0</v>
      </c>
      <c r="B232" s="8">
        <f>IF($A232, _xlfn.XLOOKUP(C232,'Input Data'!$M$17:$M$29,'Input Data'!$N$17:$N$29),$B231)</f>
        <v>6.5000000000000002E-2</v>
      </c>
      <c r="C232" s="10">
        <f t="shared" si="18"/>
        <v>230</v>
      </c>
      <c r="D232" s="18">
        <f t="shared" si="19"/>
        <v>0</v>
      </c>
      <c r="E232" s="18">
        <f>IF(OR(D232&lt;=0,C232&gt;'Input Data'!$B$23*12),0,IF(AND(C232='Input Data'!$B$23*12,'Input Data'!$E$23&gt;'Input Data'!$B$23),D232+D232*B232/12,IF('Input Data'!$C$23="FRM",-PMT($B$3/12,'Input Data'!$E$23*12,$D$3),IF($A232,-PMT(B232/12,('Input Data'!$E$23*12)-C232+1,D232),E231))))</f>
        <v>0</v>
      </c>
      <c r="F232" s="18">
        <f t="shared" si="16"/>
        <v>0</v>
      </c>
      <c r="G232" s="18">
        <f>IF(C232&gt;'Input Data'!$B$23*12,0,D232*B232/12)</f>
        <v>0</v>
      </c>
      <c r="H232" s="18">
        <f t="shared" si="15"/>
        <v>0</v>
      </c>
      <c r="I232" s="18">
        <f t="shared" si="17"/>
        <v>0</v>
      </c>
    </row>
    <row r="233" spans="1:9" x14ac:dyDescent="0.25">
      <c r="A233" t="b">
        <f>IF(('Input Data'!$C$23)="FRM", FALSE, ISNUMBER(MATCH(C233,'Input Data'!$M$18:$M$30,0)))</f>
        <v>0</v>
      </c>
      <c r="B233" s="8">
        <f>IF($A233, _xlfn.XLOOKUP(C233,'Input Data'!$M$17:$M$29,'Input Data'!$N$17:$N$29),$B232)</f>
        <v>6.5000000000000002E-2</v>
      </c>
      <c r="C233" s="10">
        <f t="shared" si="18"/>
        <v>231</v>
      </c>
      <c r="D233" s="18">
        <f t="shared" si="19"/>
        <v>0</v>
      </c>
      <c r="E233" s="18">
        <f>IF(OR(D233&lt;=0,C233&gt;'Input Data'!$B$23*12),0,IF(AND(C233='Input Data'!$B$23*12,'Input Data'!$E$23&gt;'Input Data'!$B$23),D233+D233*B233/12,IF('Input Data'!$C$23="FRM",-PMT($B$3/12,'Input Data'!$E$23*12,$D$3),IF($A233,-PMT(B233/12,('Input Data'!$E$23*12)-C233+1,D233),E232))))</f>
        <v>0</v>
      </c>
      <c r="F233" s="18">
        <f t="shared" si="16"/>
        <v>0</v>
      </c>
      <c r="G233" s="18">
        <f>IF(C233&gt;'Input Data'!$B$23*12,0,D233*B233/12)</f>
        <v>0</v>
      </c>
      <c r="H233" s="18">
        <f t="shared" si="15"/>
        <v>0</v>
      </c>
      <c r="I233" s="18">
        <f t="shared" si="17"/>
        <v>0</v>
      </c>
    </row>
    <row r="234" spans="1:9" x14ac:dyDescent="0.25">
      <c r="A234" t="b">
        <f>IF(('Input Data'!$C$23)="FRM", FALSE, ISNUMBER(MATCH(C234,'Input Data'!$M$18:$M$30,0)))</f>
        <v>0</v>
      </c>
      <c r="B234" s="8">
        <f>IF($A234, _xlfn.XLOOKUP(C234,'Input Data'!$M$17:$M$29,'Input Data'!$N$17:$N$29),$B233)</f>
        <v>6.5000000000000002E-2</v>
      </c>
      <c r="C234" s="10">
        <f t="shared" si="18"/>
        <v>232</v>
      </c>
      <c r="D234" s="18">
        <f t="shared" si="19"/>
        <v>0</v>
      </c>
      <c r="E234" s="18">
        <f>IF(OR(D234&lt;=0,C234&gt;'Input Data'!$B$23*12),0,IF(AND(C234='Input Data'!$B$23*12,'Input Data'!$E$23&gt;'Input Data'!$B$23),D234+D234*B234/12,IF('Input Data'!$C$23="FRM",-PMT($B$3/12,'Input Data'!$E$23*12,$D$3),IF($A234,-PMT(B234/12,('Input Data'!$E$23*12)-C234+1,D234),E233))))</f>
        <v>0</v>
      </c>
      <c r="F234" s="18">
        <f t="shared" si="16"/>
        <v>0</v>
      </c>
      <c r="G234" s="18">
        <f>IF(C234&gt;'Input Data'!$B$23*12,0,D234*B234/12)</f>
        <v>0</v>
      </c>
      <c r="H234" s="18">
        <f t="shared" si="15"/>
        <v>0</v>
      </c>
      <c r="I234" s="18">
        <f t="shared" si="17"/>
        <v>0</v>
      </c>
    </row>
    <row r="235" spans="1:9" x14ac:dyDescent="0.25">
      <c r="A235" t="b">
        <f>IF(('Input Data'!$C$23)="FRM", FALSE, ISNUMBER(MATCH(C235,'Input Data'!$M$18:$M$30,0)))</f>
        <v>0</v>
      </c>
      <c r="B235" s="8">
        <f>IF($A235, _xlfn.XLOOKUP(C235,'Input Data'!$M$17:$M$29,'Input Data'!$N$17:$N$29),$B234)</f>
        <v>6.5000000000000002E-2</v>
      </c>
      <c r="C235" s="10">
        <f t="shared" si="18"/>
        <v>233</v>
      </c>
      <c r="D235" s="18">
        <f t="shared" si="19"/>
        <v>0</v>
      </c>
      <c r="E235" s="18">
        <f>IF(OR(D235&lt;=0,C235&gt;'Input Data'!$B$23*12),0,IF(AND(C235='Input Data'!$B$23*12,'Input Data'!$E$23&gt;'Input Data'!$B$23),D235+D235*B235/12,IF('Input Data'!$C$23="FRM",-PMT($B$3/12,'Input Data'!$E$23*12,$D$3),IF($A235,-PMT(B235/12,('Input Data'!$E$23*12)-C235+1,D235),E234))))</f>
        <v>0</v>
      </c>
      <c r="F235" s="18">
        <f t="shared" si="16"/>
        <v>0</v>
      </c>
      <c r="G235" s="18">
        <f>IF(C235&gt;'Input Data'!$B$23*12,0,D235*B235/12)</f>
        <v>0</v>
      </c>
      <c r="H235" s="18">
        <f t="shared" si="15"/>
        <v>0</v>
      </c>
      <c r="I235" s="18">
        <f t="shared" si="17"/>
        <v>0</v>
      </c>
    </row>
    <row r="236" spans="1:9" x14ac:dyDescent="0.25">
      <c r="A236" t="b">
        <f>IF(('Input Data'!$C$23)="FRM", FALSE, ISNUMBER(MATCH(C236,'Input Data'!$M$18:$M$30,0)))</f>
        <v>0</v>
      </c>
      <c r="B236" s="8">
        <f>IF($A236, _xlfn.XLOOKUP(C236,'Input Data'!$M$17:$M$29,'Input Data'!$N$17:$N$29),$B235)</f>
        <v>6.5000000000000002E-2</v>
      </c>
      <c r="C236" s="10">
        <f t="shared" si="18"/>
        <v>234</v>
      </c>
      <c r="D236" s="18">
        <f t="shared" si="19"/>
        <v>0</v>
      </c>
      <c r="E236" s="18">
        <f>IF(OR(D236&lt;=0,C236&gt;'Input Data'!$B$23*12),0,IF(AND(C236='Input Data'!$B$23*12,'Input Data'!$E$23&gt;'Input Data'!$B$23),D236+D236*B236/12,IF('Input Data'!$C$23="FRM",-PMT($B$3/12,'Input Data'!$E$23*12,$D$3),IF($A236,-PMT(B236/12,('Input Data'!$E$23*12)-C236+1,D236),E235))))</f>
        <v>0</v>
      </c>
      <c r="F236" s="18">
        <f t="shared" si="16"/>
        <v>0</v>
      </c>
      <c r="G236" s="18">
        <f>IF(C236&gt;'Input Data'!$B$23*12,0,D236*B236/12)</f>
        <v>0</v>
      </c>
      <c r="H236" s="18">
        <f t="shared" si="15"/>
        <v>0</v>
      </c>
      <c r="I236" s="18">
        <f t="shared" si="17"/>
        <v>0</v>
      </c>
    </row>
    <row r="237" spans="1:9" x14ac:dyDescent="0.25">
      <c r="A237" t="b">
        <f>IF(('Input Data'!$C$23)="FRM", FALSE, ISNUMBER(MATCH(C237,'Input Data'!$M$18:$M$30,0)))</f>
        <v>0</v>
      </c>
      <c r="B237" s="8">
        <f>IF($A237, _xlfn.XLOOKUP(C237,'Input Data'!$M$17:$M$29,'Input Data'!$N$17:$N$29),$B236)</f>
        <v>6.5000000000000002E-2</v>
      </c>
      <c r="C237" s="10">
        <f t="shared" si="18"/>
        <v>235</v>
      </c>
      <c r="D237" s="18">
        <f t="shared" si="19"/>
        <v>0</v>
      </c>
      <c r="E237" s="18">
        <f>IF(OR(D237&lt;=0,C237&gt;'Input Data'!$B$23*12),0,IF(AND(C237='Input Data'!$B$23*12,'Input Data'!$E$23&gt;'Input Data'!$B$23),D237+D237*B237/12,IF('Input Data'!$C$23="FRM",-PMT($B$3/12,'Input Data'!$E$23*12,$D$3),IF($A237,-PMT(B237/12,('Input Data'!$E$23*12)-C237+1,D237),E236))))</f>
        <v>0</v>
      </c>
      <c r="F237" s="18">
        <f t="shared" si="16"/>
        <v>0</v>
      </c>
      <c r="G237" s="18">
        <f>IF(C237&gt;'Input Data'!$B$23*12,0,D237*B237/12)</f>
        <v>0</v>
      </c>
      <c r="H237" s="18">
        <f t="shared" si="15"/>
        <v>0</v>
      </c>
      <c r="I237" s="18">
        <f t="shared" si="17"/>
        <v>0</v>
      </c>
    </row>
    <row r="238" spans="1:9" x14ac:dyDescent="0.25">
      <c r="A238" t="b">
        <f>IF(('Input Data'!$C$23)="FRM", FALSE, ISNUMBER(MATCH(C238,'Input Data'!$M$18:$M$30,0)))</f>
        <v>0</v>
      </c>
      <c r="B238" s="8">
        <f>IF($A238, _xlfn.XLOOKUP(C238,'Input Data'!$M$17:$M$29,'Input Data'!$N$17:$N$29),$B237)</f>
        <v>6.5000000000000002E-2</v>
      </c>
      <c r="C238" s="10">
        <f t="shared" si="18"/>
        <v>236</v>
      </c>
      <c r="D238" s="18">
        <f t="shared" si="19"/>
        <v>0</v>
      </c>
      <c r="E238" s="18">
        <f>IF(OR(D238&lt;=0,C238&gt;'Input Data'!$B$23*12),0,IF(AND(C238='Input Data'!$B$23*12,'Input Data'!$E$23&gt;'Input Data'!$B$23),D238+D238*B238/12,IF('Input Data'!$C$23="FRM",-PMT($B$3/12,'Input Data'!$E$23*12,$D$3),IF($A238,-PMT(B238/12,('Input Data'!$E$23*12)-C238+1,D238),E237))))</f>
        <v>0</v>
      </c>
      <c r="F238" s="18">
        <f t="shared" si="16"/>
        <v>0</v>
      </c>
      <c r="G238" s="18">
        <f>IF(C238&gt;'Input Data'!$B$23*12,0,D238*B238/12)</f>
        <v>0</v>
      </c>
      <c r="H238" s="18">
        <f t="shared" si="15"/>
        <v>0</v>
      </c>
      <c r="I238" s="18">
        <f t="shared" si="17"/>
        <v>0</v>
      </c>
    </row>
    <row r="239" spans="1:9" x14ac:dyDescent="0.25">
      <c r="A239" t="b">
        <f>IF(('Input Data'!$C$23)="FRM", FALSE, ISNUMBER(MATCH(C239,'Input Data'!$M$18:$M$30,0)))</f>
        <v>0</v>
      </c>
      <c r="B239" s="8">
        <f>IF($A239, _xlfn.XLOOKUP(C239,'Input Data'!$M$17:$M$29,'Input Data'!$N$17:$N$29),$B238)</f>
        <v>6.5000000000000002E-2</v>
      </c>
      <c r="C239" s="10">
        <f t="shared" si="18"/>
        <v>237</v>
      </c>
      <c r="D239" s="18">
        <f t="shared" si="19"/>
        <v>0</v>
      </c>
      <c r="E239" s="18">
        <f>IF(OR(D239&lt;=0,C239&gt;'Input Data'!$B$23*12),0,IF(AND(C239='Input Data'!$B$23*12,'Input Data'!$E$23&gt;'Input Data'!$B$23),D239+D239*B239/12,IF('Input Data'!$C$23="FRM",-PMT($B$3/12,'Input Data'!$E$23*12,$D$3),IF($A239,-PMT(B239/12,('Input Data'!$E$23*12)-C239+1,D239),E238))))</f>
        <v>0</v>
      </c>
      <c r="F239" s="18">
        <f t="shared" si="16"/>
        <v>0</v>
      </c>
      <c r="G239" s="18">
        <f>IF(C239&gt;'Input Data'!$B$23*12,0,D239*B239/12)</f>
        <v>0</v>
      </c>
      <c r="H239" s="18">
        <f t="shared" si="15"/>
        <v>0</v>
      </c>
      <c r="I239" s="18">
        <f t="shared" si="17"/>
        <v>0</v>
      </c>
    </row>
    <row r="240" spans="1:9" x14ac:dyDescent="0.25">
      <c r="A240" t="b">
        <f>IF(('Input Data'!$C$23)="FRM", FALSE, ISNUMBER(MATCH(C240,'Input Data'!$M$18:$M$30,0)))</f>
        <v>0</v>
      </c>
      <c r="B240" s="8">
        <f>IF($A240, _xlfn.XLOOKUP(C240,'Input Data'!$M$17:$M$29,'Input Data'!$N$17:$N$29),$B239)</f>
        <v>6.5000000000000002E-2</v>
      </c>
      <c r="C240" s="10">
        <f t="shared" si="18"/>
        <v>238</v>
      </c>
      <c r="D240" s="18">
        <f t="shared" si="19"/>
        <v>0</v>
      </c>
      <c r="E240" s="18">
        <f>IF(OR(D240&lt;=0,C240&gt;'Input Data'!$B$23*12),0,IF(AND(C240='Input Data'!$B$23*12,'Input Data'!$E$23&gt;'Input Data'!$B$23),D240+D240*B240/12,IF('Input Data'!$C$23="FRM",-PMT($B$3/12,'Input Data'!$E$23*12,$D$3),IF($A240,-PMT(B240/12,('Input Data'!$E$23*12)-C240+1,D240),E239))))</f>
        <v>0</v>
      </c>
      <c r="F240" s="18">
        <f t="shared" si="16"/>
        <v>0</v>
      </c>
      <c r="G240" s="18">
        <f>IF(C240&gt;'Input Data'!$B$23*12,0,D240*B240/12)</f>
        <v>0</v>
      </c>
      <c r="H240" s="18">
        <f t="shared" si="15"/>
        <v>0</v>
      </c>
      <c r="I240" s="18">
        <f t="shared" si="17"/>
        <v>0</v>
      </c>
    </row>
    <row r="241" spans="1:9" x14ac:dyDescent="0.25">
      <c r="A241" t="b">
        <f>IF(('Input Data'!$C$23)="FRM", FALSE, ISNUMBER(MATCH(C241,'Input Data'!$M$18:$M$30,0)))</f>
        <v>0</v>
      </c>
      <c r="B241" s="8">
        <f>IF($A241, _xlfn.XLOOKUP(C241,'Input Data'!$M$17:$M$29,'Input Data'!$N$17:$N$29),$B240)</f>
        <v>6.5000000000000002E-2</v>
      </c>
      <c r="C241" s="10">
        <f t="shared" si="18"/>
        <v>239</v>
      </c>
      <c r="D241" s="18">
        <f t="shared" si="19"/>
        <v>0</v>
      </c>
      <c r="E241" s="18">
        <f>IF(OR(D241&lt;=0,C241&gt;'Input Data'!$B$23*12),0,IF(AND(C241='Input Data'!$B$23*12,'Input Data'!$E$23&gt;'Input Data'!$B$23),D241+D241*B241/12,IF('Input Data'!$C$23="FRM",-PMT($B$3/12,'Input Data'!$E$23*12,$D$3),IF($A241,-PMT(B241/12,('Input Data'!$E$23*12)-C241+1,D241),E240))))</f>
        <v>0</v>
      </c>
      <c r="F241" s="18">
        <f t="shared" si="16"/>
        <v>0</v>
      </c>
      <c r="G241" s="18">
        <f>IF(C241&gt;'Input Data'!$B$23*12,0,D241*B241/12)</f>
        <v>0</v>
      </c>
      <c r="H241" s="18">
        <f t="shared" si="15"/>
        <v>0</v>
      </c>
      <c r="I241" s="18">
        <f t="shared" si="17"/>
        <v>0</v>
      </c>
    </row>
    <row r="242" spans="1:9" x14ac:dyDescent="0.25">
      <c r="A242" t="b">
        <f>IF(('Input Data'!$C$23)="FRM", FALSE, ISNUMBER(MATCH(C242,'Input Data'!$M$18:$M$30,0)))</f>
        <v>0</v>
      </c>
      <c r="B242" s="8">
        <f>IF($A242, _xlfn.XLOOKUP(C242,'Input Data'!$M$17:$M$29,'Input Data'!$N$17:$N$29),$B241)</f>
        <v>6.5000000000000002E-2</v>
      </c>
      <c r="C242" s="10">
        <f t="shared" si="18"/>
        <v>240</v>
      </c>
      <c r="D242" s="18">
        <f t="shared" si="19"/>
        <v>0</v>
      </c>
      <c r="E242" s="18">
        <f>IF(OR(D242&lt;=0,C242&gt;'Input Data'!$B$23*12),0,IF(AND(C242='Input Data'!$B$23*12,'Input Data'!$E$23&gt;'Input Data'!$B$23),D242+D242*B242/12,IF('Input Data'!$C$23="FRM",-PMT($B$3/12,'Input Data'!$E$23*12,$D$3),IF($A242,-PMT(B242/12,('Input Data'!$E$23*12)-C242+1,D242),E241))))</f>
        <v>0</v>
      </c>
      <c r="F242" s="18">
        <f t="shared" si="16"/>
        <v>0</v>
      </c>
      <c r="G242" s="18">
        <f>IF(C242&gt;'Input Data'!$B$23*12,0,D242*B242/12)</f>
        <v>0</v>
      </c>
      <c r="H242" s="18">
        <f t="shared" si="15"/>
        <v>0</v>
      </c>
      <c r="I242" s="18">
        <f t="shared" si="17"/>
        <v>0</v>
      </c>
    </row>
    <row r="243" spans="1:9" x14ac:dyDescent="0.25">
      <c r="A243" t="b">
        <f>IF(('Input Data'!$C$23)="FRM", FALSE, ISNUMBER(MATCH(C243,'Input Data'!$M$18:$M$30,0)))</f>
        <v>0</v>
      </c>
      <c r="B243" s="8">
        <f>IF($A243, _xlfn.XLOOKUP(C243,'Input Data'!$M$17:$M$29,'Input Data'!$N$17:$N$29),$B242)</f>
        <v>6.5000000000000002E-2</v>
      </c>
      <c r="C243" s="10">
        <f t="shared" si="18"/>
        <v>241</v>
      </c>
      <c r="D243" s="18">
        <f t="shared" si="19"/>
        <v>0</v>
      </c>
      <c r="E243" s="18">
        <f>IF(OR(D243&lt;=0,C243&gt;'Input Data'!$B$23*12),0,IF(AND(C243='Input Data'!$B$23*12,'Input Data'!$E$23&gt;'Input Data'!$B$23),D243+D243*B243/12,IF('Input Data'!$C$23="FRM",-PMT($B$3/12,'Input Data'!$E$23*12,$D$3),IF($A243,-PMT(B243/12,('Input Data'!$E$23*12)-C243+1,D243),E242))))</f>
        <v>0</v>
      </c>
      <c r="F243" s="18">
        <f t="shared" si="16"/>
        <v>0</v>
      </c>
      <c r="G243" s="18">
        <f>IF(C243&gt;'Input Data'!$B$23*12,0,D243*B243/12)</f>
        <v>0</v>
      </c>
      <c r="H243" s="18">
        <f t="shared" si="15"/>
        <v>0</v>
      </c>
      <c r="I243" s="18">
        <f t="shared" si="17"/>
        <v>0</v>
      </c>
    </row>
    <row r="244" spans="1:9" x14ac:dyDescent="0.25">
      <c r="A244" t="b">
        <f>IF(('Input Data'!$C$23)="FRM", FALSE, ISNUMBER(MATCH(C244,'Input Data'!$M$18:$M$30,0)))</f>
        <v>0</v>
      </c>
      <c r="B244" s="8">
        <f>IF($A244, _xlfn.XLOOKUP(C244,'Input Data'!$M$17:$M$29,'Input Data'!$N$17:$N$29),$B243)</f>
        <v>6.5000000000000002E-2</v>
      </c>
      <c r="C244" s="10">
        <f t="shared" si="18"/>
        <v>242</v>
      </c>
      <c r="D244" s="18">
        <f t="shared" si="19"/>
        <v>0</v>
      </c>
      <c r="E244" s="18">
        <f>IF(OR(D244&lt;=0,C244&gt;'Input Data'!$B$23*12),0,IF(AND(C244='Input Data'!$B$23*12,'Input Data'!$E$23&gt;'Input Data'!$B$23),D244+D244*B244/12,IF('Input Data'!$C$23="FRM",-PMT($B$3/12,'Input Data'!$E$23*12,$D$3),IF($A244,-PMT(B244/12,('Input Data'!$E$23*12)-C244+1,D244),E243))))</f>
        <v>0</v>
      </c>
      <c r="F244" s="18">
        <f t="shared" si="16"/>
        <v>0</v>
      </c>
      <c r="G244" s="18">
        <f>IF(C244&gt;'Input Data'!$B$23*12,0,D244*B244/12)</f>
        <v>0</v>
      </c>
      <c r="H244" s="18">
        <f t="shared" si="15"/>
        <v>0</v>
      </c>
      <c r="I244" s="18">
        <f t="shared" si="17"/>
        <v>0</v>
      </c>
    </row>
    <row r="245" spans="1:9" x14ac:dyDescent="0.25">
      <c r="A245" t="b">
        <f>IF(('Input Data'!$C$23)="FRM", FALSE, ISNUMBER(MATCH(C245,'Input Data'!$M$18:$M$30,0)))</f>
        <v>0</v>
      </c>
      <c r="B245" s="8">
        <f>IF($A245, _xlfn.XLOOKUP(C245,'Input Data'!$M$17:$M$29,'Input Data'!$N$17:$N$29),$B244)</f>
        <v>6.5000000000000002E-2</v>
      </c>
      <c r="C245" s="10">
        <f t="shared" si="18"/>
        <v>243</v>
      </c>
      <c r="D245" s="18">
        <f t="shared" si="19"/>
        <v>0</v>
      </c>
      <c r="E245" s="18">
        <f>IF(OR(D245&lt;=0,C245&gt;'Input Data'!$B$23*12),0,IF(AND(C245='Input Data'!$B$23*12,'Input Data'!$E$23&gt;'Input Data'!$B$23),D245+D245*B245/12,IF('Input Data'!$C$23="FRM",-PMT($B$3/12,'Input Data'!$E$23*12,$D$3),IF($A245,-PMT(B245/12,('Input Data'!$E$23*12)-C245+1,D245),E244))))</f>
        <v>0</v>
      </c>
      <c r="F245" s="18">
        <f t="shared" si="16"/>
        <v>0</v>
      </c>
      <c r="G245" s="18">
        <f>IF(C245&gt;'Input Data'!$B$23*12,0,D245*B245/12)</f>
        <v>0</v>
      </c>
      <c r="H245" s="18">
        <f t="shared" si="15"/>
        <v>0</v>
      </c>
      <c r="I245" s="18">
        <f t="shared" si="17"/>
        <v>0</v>
      </c>
    </row>
    <row r="246" spans="1:9" x14ac:dyDescent="0.25">
      <c r="A246" t="b">
        <f>IF(('Input Data'!$C$23)="FRM", FALSE, ISNUMBER(MATCH(C246,'Input Data'!$M$18:$M$30,0)))</f>
        <v>0</v>
      </c>
      <c r="B246" s="8">
        <f>IF($A246, _xlfn.XLOOKUP(C246,'Input Data'!$M$17:$M$29,'Input Data'!$N$17:$N$29),$B245)</f>
        <v>6.5000000000000002E-2</v>
      </c>
      <c r="C246" s="10">
        <f t="shared" si="18"/>
        <v>244</v>
      </c>
      <c r="D246" s="18">
        <f t="shared" si="19"/>
        <v>0</v>
      </c>
      <c r="E246" s="18">
        <f>IF(OR(D246&lt;=0,C246&gt;'Input Data'!$B$23*12),0,IF(AND(C246='Input Data'!$B$23*12,'Input Data'!$E$23&gt;'Input Data'!$B$23),D246+D246*B246/12,IF('Input Data'!$C$23="FRM",-PMT($B$3/12,'Input Data'!$E$23*12,$D$3),IF($A246,-PMT(B246/12,('Input Data'!$E$23*12)-C246+1,D246),E245))))</f>
        <v>0</v>
      </c>
      <c r="F246" s="18">
        <f t="shared" si="16"/>
        <v>0</v>
      </c>
      <c r="G246" s="18">
        <f>IF(C246&gt;'Input Data'!$B$23*12,0,D246*B246/12)</f>
        <v>0</v>
      </c>
      <c r="H246" s="18">
        <f t="shared" si="15"/>
        <v>0</v>
      </c>
      <c r="I246" s="18">
        <f t="shared" si="17"/>
        <v>0</v>
      </c>
    </row>
    <row r="247" spans="1:9" x14ac:dyDescent="0.25">
      <c r="A247" t="b">
        <f>IF(('Input Data'!$C$23)="FRM", FALSE, ISNUMBER(MATCH(C247,'Input Data'!$M$18:$M$30,0)))</f>
        <v>0</v>
      </c>
      <c r="B247" s="8">
        <f>IF($A247, _xlfn.XLOOKUP(C247,'Input Data'!$M$17:$M$29,'Input Data'!$N$17:$N$29),$B246)</f>
        <v>6.5000000000000002E-2</v>
      </c>
      <c r="C247" s="10">
        <f t="shared" si="18"/>
        <v>245</v>
      </c>
      <c r="D247" s="18">
        <f t="shared" si="19"/>
        <v>0</v>
      </c>
      <c r="E247" s="18">
        <f>IF(OR(D247&lt;=0,C247&gt;'Input Data'!$B$23*12),0,IF(AND(C247='Input Data'!$B$23*12,'Input Data'!$E$23&gt;'Input Data'!$B$23),D247+D247*B247/12,IF('Input Data'!$C$23="FRM",-PMT($B$3/12,'Input Data'!$E$23*12,$D$3),IF($A247,-PMT(B247/12,('Input Data'!$E$23*12)-C247+1,D247),E246))))</f>
        <v>0</v>
      </c>
      <c r="F247" s="18">
        <f t="shared" si="16"/>
        <v>0</v>
      </c>
      <c r="G247" s="18">
        <f>IF(C247&gt;'Input Data'!$B$23*12,0,D247*B247/12)</f>
        <v>0</v>
      </c>
      <c r="H247" s="18">
        <f t="shared" si="15"/>
        <v>0</v>
      </c>
      <c r="I247" s="18">
        <f t="shared" si="17"/>
        <v>0</v>
      </c>
    </row>
    <row r="248" spans="1:9" x14ac:dyDescent="0.25">
      <c r="A248" t="b">
        <f>IF(('Input Data'!$C$23)="FRM", FALSE, ISNUMBER(MATCH(C248,'Input Data'!$M$18:$M$30,0)))</f>
        <v>0</v>
      </c>
      <c r="B248" s="8">
        <f>IF($A248, _xlfn.XLOOKUP(C248,'Input Data'!$M$17:$M$29,'Input Data'!$N$17:$N$29),$B247)</f>
        <v>6.5000000000000002E-2</v>
      </c>
      <c r="C248" s="10">
        <f t="shared" si="18"/>
        <v>246</v>
      </c>
      <c r="D248" s="18">
        <f t="shared" si="19"/>
        <v>0</v>
      </c>
      <c r="E248" s="18">
        <f>IF(OR(D248&lt;=0,C248&gt;'Input Data'!$B$23*12),0,IF(AND(C248='Input Data'!$B$23*12,'Input Data'!$E$23&gt;'Input Data'!$B$23),D248+D248*B248/12,IF('Input Data'!$C$23="FRM",-PMT($B$3/12,'Input Data'!$E$23*12,$D$3),IF($A248,-PMT(B248/12,('Input Data'!$E$23*12)-C248+1,D248),E247))))</f>
        <v>0</v>
      </c>
      <c r="F248" s="18">
        <f t="shared" si="16"/>
        <v>0</v>
      </c>
      <c r="G248" s="18">
        <f>IF(C248&gt;'Input Data'!$B$23*12,0,D248*B248/12)</f>
        <v>0</v>
      </c>
      <c r="H248" s="18">
        <f t="shared" si="15"/>
        <v>0</v>
      </c>
      <c r="I248" s="18">
        <f t="shared" si="17"/>
        <v>0</v>
      </c>
    </row>
    <row r="249" spans="1:9" x14ac:dyDescent="0.25">
      <c r="A249" t="b">
        <f>IF(('Input Data'!$C$23)="FRM", FALSE, ISNUMBER(MATCH(C249,'Input Data'!$M$18:$M$30,0)))</f>
        <v>0</v>
      </c>
      <c r="B249" s="8">
        <f>IF($A249, _xlfn.XLOOKUP(C249,'Input Data'!$M$17:$M$29,'Input Data'!$N$17:$N$29),$B248)</f>
        <v>6.5000000000000002E-2</v>
      </c>
      <c r="C249" s="10">
        <f t="shared" si="18"/>
        <v>247</v>
      </c>
      <c r="D249" s="18">
        <f t="shared" si="19"/>
        <v>0</v>
      </c>
      <c r="E249" s="18">
        <f>IF(OR(D249&lt;=0,C249&gt;'Input Data'!$B$23*12),0,IF(AND(C249='Input Data'!$B$23*12,'Input Data'!$E$23&gt;'Input Data'!$B$23),D249+D249*B249/12,IF('Input Data'!$C$23="FRM",-PMT($B$3/12,'Input Data'!$E$23*12,$D$3),IF($A249,-PMT(B249/12,('Input Data'!$E$23*12)-C249+1,D249),E248))))</f>
        <v>0</v>
      </c>
      <c r="F249" s="18">
        <f t="shared" si="16"/>
        <v>0</v>
      </c>
      <c r="G249" s="18">
        <f>IF(C249&gt;'Input Data'!$B$23*12,0,D249*B249/12)</f>
        <v>0</v>
      </c>
      <c r="H249" s="18">
        <f t="shared" si="15"/>
        <v>0</v>
      </c>
      <c r="I249" s="18">
        <f t="shared" si="17"/>
        <v>0</v>
      </c>
    </row>
    <row r="250" spans="1:9" x14ac:dyDescent="0.25">
      <c r="A250" t="b">
        <f>IF(('Input Data'!$C$23)="FRM", FALSE, ISNUMBER(MATCH(C250,'Input Data'!$M$18:$M$30,0)))</f>
        <v>0</v>
      </c>
      <c r="B250" s="8">
        <f>IF($A250, _xlfn.XLOOKUP(C250,'Input Data'!$M$17:$M$29,'Input Data'!$N$17:$N$29),$B249)</f>
        <v>6.5000000000000002E-2</v>
      </c>
      <c r="C250" s="10">
        <f t="shared" si="18"/>
        <v>248</v>
      </c>
      <c r="D250" s="18">
        <f t="shared" si="19"/>
        <v>0</v>
      </c>
      <c r="E250" s="18">
        <f>IF(OR(D250&lt;=0,C250&gt;'Input Data'!$B$23*12),0,IF(AND(C250='Input Data'!$B$23*12,'Input Data'!$E$23&gt;'Input Data'!$B$23),D250+D250*B250/12,IF('Input Data'!$C$23="FRM",-PMT($B$3/12,'Input Data'!$E$23*12,$D$3),IF($A250,-PMT(B250/12,('Input Data'!$E$23*12)-C250+1,D250),E249))))</f>
        <v>0</v>
      </c>
      <c r="F250" s="18">
        <f t="shared" si="16"/>
        <v>0</v>
      </c>
      <c r="G250" s="18">
        <f>IF(C250&gt;'Input Data'!$B$23*12,0,D250*B250/12)</f>
        <v>0</v>
      </c>
      <c r="H250" s="18">
        <f t="shared" si="15"/>
        <v>0</v>
      </c>
      <c r="I250" s="18">
        <f t="shared" si="17"/>
        <v>0</v>
      </c>
    </row>
    <row r="251" spans="1:9" x14ac:dyDescent="0.25">
      <c r="A251" t="b">
        <f>IF(('Input Data'!$C$23)="FRM", FALSE, ISNUMBER(MATCH(C251,'Input Data'!$M$18:$M$30,0)))</f>
        <v>0</v>
      </c>
      <c r="B251" s="8">
        <f>IF($A251, _xlfn.XLOOKUP(C251,'Input Data'!$M$17:$M$29,'Input Data'!$N$17:$N$29),$B250)</f>
        <v>6.5000000000000002E-2</v>
      </c>
      <c r="C251" s="10">
        <f t="shared" si="18"/>
        <v>249</v>
      </c>
      <c r="D251" s="18">
        <f t="shared" si="19"/>
        <v>0</v>
      </c>
      <c r="E251" s="18">
        <f>IF(OR(D251&lt;=0,C251&gt;'Input Data'!$B$23*12),0,IF(AND(C251='Input Data'!$B$23*12,'Input Data'!$E$23&gt;'Input Data'!$B$23),D251+D251*B251/12,IF('Input Data'!$C$23="FRM",-PMT($B$3/12,'Input Data'!$E$23*12,$D$3),IF($A251,-PMT(B251/12,('Input Data'!$E$23*12)-C251+1,D251),E250))))</f>
        <v>0</v>
      </c>
      <c r="F251" s="18">
        <f t="shared" si="16"/>
        <v>0</v>
      </c>
      <c r="G251" s="18">
        <f>IF(C251&gt;'Input Data'!$B$23*12,0,D251*B251/12)</f>
        <v>0</v>
      </c>
      <c r="H251" s="18">
        <f t="shared" si="15"/>
        <v>0</v>
      </c>
      <c r="I251" s="18">
        <f t="shared" si="17"/>
        <v>0</v>
      </c>
    </row>
    <row r="252" spans="1:9" x14ac:dyDescent="0.25">
      <c r="A252" t="b">
        <f>IF(('Input Data'!$C$23)="FRM", FALSE, ISNUMBER(MATCH(C252,'Input Data'!$M$18:$M$30,0)))</f>
        <v>0</v>
      </c>
      <c r="B252" s="8">
        <f>IF($A252, _xlfn.XLOOKUP(C252,'Input Data'!$M$17:$M$29,'Input Data'!$N$17:$N$29),$B251)</f>
        <v>6.5000000000000002E-2</v>
      </c>
      <c r="C252" s="10">
        <f t="shared" si="18"/>
        <v>250</v>
      </c>
      <c r="D252" s="18">
        <f t="shared" si="19"/>
        <v>0</v>
      </c>
      <c r="E252" s="18">
        <f>IF(OR(D252&lt;=0,C252&gt;'Input Data'!$B$23*12),0,IF(AND(C252='Input Data'!$B$23*12,'Input Data'!$E$23&gt;'Input Data'!$B$23),D252+D252*B252/12,IF('Input Data'!$C$23="FRM",-PMT($B$3/12,'Input Data'!$E$23*12,$D$3),IF($A252,-PMT(B252/12,('Input Data'!$E$23*12)-C252+1,D252),E251))))</f>
        <v>0</v>
      </c>
      <c r="F252" s="18">
        <f t="shared" si="16"/>
        <v>0</v>
      </c>
      <c r="G252" s="18">
        <f>IF(C252&gt;'Input Data'!$B$23*12,0,D252*B252/12)</f>
        <v>0</v>
      </c>
      <c r="H252" s="18">
        <f t="shared" si="15"/>
        <v>0</v>
      </c>
      <c r="I252" s="18">
        <f t="shared" si="17"/>
        <v>0</v>
      </c>
    </row>
    <row r="253" spans="1:9" x14ac:dyDescent="0.25">
      <c r="A253" t="b">
        <f>IF(('Input Data'!$C$23)="FRM", FALSE, ISNUMBER(MATCH(C253,'Input Data'!$M$18:$M$30,0)))</f>
        <v>0</v>
      </c>
      <c r="B253" s="8">
        <f>IF($A253, _xlfn.XLOOKUP(C253,'Input Data'!$M$17:$M$29,'Input Data'!$N$17:$N$29),$B252)</f>
        <v>6.5000000000000002E-2</v>
      </c>
      <c r="C253" s="10">
        <f t="shared" si="18"/>
        <v>251</v>
      </c>
      <c r="D253" s="18">
        <f t="shared" si="19"/>
        <v>0</v>
      </c>
      <c r="E253" s="18">
        <f>IF(OR(D253&lt;=0,C253&gt;'Input Data'!$B$23*12),0,IF(AND(C253='Input Data'!$B$23*12,'Input Data'!$E$23&gt;'Input Data'!$B$23),D253+D253*B253/12,IF('Input Data'!$C$23="FRM",-PMT($B$3/12,'Input Data'!$E$23*12,$D$3),IF($A253,-PMT(B253/12,('Input Data'!$E$23*12)-C253+1,D253),E252))))</f>
        <v>0</v>
      </c>
      <c r="F253" s="18">
        <f t="shared" si="16"/>
        <v>0</v>
      </c>
      <c r="G253" s="18">
        <f>IF(C253&gt;'Input Data'!$B$23*12,0,D253*B253/12)</f>
        <v>0</v>
      </c>
      <c r="H253" s="18">
        <f t="shared" si="15"/>
        <v>0</v>
      </c>
      <c r="I253" s="18">
        <f t="shared" si="17"/>
        <v>0</v>
      </c>
    </row>
    <row r="254" spans="1:9" x14ac:dyDescent="0.25">
      <c r="A254" t="b">
        <f>IF(('Input Data'!$C$23)="FRM", FALSE, ISNUMBER(MATCH(C254,'Input Data'!$M$18:$M$30,0)))</f>
        <v>0</v>
      </c>
      <c r="B254" s="8">
        <f>IF($A254, _xlfn.XLOOKUP(C254,'Input Data'!$M$17:$M$29,'Input Data'!$N$17:$N$29),$B253)</f>
        <v>6.5000000000000002E-2</v>
      </c>
      <c r="C254" s="10">
        <f t="shared" si="18"/>
        <v>252</v>
      </c>
      <c r="D254" s="18">
        <f t="shared" si="19"/>
        <v>0</v>
      </c>
      <c r="E254" s="18">
        <f>IF(OR(D254&lt;=0,C254&gt;'Input Data'!$B$23*12),0,IF(AND(C254='Input Data'!$B$23*12,'Input Data'!$E$23&gt;'Input Data'!$B$23),D254+D254*B254/12,IF('Input Data'!$C$23="FRM",-PMT($B$3/12,'Input Data'!$E$23*12,$D$3),IF($A254,-PMT(B254/12,('Input Data'!$E$23*12)-C254+1,D254),E253))))</f>
        <v>0</v>
      </c>
      <c r="F254" s="18">
        <f t="shared" si="16"/>
        <v>0</v>
      </c>
      <c r="G254" s="18">
        <f>IF(C254&gt;'Input Data'!$B$23*12,0,D254*B254/12)</f>
        <v>0</v>
      </c>
      <c r="H254" s="18">
        <f t="shared" si="15"/>
        <v>0</v>
      </c>
      <c r="I254" s="18">
        <f t="shared" si="17"/>
        <v>0</v>
      </c>
    </row>
    <row r="255" spans="1:9" x14ac:dyDescent="0.25">
      <c r="A255" t="b">
        <f>IF(('Input Data'!$C$23)="FRM", FALSE, ISNUMBER(MATCH(C255,'Input Data'!$M$18:$M$30,0)))</f>
        <v>0</v>
      </c>
      <c r="B255" s="8">
        <f>IF($A255, _xlfn.XLOOKUP(C255,'Input Data'!$M$17:$M$29,'Input Data'!$N$17:$N$29),$B254)</f>
        <v>6.5000000000000002E-2</v>
      </c>
      <c r="C255" s="10">
        <f t="shared" si="18"/>
        <v>253</v>
      </c>
      <c r="D255" s="18">
        <f t="shared" si="19"/>
        <v>0</v>
      </c>
      <c r="E255" s="18">
        <f>IF(OR(D255&lt;=0,C255&gt;'Input Data'!$B$23*12),0,IF(AND(C255='Input Data'!$B$23*12,'Input Data'!$E$23&gt;'Input Data'!$B$23),D255+D255*B255/12,IF('Input Data'!$C$23="FRM",-PMT($B$3/12,'Input Data'!$E$23*12,$D$3),IF($A255,-PMT(B255/12,('Input Data'!$E$23*12)-C255+1,D255),E254))))</f>
        <v>0</v>
      </c>
      <c r="F255" s="18">
        <f t="shared" si="16"/>
        <v>0</v>
      </c>
      <c r="G255" s="18">
        <f>IF(C255&gt;'Input Data'!$B$23*12,0,D255*B255/12)</f>
        <v>0</v>
      </c>
      <c r="H255" s="18">
        <f t="shared" si="15"/>
        <v>0</v>
      </c>
      <c r="I255" s="18">
        <f t="shared" si="17"/>
        <v>0</v>
      </c>
    </row>
    <row r="256" spans="1:9" x14ac:dyDescent="0.25">
      <c r="A256" t="b">
        <f>IF(('Input Data'!$C$23)="FRM", FALSE, ISNUMBER(MATCH(C256,'Input Data'!$M$18:$M$30,0)))</f>
        <v>0</v>
      </c>
      <c r="B256" s="8">
        <f>IF($A256, _xlfn.XLOOKUP(C256,'Input Data'!$M$17:$M$29,'Input Data'!$N$17:$N$29),$B255)</f>
        <v>6.5000000000000002E-2</v>
      </c>
      <c r="C256" s="10">
        <f t="shared" si="18"/>
        <v>254</v>
      </c>
      <c r="D256" s="18">
        <f t="shared" si="19"/>
        <v>0</v>
      </c>
      <c r="E256" s="18">
        <f>IF(OR(D256&lt;=0,C256&gt;'Input Data'!$B$23*12),0,IF(AND(C256='Input Data'!$B$23*12,'Input Data'!$E$23&gt;'Input Data'!$B$23),D256+D256*B256/12,IF('Input Data'!$C$23="FRM",-PMT($B$3/12,'Input Data'!$E$23*12,$D$3),IF($A256,-PMT(B256/12,('Input Data'!$E$23*12)-C256+1,D256),E255))))</f>
        <v>0</v>
      </c>
      <c r="F256" s="18">
        <f t="shared" si="16"/>
        <v>0</v>
      </c>
      <c r="G256" s="18">
        <f>IF(C256&gt;'Input Data'!$B$23*12,0,D256*B256/12)</f>
        <v>0</v>
      </c>
      <c r="H256" s="18">
        <f t="shared" si="15"/>
        <v>0</v>
      </c>
      <c r="I256" s="18">
        <f t="shared" si="17"/>
        <v>0</v>
      </c>
    </row>
    <row r="257" spans="1:9" x14ac:dyDescent="0.25">
      <c r="A257" t="b">
        <f>IF(('Input Data'!$C$23)="FRM", FALSE, ISNUMBER(MATCH(C257,'Input Data'!$M$18:$M$30,0)))</f>
        <v>0</v>
      </c>
      <c r="B257" s="8">
        <f>IF($A257, _xlfn.XLOOKUP(C257,'Input Data'!$M$17:$M$29,'Input Data'!$N$17:$N$29),$B256)</f>
        <v>6.5000000000000002E-2</v>
      </c>
      <c r="C257" s="10">
        <f t="shared" si="18"/>
        <v>255</v>
      </c>
      <c r="D257" s="18">
        <f t="shared" si="19"/>
        <v>0</v>
      </c>
      <c r="E257" s="18">
        <f>IF(OR(D257&lt;=0,C257&gt;'Input Data'!$B$23*12),0,IF(AND(C257='Input Data'!$B$23*12,'Input Data'!$E$23&gt;'Input Data'!$B$23),D257+D257*B257/12,IF('Input Data'!$C$23="FRM",-PMT($B$3/12,'Input Data'!$E$23*12,$D$3),IF($A257,-PMT(B257/12,('Input Data'!$E$23*12)-C257+1,D257),E256))))</f>
        <v>0</v>
      </c>
      <c r="F257" s="18">
        <f t="shared" si="16"/>
        <v>0</v>
      </c>
      <c r="G257" s="18">
        <f>IF(C257&gt;'Input Data'!$B$23*12,0,D257*B257/12)</f>
        <v>0</v>
      </c>
      <c r="H257" s="18">
        <f t="shared" si="15"/>
        <v>0</v>
      </c>
      <c r="I257" s="18">
        <f t="shared" si="17"/>
        <v>0</v>
      </c>
    </row>
    <row r="258" spans="1:9" x14ac:dyDescent="0.25">
      <c r="A258" t="b">
        <f>IF(('Input Data'!$C$23)="FRM", FALSE, ISNUMBER(MATCH(C258,'Input Data'!$M$18:$M$30,0)))</f>
        <v>0</v>
      </c>
      <c r="B258" s="8">
        <f>IF($A258, _xlfn.XLOOKUP(C258,'Input Data'!$M$17:$M$29,'Input Data'!$N$17:$N$29),$B257)</f>
        <v>6.5000000000000002E-2</v>
      </c>
      <c r="C258" s="10">
        <f t="shared" si="18"/>
        <v>256</v>
      </c>
      <c r="D258" s="18">
        <f t="shared" si="19"/>
        <v>0</v>
      </c>
      <c r="E258" s="18">
        <f>IF(OR(D258&lt;=0,C258&gt;'Input Data'!$B$23*12),0,IF(AND(C258='Input Data'!$B$23*12,'Input Data'!$E$23&gt;'Input Data'!$B$23),D258+D258*B258/12,IF('Input Data'!$C$23="FRM",-PMT($B$3/12,'Input Data'!$E$23*12,$D$3),IF($A258,-PMT(B258/12,('Input Data'!$E$23*12)-C258+1,D258),E257))))</f>
        <v>0</v>
      </c>
      <c r="F258" s="18">
        <f t="shared" si="16"/>
        <v>0</v>
      </c>
      <c r="G258" s="18">
        <f>IF(C258&gt;'Input Data'!$B$23*12,0,D258*B258/12)</f>
        <v>0</v>
      </c>
      <c r="H258" s="18">
        <f t="shared" si="15"/>
        <v>0</v>
      </c>
      <c r="I258" s="18">
        <f t="shared" si="17"/>
        <v>0</v>
      </c>
    </row>
    <row r="259" spans="1:9" x14ac:dyDescent="0.25">
      <c r="A259" t="b">
        <f>IF(('Input Data'!$C$23)="FRM", FALSE, ISNUMBER(MATCH(C259,'Input Data'!$M$18:$M$30,0)))</f>
        <v>0</v>
      </c>
      <c r="B259" s="8">
        <f>IF($A259, _xlfn.XLOOKUP(C259,'Input Data'!$M$17:$M$29,'Input Data'!$N$17:$N$29),$B258)</f>
        <v>6.5000000000000002E-2</v>
      </c>
      <c r="C259" s="10">
        <f t="shared" si="18"/>
        <v>257</v>
      </c>
      <c r="D259" s="18">
        <f t="shared" si="19"/>
        <v>0</v>
      </c>
      <c r="E259" s="18">
        <f>IF(OR(D259&lt;=0,C259&gt;'Input Data'!$B$23*12),0,IF(AND(C259='Input Data'!$B$23*12,'Input Data'!$E$23&gt;'Input Data'!$B$23),D259+D259*B259/12,IF('Input Data'!$C$23="FRM",-PMT($B$3/12,'Input Data'!$E$23*12,$D$3),IF($A259,-PMT(B259/12,('Input Data'!$E$23*12)-C259+1,D259),E258))))</f>
        <v>0</v>
      </c>
      <c r="F259" s="18">
        <f t="shared" si="16"/>
        <v>0</v>
      </c>
      <c r="G259" s="18">
        <f>IF(C259&gt;'Input Data'!$B$23*12,0,D259*B259/12)</f>
        <v>0</v>
      </c>
      <c r="H259" s="18">
        <f t="shared" ref="H259:H322" si="20">MIN(E259-G259,D259)</f>
        <v>0</v>
      </c>
      <c r="I259" s="18">
        <f t="shared" si="17"/>
        <v>0</v>
      </c>
    </row>
    <row r="260" spans="1:9" x14ac:dyDescent="0.25">
      <c r="A260" t="b">
        <f>IF(('Input Data'!$C$23)="FRM", FALSE, ISNUMBER(MATCH(C260,'Input Data'!$M$18:$M$30,0)))</f>
        <v>0</v>
      </c>
      <c r="B260" s="8">
        <f>IF($A260, _xlfn.XLOOKUP(C260,'Input Data'!$M$17:$M$29,'Input Data'!$N$17:$N$29),$B259)</f>
        <v>6.5000000000000002E-2</v>
      </c>
      <c r="C260" s="10">
        <f t="shared" si="18"/>
        <v>258</v>
      </c>
      <c r="D260" s="18">
        <f t="shared" si="19"/>
        <v>0</v>
      </c>
      <c r="E260" s="18">
        <f>IF(OR(D260&lt;=0,C260&gt;'Input Data'!$B$23*12),0,IF(AND(C260='Input Data'!$B$23*12,'Input Data'!$E$23&gt;'Input Data'!$B$23),D260+D260*B260/12,IF('Input Data'!$C$23="FRM",-PMT($B$3/12,'Input Data'!$E$23*12,$D$3),IF($A260,-PMT(B260/12,('Input Data'!$E$23*12)-C260+1,D260),E259))))</f>
        <v>0</v>
      </c>
      <c r="F260" s="18">
        <f t="shared" ref="F260:F323" si="21">IF(D260-E260&lt;0,0,D260-E260)</f>
        <v>0</v>
      </c>
      <c r="G260" s="18">
        <f>IF(C260&gt;'Input Data'!$B$23*12,0,D260*B260/12)</f>
        <v>0</v>
      </c>
      <c r="H260" s="18">
        <f t="shared" si="20"/>
        <v>0</v>
      </c>
      <c r="I260" s="18">
        <f t="shared" ref="I260:I323" si="22">IF(ROUND(D260-H260,2)=0,0,D260-H260)</f>
        <v>0</v>
      </c>
    </row>
    <row r="261" spans="1:9" x14ac:dyDescent="0.25">
      <c r="A261" t="b">
        <f>IF(('Input Data'!$C$23)="FRM", FALSE, ISNUMBER(MATCH(C261,'Input Data'!$M$18:$M$30,0)))</f>
        <v>0</v>
      </c>
      <c r="B261" s="8">
        <f>IF($A261, _xlfn.XLOOKUP(C261,'Input Data'!$M$17:$M$29,'Input Data'!$N$17:$N$29),$B260)</f>
        <v>6.5000000000000002E-2</v>
      </c>
      <c r="C261" s="10">
        <f t="shared" ref="C261:C324" si="23">C260+1</f>
        <v>259</v>
      </c>
      <c r="D261" s="18">
        <f t="shared" ref="D261:D324" si="24">IF(I260&gt;0,I260-J260,0)</f>
        <v>0</v>
      </c>
      <c r="E261" s="18">
        <f>IF(OR(D261&lt;=0,C261&gt;'Input Data'!$B$23*12),0,IF(AND(C261='Input Data'!$B$23*12,'Input Data'!$E$23&gt;'Input Data'!$B$23),D261+D261*B261/12,IF('Input Data'!$C$23="FRM",-PMT($B$3/12,'Input Data'!$E$23*12,$D$3),IF($A261,-PMT(B261/12,('Input Data'!$E$23*12)-C261+1,D261),E260))))</f>
        <v>0</v>
      </c>
      <c r="F261" s="18">
        <f t="shared" si="21"/>
        <v>0</v>
      </c>
      <c r="G261" s="18">
        <f>IF(C261&gt;'Input Data'!$B$23*12,0,D261*B261/12)</f>
        <v>0</v>
      </c>
      <c r="H261" s="18">
        <f t="shared" si="20"/>
        <v>0</v>
      </c>
      <c r="I261" s="18">
        <f t="shared" si="22"/>
        <v>0</v>
      </c>
    </row>
    <row r="262" spans="1:9" x14ac:dyDescent="0.25">
      <c r="A262" t="b">
        <f>IF(('Input Data'!$C$23)="FRM", FALSE, ISNUMBER(MATCH(C262,'Input Data'!$M$18:$M$30,0)))</f>
        <v>0</v>
      </c>
      <c r="B262" s="8">
        <f>IF($A262, _xlfn.XLOOKUP(C262,'Input Data'!$M$17:$M$29,'Input Data'!$N$17:$N$29),$B261)</f>
        <v>6.5000000000000002E-2</v>
      </c>
      <c r="C262" s="10">
        <f t="shared" si="23"/>
        <v>260</v>
      </c>
      <c r="D262" s="18">
        <f t="shared" si="24"/>
        <v>0</v>
      </c>
      <c r="E262" s="18">
        <f>IF(OR(D262&lt;=0,C262&gt;'Input Data'!$B$23*12),0,IF(AND(C262='Input Data'!$B$23*12,'Input Data'!$E$23&gt;'Input Data'!$B$23),D262+D262*B262/12,IF('Input Data'!$C$23="FRM",-PMT($B$3/12,'Input Data'!$E$23*12,$D$3),IF($A262,-PMT(B262/12,('Input Data'!$E$23*12)-C262+1,D262),E261))))</f>
        <v>0</v>
      </c>
      <c r="F262" s="18">
        <f t="shared" si="21"/>
        <v>0</v>
      </c>
      <c r="G262" s="18">
        <f>IF(C262&gt;'Input Data'!$B$23*12,0,D262*B262/12)</f>
        <v>0</v>
      </c>
      <c r="H262" s="18">
        <f t="shared" si="20"/>
        <v>0</v>
      </c>
      <c r="I262" s="18">
        <f t="shared" si="22"/>
        <v>0</v>
      </c>
    </row>
    <row r="263" spans="1:9" x14ac:dyDescent="0.25">
      <c r="A263" t="b">
        <f>IF(('Input Data'!$C$23)="FRM", FALSE, ISNUMBER(MATCH(C263,'Input Data'!$M$18:$M$30,0)))</f>
        <v>0</v>
      </c>
      <c r="B263" s="8">
        <f>IF($A263, _xlfn.XLOOKUP(C263,'Input Data'!$M$17:$M$29,'Input Data'!$N$17:$N$29),$B262)</f>
        <v>6.5000000000000002E-2</v>
      </c>
      <c r="C263" s="10">
        <f t="shared" si="23"/>
        <v>261</v>
      </c>
      <c r="D263" s="18">
        <f t="shared" si="24"/>
        <v>0</v>
      </c>
      <c r="E263" s="18">
        <f>IF(OR(D263&lt;=0,C263&gt;'Input Data'!$B$23*12),0,IF(AND(C263='Input Data'!$B$23*12,'Input Data'!$E$23&gt;'Input Data'!$B$23),D263+D263*B263/12,IF('Input Data'!$C$23="FRM",-PMT($B$3/12,'Input Data'!$E$23*12,$D$3),IF($A263,-PMT(B263/12,('Input Data'!$E$23*12)-C263+1,D263),E262))))</f>
        <v>0</v>
      </c>
      <c r="F263" s="18">
        <f t="shared" si="21"/>
        <v>0</v>
      </c>
      <c r="G263" s="18">
        <f>IF(C263&gt;'Input Data'!$B$23*12,0,D263*B263/12)</f>
        <v>0</v>
      </c>
      <c r="H263" s="18">
        <f t="shared" si="20"/>
        <v>0</v>
      </c>
      <c r="I263" s="18">
        <f t="shared" si="22"/>
        <v>0</v>
      </c>
    </row>
    <row r="264" spans="1:9" x14ac:dyDescent="0.25">
      <c r="A264" t="b">
        <f>IF(('Input Data'!$C$23)="FRM", FALSE, ISNUMBER(MATCH(C264,'Input Data'!$M$18:$M$30,0)))</f>
        <v>0</v>
      </c>
      <c r="B264" s="8">
        <f>IF($A264, _xlfn.XLOOKUP(C264,'Input Data'!$M$17:$M$29,'Input Data'!$N$17:$N$29),$B263)</f>
        <v>6.5000000000000002E-2</v>
      </c>
      <c r="C264" s="10">
        <f t="shared" si="23"/>
        <v>262</v>
      </c>
      <c r="D264" s="18">
        <f t="shared" si="24"/>
        <v>0</v>
      </c>
      <c r="E264" s="18">
        <f>IF(OR(D264&lt;=0,C264&gt;'Input Data'!$B$23*12),0,IF(AND(C264='Input Data'!$B$23*12,'Input Data'!$E$23&gt;'Input Data'!$B$23),D264+D264*B264/12,IF('Input Data'!$C$23="FRM",-PMT($B$3/12,'Input Data'!$E$23*12,$D$3),IF($A264,-PMT(B264/12,('Input Data'!$E$23*12)-C264+1,D264),E263))))</f>
        <v>0</v>
      </c>
      <c r="F264" s="18">
        <f t="shared" si="21"/>
        <v>0</v>
      </c>
      <c r="G264" s="18">
        <f>IF(C264&gt;'Input Data'!$B$23*12,0,D264*B264/12)</f>
        <v>0</v>
      </c>
      <c r="H264" s="18">
        <f t="shared" si="20"/>
        <v>0</v>
      </c>
      <c r="I264" s="18">
        <f t="shared" si="22"/>
        <v>0</v>
      </c>
    </row>
    <row r="265" spans="1:9" x14ac:dyDescent="0.25">
      <c r="A265" t="b">
        <f>IF(('Input Data'!$C$23)="FRM", FALSE, ISNUMBER(MATCH(C265,'Input Data'!$M$18:$M$30,0)))</f>
        <v>0</v>
      </c>
      <c r="B265" s="8">
        <f>IF($A265, _xlfn.XLOOKUP(C265,'Input Data'!$M$17:$M$29,'Input Data'!$N$17:$N$29),$B264)</f>
        <v>6.5000000000000002E-2</v>
      </c>
      <c r="C265" s="10">
        <f t="shared" si="23"/>
        <v>263</v>
      </c>
      <c r="D265" s="18">
        <f t="shared" si="24"/>
        <v>0</v>
      </c>
      <c r="E265" s="18">
        <f>IF(OR(D265&lt;=0,C265&gt;'Input Data'!$B$23*12),0,IF(AND(C265='Input Data'!$B$23*12,'Input Data'!$E$23&gt;'Input Data'!$B$23),D265+D265*B265/12,IF('Input Data'!$C$23="FRM",-PMT($B$3/12,'Input Data'!$E$23*12,$D$3),IF($A265,-PMT(B265/12,('Input Data'!$E$23*12)-C265+1,D265),E264))))</f>
        <v>0</v>
      </c>
      <c r="F265" s="18">
        <f t="shared" si="21"/>
        <v>0</v>
      </c>
      <c r="G265" s="18">
        <f>IF(C265&gt;'Input Data'!$B$23*12,0,D265*B265/12)</f>
        <v>0</v>
      </c>
      <c r="H265" s="18">
        <f t="shared" si="20"/>
        <v>0</v>
      </c>
      <c r="I265" s="18">
        <f t="shared" si="22"/>
        <v>0</v>
      </c>
    </row>
    <row r="266" spans="1:9" x14ac:dyDescent="0.25">
      <c r="A266" t="b">
        <f>IF(('Input Data'!$C$23)="FRM", FALSE, ISNUMBER(MATCH(C266,'Input Data'!$M$18:$M$30,0)))</f>
        <v>0</v>
      </c>
      <c r="B266" s="8">
        <f>IF($A266, _xlfn.XLOOKUP(C266,'Input Data'!$M$17:$M$29,'Input Data'!$N$17:$N$29),$B265)</f>
        <v>6.5000000000000002E-2</v>
      </c>
      <c r="C266" s="10">
        <f t="shared" si="23"/>
        <v>264</v>
      </c>
      <c r="D266" s="18">
        <f t="shared" si="24"/>
        <v>0</v>
      </c>
      <c r="E266" s="18">
        <f>IF(OR(D266&lt;=0,C266&gt;'Input Data'!$B$23*12),0,IF(AND(C266='Input Data'!$B$23*12,'Input Data'!$E$23&gt;'Input Data'!$B$23),D266+D266*B266/12,IF('Input Data'!$C$23="FRM",-PMT($B$3/12,'Input Data'!$E$23*12,$D$3),IF($A266,-PMT(B266/12,('Input Data'!$E$23*12)-C266+1,D266),E265))))</f>
        <v>0</v>
      </c>
      <c r="F266" s="18">
        <f t="shared" si="21"/>
        <v>0</v>
      </c>
      <c r="G266" s="18">
        <f>IF(C266&gt;'Input Data'!$B$23*12,0,D266*B266/12)</f>
        <v>0</v>
      </c>
      <c r="H266" s="18">
        <f t="shared" si="20"/>
        <v>0</v>
      </c>
      <c r="I266" s="18">
        <f t="shared" si="22"/>
        <v>0</v>
      </c>
    </row>
    <row r="267" spans="1:9" x14ac:dyDescent="0.25">
      <c r="A267" t="b">
        <f>IF(('Input Data'!$C$23)="FRM", FALSE, ISNUMBER(MATCH(C267,'Input Data'!$M$18:$M$30,0)))</f>
        <v>0</v>
      </c>
      <c r="B267" s="8">
        <f>IF($A267, _xlfn.XLOOKUP(C267,'Input Data'!$M$17:$M$29,'Input Data'!$N$17:$N$29),$B266)</f>
        <v>6.5000000000000002E-2</v>
      </c>
      <c r="C267" s="10">
        <f t="shared" si="23"/>
        <v>265</v>
      </c>
      <c r="D267" s="18">
        <f t="shared" si="24"/>
        <v>0</v>
      </c>
      <c r="E267" s="18">
        <f>IF(OR(D267&lt;=0,C267&gt;'Input Data'!$B$23*12),0,IF(AND(C267='Input Data'!$B$23*12,'Input Data'!$E$23&gt;'Input Data'!$B$23),D267+D267*B267/12,IF('Input Data'!$C$23="FRM",-PMT($B$3/12,'Input Data'!$E$23*12,$D$3),IF($A267,-PMT(B267/12,('Input Data'!$E$23*12)-C267+1,D267),E266))))</f>
        <v>0</v>
      </c>
      <c r="F267" s="18">
        <f t="shared" si="21"/>
        <v>0</v>
      </c>
      <c r="G267" s="18">
        <f>IF(C267&gt;'Input Data'!$B$23*12,0,D267*B267/12)</f>
        <v>0</v>
      </c>
      <c r="H267" s="18">
        <f t="shared" si="20"/>
        <v>0</v>
      </c>
      <c r="I267" s="18">
        <f t="shared" si="22"/>
        <v>0</v>
      </c>
    </row>
    <row r="268" spans="1:9" x14ac:dyDescent="0.25">
      <c r="A268" t="b">
        <f>IF(('Input Data'!$C$23)="FRM", FALSE, ISNUMBER(MATCH(C268,'Input Data'!$M$18:$M$30,0)))</f>
        <v>0</v>
      </c>
      <c r="B268" s="8">
        <f>IF($A268, _xlfn.XLOOKUP(C268,'Input Data'!$M$17:$M$29,'Input Data'!$N$17:$N$29),$B267)</f>
        <v>6.5000000000000002E-2</v>
      </c>
      <c r="C268" s="10">
        <f t="shared" si="23"/>
        <v>266</v>
      </c>
      <c r="D268" s="18">
        <f t="shared" si="24"/>
        <v>0</v>
      </c>
      <c r="E268" s="18">
        <f>IF(OR(D268&lt;=0,C268&gt;'Input Data'!$B$23*12),0,IF(AND(C268='Input Data'!$B$23*12,'Input Data'!$E$23&gt;'Input Data'!$B$23),D268+D268*B268/12,IF('Input Data'!$C$23="FRM",-PMT($B$3/12,'Input Data'!$E$23*12,$D$3),IF($A268,-PMT(B268/12,('Input Data'!$E$23*12)-C268+1,D268),E267))))</f>
        <v>0</v>
      </c>
      <c r="F268" s="18">
        <f t="shared" si="21"/>
        <v>0</v>
      </c>
      <c r="G268" s="18">
        <f>IF(C268&gt;'Input Data'!$B$23*12,0,D268*B268/12)</f>
        <v>0</v>
      </c>
      <c r="H268" s="18">
        <f t="shared" si="20"/>
        <v>0</v>
      </c>
      <c r="I268" s="18">
        <f t="shared" si="22"/>
        <v>0</v>
      </c>
    </row>
    <row r="269" spans="1:9" x14ac:dyDescent="0.25">
      <c r="A269" t="b">
        <f>IF(('Input Data'!$C$23)="FRM", FALSE, ISNUMBER(MATCH(C269,'Input Data'!$M$18:$M$30,0)))</f>
        <v>0</v>
      </c>
      <c r="B269" s="8">
        <f>IF($A269, _xlfn.XLOOKUP(C269,'Input Data'!$M$17:$M$29,'Input Data'!$N$17:$N$29),$B268)</f>
        <v>6.5000000000000002E-2</v>
      </c>
      <c r="C269" s="10">
        <f t="shared" si="23"/>
        <v>267</v>
      </c>
      <c r="D269" s="18">
        <f t="shared" si="24"/>
        <v>0</v>
      </c>
      <c r="E269" s="18">
        <f>IF(OR(D269&lt;=0,C269&gt;'Input Data'!$B$23*12),0,IF(AND(C269='Input Data'!$B$23*12,'Input Data'!$E$23&gt;'Input Data'!$B$23),D269+D269*B269/12,IF('Input Data'!$C$23="FRM",-PMT($B$3/12,'Input Data'!$E$23*12,$D$3),IF($A269,-PMT(B269/12,('Input Data'!$E$23*12)-C269+1,D269),E268))))</f>
        <v>0</v>
      </c>
      <c r="F269" s="18">
        <f t="shared" si="21"/>
        <v>0</v>
      </c>
      <c r="G269" s="18">
        <f>IF(C269&gt;'Input Data'!$B$23*12,0,D269*B269/12)</f>
        <v>0</v>
      </c>
      <c r="H269" s="18">
        <f t="shared" si="20"/>
        <v>0</v>
      </c>
      <c r="I269" s="18">
        <f t="shared" si="22"/>
        <v>0</v>
      </c>
    </row>
    <row r="270" spans="1:9" x14ac:dyDescent="0.25">
      <c r="A270" t="b">
        <f>IF(('Input Data'!$C$23)="FRM", FALSE, ISNUMBER(MATCH(C270,'Input Data'!$M$18:$M$30,0)))</f>
        <v>0</v>
      </c>
      <c r="B270" s="8">
        <f>IF($A270, _xlfn.XLOOKUP(C270,'Input Data'!$M$17:$M$29,'Input Data'!$N$17:$N$29),$B269)</f>
        <v>6.5000000000000002E-2</v>
      </c>
      <c r="C270" s="10">
        <f t="shared" si="23"/>
        <v>268</v>
      </c>
      <c r="D270" s="18">
        <f t="shared" si="24"/>
        <v>0</v>
      </c>
      <c r="E270" s="18">
        <f>IF(OR(D270&lt;=0,C270&gt;'Input Data'!$B$23*12),0,IF(AND(C270='Input Data'!$B$23*12,'Input Data'!$E$23&gt;'Input Data'!$B$23),D270+D270*B270/12,IF('Input Data'!$C$23="FRM",-PMT($B$3/12,'Input Data'!$E$23*12,$D$3),IF($A270,-PMT(B270/12,('Input Data'!$E$23*12)-C270+1,D270),E269))))</f>
        <v>0</v>
      </c>
      <c r="F270" s="18">
        <f t="shared" si="21"/>
        <v>0</v>
      </c>
      <c r="G270" s="18">
        <f>IF(C270&gt;'Input Data'!$B$23*12,0,D270*B270/12)</f>
        <v>0</v>
      </c>
      <c r="H270" s="18">
        <f t="shared" si="20"/>
        <v>0</v>
      </c>
      <c r="I270" s="18">
        <f t="shared" si="22"/>
        <v>0</v>
      </c>
    </row>
    <row r="271" spans="1:9" x14ac:dyDescent="0.25">
      <c r="A271" t="b">
        <f>IF(('Input Data'!$C$23)="FRM", FALSE, ISNUMBER(MATCH(C271,'Input Data'!$M$18:$M$30,0)))</f>
        <v>0</v>
      </c>
      <c r="B271" s="8">
        <f>IF($A271, _xlfn.XLOOKUP(C271,'Input Data'!$M$17:$M$29,'Input Data'!$N$17:$N$29),$B270)</f>
        <v>6.5000000000000002E-2</v>
      </c>
      <c r="C271" s="10">
        <f t="shared" si="23"/>
        <v>269</v>
      </c>
      <c r="D271" s="18">
        <f t="shared" si="24"/>
        <v>0</v>
      </c>
      <c r="E271" s="18">
        <f>IF(OR(D271&lt;=0,C271&gt;'Input Data'!$B$23*12),0,IF(AND(C271='Input Data'!$B$23*12,'Input Data'!$E$23&gt;'Input Data'!$B$23),D271+D271*B271/12,IF('Input Data'!$C$23="FRM",-PMT($B$3/12,'Input Data'!$E$23*12,$D$3),IF($A271,-PMT(B271/12,('Input Data'!$E$23*12)-C271+1,D271),E270))))</f>
        <v>0</v>
      </c>
      <c r="F271" s="18">
        <f t="shared" si="21"/>
        <v>0</v>
      </c>
      <c r="G271" s="18">
        <f>IF(C271&gt;'Input Data'!$B$23*12,0,D271*B271/12)</f>
        <v>0</v>
      </c>
      <c r="H271" s="18">
        <f t="shared" si="20"/>
        <v>0</v>
      </c>
      <c r="I271" s="18">
        <f t="shared" si="22"/>
        <v>0</v>
      </c>
    </row>
    <row r="272" spans="1:9" x14ac:dyDescent="0.25">
      <c r="A272" t="b">
        <f>IF(('Input Data'!$C$23)="FRM", FALSE, ISNUMBER(MATCH(C272,'Input Data'!$M$18:$M$30,0)))</f>
        <v>0</v>
      </c>
      <c r="B272" s="8">
        <f>IF($A272, _xlfn.XLOOKUP(C272,'Input Data'!$M$17:$M$29,'Input Data'!$N$17:$N$29),$B271)</f>
        <v>6.5000000000000002E-2</v>
      </c>
      <c r="C272" s="10">
        <f t="shared" si="23"/>
        <v>270</v>
      </c>
      <c r="D272" s="18">
        <f t="shared" si="24"/>
        <v>0</v>
      </c>
      <c r="E272" s="18">
        <f>IF(OR(D272&lt;=0,C272&gt;'Input Data'!$B$23*12),0,IF(AND(C272='Input Data'!$B$23*12,'Input Data'!$E$23&gt;'Input Data'!$B$23),D272+D272*B272/12,IF('Input Data'!$C$23="FRM",-PMT($B$3/12,'Input Data'!$E$23*12,$D$3),IF($A272,-PMT(B272/12,('Input Data'!$E$23*12)-C272+1,D272),E271))))</f>
        <v>0</v>
      </c>
      <c r="F272" s="18">
        <f t="shared" si="21"/>
        <v>0</v>
      </c>
      <c r="G272" s="18">
        <f>IF(C272&gt;'Input Data'!$B$23*12,0,D272*B272/12)</f>
        <v>0</v>
      </c>
      <c r="H272" s="18">
        <f t="shared" si="20"/>
        <v>0</v>
      </c>
      <c r="I272" s="18">
        <f t="shared" si="22"/>
        <v>0</v>
      </c>
    </row>
    <row r="273" spans="1:9" x14ac:dyDescent="0.25">
      <c r="A273" t="b">
        <f>IF(('Input Data'!$C$23)="FRM", FALSE, ISNUMBER(MATCH(C273,'Input Data'!$M$18:$M$30,0)))</f>
        <v>0</v>
      </c>
      <c r="B273" s="8">
        <f>IF($A273, _xlfn.XLOOKUP(C273,'Input Data'!$M$17:$M$29,'Input Data'!$N$17:$N$29),$B272)</f>
        <v>6.5000000000000002E-2</v>
      </c>
      <c r="C273" s="10">
        <f t="shared" si="23"/>
        <v>271</v>
      </c>
      <c r="D273" s="18">
        <f t="shared" si="24"/>
        <v>0</v>
      </c>
      <c r="E273" s="18">
        <f>IF(OR(D273&lt;=0,C273&gt;'Input Data'!$B$23*12),0,IF(AND(C273='Input Data'!$B$23*12,'Input Data'!$E$23&gt;'Input Data'!$B$23),D273+D273*B273/12,IF('Input Data'!$C$23="FRM",-PMT($B$3/12,'Input Data'!$E$23*12,$D$3),IF($A273,-PMT(B273/12,('Input Data'!$E$23*12)-C273+1,D273),E272))))</f>
        <v>0</v>
      </c>
      <c r="F273" s="18">
        <f t="shared" si="21"/>
        <v>0</v>
      </c>
      <c r="G273" s="18">
        <f>IF(C273&gt;'Input Data'!$B$23*12,0,D273*B273/12)</f>
        <v>0</v>
      </c>
      <c r="H273" s="18">
        <f t="shared" si="20"/>
        <v>0</v>
      </c>
      <c r="I273" s="18">
        <f t="shared" si="22"/>
        <v>0</v>
      </c>
    </row>
    <row r="274" spans="1:9" x14ac:dyDescent="0.25">
      <c r="A274" t="b">
        <f>IF(('Input Data'!$C$23)="FRM", FALSE, ISNUMBER(MATCH(C274,'Input Data'!$M$18:$M$30,0)))</f>
        <v>0</v>
      </c>
      <c r="B274" s="8">
        <f>IF($A274, _xlfn.XLOOKUP(C274,'Input Data'!$M$17:$M$29,'Input Data'!$N$17:$N$29),$B273)</f>
        <v>6.5000000000000002E-2</v>
      </c>
      <c r="C274" s="10">
        <f t="shared" si="23"/>
        <v>272</v>
      </c>
      <c r="D274" s="18">
        <f t="shared" si="24"/>
        <v>0</v>
      </c>
      <c r="E274" s="18">
        <f>IF(OR(D274&lt;=0,C274&gt;'Input Data'!$B$23*12),0,IF(AND(C274='Input Data'!$B$23*12,'Input Data'!$E$23&gt;'Input Data'!$B$23),D274+D274*B274/12,IF('Input Data'!$C$23="FRM",-PMT($B$3/12,'Input Data'!$E$23*12,$D$3),IF($A274,-PMT(B274/12,('Input Data'!$E$23*12)-C274+1,D274),E273))))</f>
        <v>0</v>
      </c>
      <c r="F274" s="18">
        <f t="shared" si="21"/>
        <v>0</v>
      </c>
      <c r="G274" s="18">
        <f>IF(C274&gt;'Input Data'!$B$23*12,0,D274*B274/12)</f>
        <v>0</v>
      </c>
      <c r="H274" s="18">
        <f t="shared" si="20"/>
        <v>0</v>
      </c>
      <c r="I274" s="18">
        <f t="shared" si="22"/>
        <v>0</v>
      </c>
    </row>
    <row r="275" spans="1:9" x14ac:dyDescent="0.25">
      <c r="A275" t="b">
        <f>IF(('Input Data'!$C$23)="FRM", FALSE, ISNUMBER(MATCH(C275,'Input Data'!$M$18:$M$30,0)))</f>
        <v>0</v>
      </c>
      <c r="B275" s="8">
        <f>IF($A275, _xlfn.XLOOKUP(C275,'Input Data'!$M$17:$M$29,'Input Data'!$N$17:$N$29),$B274)</f>
        <v>6.5000000000000002E-2</v>
      </c>
      <c r="C275" s="10">
        <f t="shared" si="23"/>
        <v>273</v>
      </c>
      <c r="D275" s="18">
        <f t="shared" si="24"/>
        <v>0</v>
      </c>
      <c r="E275" s="18">
        <f>IF(OR(D275&lt;=0,C275&gt;'Input Data'!$B$23*12),0,IF(AND(C275='Input Data'!$B$23*12,'Input Data'!$E$23&gt;'Input Data'!$B$23),D275+D275*B275/12,IF('Input Data'!$C$23="FRM",-PMT($B$3/12,'Input Data'!$E$23*12,$D$3),IF($A275,-PMT(B275/12,('Input Data'!$E$23*12)-C275+1,D275),E274))))</f>
        <v>0</v>
      </c>
      <c r="F275" s="18">
        <f t="shared" si="21"/>
        <v>0</v>
      </c>
      <c r="G275" s="18">
        <f>IF(C275&gt;'Input Data'!$B$23*12,0,D275*B275/12)</f>
        <v>0</v>
      </c>
      <c r="H275" s="18">
        <f t="shared" si="20"/>
        <v>0</v>
      </c>
      <c r="I275" s="18">
        <f t="shared" si="22"/>
        <v>0</v>
      </c>
    </row>
    <row r="276" spans="1:9" x14ac:dyDescent="0.25">
      <c r="A276" t="b">
        <f>IF(('Input Data'!$C$23)="FRM", FALSE, ISNUMBER(MATCH(C276,'Input Data'!$M$18:$M$30,0)))</f>
        <v>0</v>
      </c>
      <c r="B276" s="8">
        <f>IF($A276, _xlfn.XLOOKUP(C276,'Input Data'!$M$17:$M$29,'Input Data'!$N$17:$N$29),$B275)</f>
        <v>6.5000000000000002E-2</v>
      </c>
      <c r="C276" s="10">
        <f t="shared" si="23"/>
        <v>274</v>
      </c>
      <c r="D276" s="18">
        <f t="shared" si="24"/>
        <v>0</v>
      </c>
      <c r="E276" s="18">
        <f>IF(OR(D276&lt;=0,C276&gt;'Input Data'!$B$23*12),0,IF(AND(C276='Input Data'!$B$23*12,'Input Data'!$E$23&gt;'Input Data'!$B$23),D276+D276*B276/12,IF('Input Data'!$C$23="FRM",-PMT($B$3/12,'Input Data'!$E$23*12,$D$3),IF($A276,-PMT(B276/12,('Input Data'!$E$23*12)-C276+1,D276),E275))))</f>
        <v>0</v>
      </c>
      <c r="F276" s="18">
        <f t="shared" si="21"/>
        <v>0</v>
      </c>
      <c r="G276" s="18">
        <f>IF(C276&gt;'Input Data'!$B$23*12,0,D276*B276/12)</f>
        <v>0</v>
      </c>
      <c r="H276" s="18">
        <f t="shared" si="20"/>
        <v>0</v>
      </c>
      <c r="I276" s="18">
        <f t="shared" si="22"/>
        <v>0</v>
      </c>
    </row>
    <row r="277" spans="1:9" x14ac:dyDescent="0.25">
      <c r="A277" t="b">
        <f>IF(('Input Data'!$C$23)="FRM", FALSE, ISNUMBER(MATCH(C277,'Input Data'!$M$18:$M$30,0)))</f>
        <v>0</v>
      </c>
      <c r="B277" s="8">
        <f>IF($A277, _xlfn.XLOOKUP(C277,'Input Data'!$M$17:$M$29,'Input Data'!$N$17:$N$29),$B276)</f>
        <v>6.5000000000000002E-2</v>
      </c>
      <c r="C277" s="10">
        <f t="shared" si="23"/>
        <v>275</v>
      </c>
      <c r="D277" s="18">
        <f t="shared" si="24"/>
        <v>0</v>
      </c>
      <c r="E277" s="18">
        <f>IF(OR(D277&lt;=0,C277&gt;'Input Data'!$B$23*12),0,IF(AND(C277='Input Data'!$B$23*12,'Input Data'!$E$23&gt;'Input Data'!$B$23),D277+D277*B277/12,IF('Input Data'!$C$23="FRM",-PMT($B$3/12,'Input Data'!$E$23*12,$D$3),IF($A277,-PMT(B277/12,('Input Data'!$E$23*12)-C277+1,D277),E276))))</f>
        <v>0</v>
      </c>
      <c r="F277" s="18">
        <f t="shared" si="21"/>
        <v>0</v>
      </c>
      <c r="G277" s="18">
        <f>IF(C277&gt;'Input Data'!$B$23*12,0,D277*B277/12)</f>
        <v>0</v>
      </c>
      <c r="H277" s="18">
        <f t="shared" si="20"/>
        <v>0</v>
      </c>
      <c r="I277" s="18">
        <f t="shared" si="22"/>
        <v>0</v>
      </c>
    </row>
    <row r="278" spans="1:9" x14ac:dyDescent="0.25">
      <c r="A278" t="b">
        <f>IF(('Input Data'!$C$23)="FRM", FALSE, ISNUMBER(MATCH(C278,'Input Data'!$M$18:$M$30,0)))</f>
        <v>0</v>
      </c>
      <c r="B278" s="8">
        <f>IF($A278, _xlfn.XLOOKUP(C278,'Input Data'!$M$17:$M$29,'Input Data'!$N$17:$N$29),$B277)</f>
        <v>6.5000000000000002E-2</v>
      </c>
      <c r="C278" s="10">
        <f t="shared" si="23"/>
        <v>276</v>
      </c>
      <c r="D278" s="18">
        <f t="shared" si="24"/>
        <v>0</v>
      </c>
      <c r="E278" s="18">
        <f>IF(OR(D278&lt;=0,C278&gt;'Input Data'!$B$23*12),0,IF(AND(C278='Input Data'!$B$23*12,'Input Data'!$E$23&gt;'Input Data'!$B$23),D278+D278*B278/12,IF('Input Data'!$C$23="FRM",-PMT($B$3/12,'Input Data'!$E$23*12,$D$3),IF($A278,-PMT(B278/12,('Input Data'!$E$23*12)-C278+1,D278),E277))))</f>
        <v>0</v>
      </c>
      <c r="F278" s="18">
        <f t="shared" si="21"/>
        <v>0</v>
      </c>
      <c r="G278" s="18">
        <f>IF(C278&gt;'Input Data'!$B$23*12,0,D278*B278/12)</f>
        <v>0</v>
      </c>
      <c r="H278" s="18">
        <f t="shared" si="20"/>
        <v>0</v>
      </c>
      <c r="I278" s="18">
        <f t="shared" si="22"/>
        <v>0</v>
      </c>
    </row>
    <row r="279" spans="1:9" x14ac:dyDescent="0.25">
      <c r="A279" t="b">
        <f>IF(('Input Data'!$C$23)="FRM", FALSE, ISNUMBER(MATCH(C279,'Input Data'!$M$18:$M$30,0)))</f>
        <v>0</v>
      </c>
      <c r="B279" s="8">
        <f>IF($A279, _xlfn.XLOOKUP(C279,'Input Data'!$M$17:$M$29,'Input Data'!$N$17:$N$29),$B278)</f>
        <v>6.5000000000000002E-2</v>
      </c>
      <c r="C279" s="10">
        <f t="shared" si="23"/>
        <v>277</v>
      </c>
      <c r="D279" s="18">
        <f t="shared" si="24"/>
        <v>0</v>
      </c>
      <c r="E279" s="18">
        <f>IF(OR(D279&lt;=0,C279&gt;'Input Data'!$B$23*12),0,IF(AND(C279='Input Data'!$B$23*12,'Input Data'!$E$23&gt;'Input Data'!$B$23),D279+D279*B279/12,IF('Input Data'!$C$23="FRM",-PMT($B$3/12,'Input Data'!$E$23*12,$D$3),IF($A279,-PMT(B279/12,('Input Data'!$E$23*12)-C279+1,D279),E278))))</f>
        <v>0</v>
      </c>
      <c r="F279" s="18">
        <f t="shared" si="21"/>
        <v>0</v>
      </c>
      <c r="G279" s="18">
        <f>IF(C279&gt;'Input Data'!$B$23*12,0,D279*B279/12)</f>
        <v>0</v>
      </c>
      <c r="H279" s="18">
        <f t="shared" si="20"/>
        <v>0</v>
      </c>
      <c r="I279" s="18">
        <f t="shared" si="22"/>
        <v>0</v>
      </c>
    </row>
    <row r="280" spans="1:9" x14ac:dyDescent="0.25">
      <c r="A280" t="b">
        <f>IF(('Input Data'!$C$23)="FRM", FALSE, ISNUMBER(MATCH(C280,'Input Data'!$M$18:$M$30,0)))</f>
        <v>0</v>
      </c>
      <c r="B280" s="8">
        <f>IF($A280, _xlfn.XLOOKUP(C280,'Input Data'!$M$17:$M$29,'Input Data'!$N$17:$N$29),$B279)</f>
        <v>6.5000000000000002E-2</v>
      </c>
      <c r="C280" s="10">
        <f t="shared" si="23"/>
        <v>278</v>
      </c>
      <c r="D280" s="18">
        <f t="shared" si="24"/>
        <v>0</v>
      </c>
      <c r="E280" s="18">
        <f>IF(OR(D280&lt;=0,C280&gt;'Input Data'!$B$23*12),0,IF(AND(C280='Input Data'!$B$23*12,'Input Data'!$E$23&gt;'Input Data'!$B$23),D280+D280*B280/12,IF('Input Data'!$C$23="FRM",-PMT($B$3/12,'Input Data'!$E$23*12,$D$3),IF($A280,-PMT(B280/12,('Input Data'!$E$23*12)-C280+1,D280),E279))))</f>
        <v>0</v>
      </c>
      <c r="F280" s="18">
        <f t="shared" si="21"/>
        <v>0</v>
      </c>
      <c r="G280" s="18">
        <f>IF(C280&gt;'Input Data'!$B$23*12,0,D280*B280/12)</f>
        <v>0</v>
      </c>
      <c r="H280" s="18">
        <f t="shared" si="20"/>
        <v>0</v>
      </c>
      <c r="I280" s="18">
        <f t="shared" si="22"/>
        <v>0</v>
      </c>
    </row>
    <row r="281" spans="1:9" x14ac:dyDescent="0.25">
      <c r="A281" t="b">
        <f>IF(('Input Data'!$C$23)="FRM", FALSE, ISNUMBER(MATCH(C281,'Input Data'!$M$18:$M$30,0)))</f>
        <v>0</v>
      </c>
      <c r="B281" s="8">
        <f>IF($A281, _xlfn.XLOOKUP(C281,'Input Data'!$M$17:$M$29,'Input Data'!$N$17:$N$29),$B280)</f>
        <v>6.5000000000000002E-2</v>
      </c>
      <c r="C281" s="10">
        <f t="shared" si="23"/>
        <v>279</v>
      </c>
      <c r="D281" s="18">
        <f t="shared" si="24"/>
        <v>0</v>
      </c>
      <c r="E281" s="18">
        <f>IF(OR(D281&lt;=0,C281&gt;'Input Data'!$B$23*12),0,IF(AND(C281='Input Data'!$B$23*12,'Input Data'!$E$23&gt;'Input Data'!$B$23),D281+D281*B281/12,IF('Input Data'!$C$23="FRM",-PMT($B$3/12,'Input Data'!$E$23*12,$D$3),IF($A281,-PMT(B281/12,('Input Data'!$E$23*12)-C281+1,D281),E280))))</f>
        <v>0</v>
      </c>
      <c r="F281" s="18">
        <f t="shared" si="21"/>
        <v>0</v>
      </c>
      <c r="G281" s="18">
        <f>IF(C281&gt;'Input Data'!$B$23*12,0,D281*B281/12)</f>
        <v>0</v>
      </c>
      <c r="H281" s="18">
        <f t="shared" si="20"/>
        <v>0</v>
      </c>
      <c r="I281" s="18">
        <f t="shared" si="22"/>
        <v>0</v>
      </c>
    </row>
    <row r="282" spans="1:9" x14ac:dyDescent="0.25">
      <c r="A282" t="b">
        <f>IF(('Input Data'!$C$23)="FRM", FALSE, ISNUMBER(MATCH(C282,'Input Data'!$M$18:$M$30,0)))</f>
        <v>0</v>
      </c>
      <c r="B282" s="8">
        <f>IF($A282, _xlfn.XLOOKUP(C282,'Input Data'!$M$17:$M$29,'Input Data'!$N$17:$N$29),$B281)</f>
        <v>6.5000000000000002E-2</v>
      </c>
      <c r="C282" s="10">
        <f t="shared" si="23"/>
        <v>280</v>
      </c>
      <c r="D282" s="18">
        <f t="shared" si="24"/>
        <v>0</v>
      </c>
      <c r="E282" s="18">
        <f>IF(OR(D282&lt;=0,C282&gt;'Input Data'!$B$23*12),0,IF(AND(C282='Input Data'!$B$23*12,'Input Data'!$E$23&gt;'Input Data'!$B$23),D282+D282*B282/12,IF('Input Data'!$C$23="FRM",-PMT($B$3/12,'Input Data'!$E$23*12,$D$3),IF($A282,-PMT(B282/12,('Input Data'!$E$23*12)-C282+1,D282),E281))))</f>
        <v>0</v>
      </c>
      <c r="F282" s="18">
        <f t="shared" si="21"/>
        <v>0</v>
      </c>
      <c r="G282" s="18">
        <f>IF(C282&gt;'Input Data'!$B$23*12,0,D282*B282/12)</f>
        <v>0</v>
      </c>
      <c r="H282" s="18">
        <f t="shared" si="20"/>
        <v>0</v>
      </c>
      <c r="I282" s="18">
        <f t="shared" si="22"/>
        <v>0</v>
      </c>
    </row>
    <row r="283" spans="1:9" x14ac:dyDescent="0.25">
      <c r="A283" t="b">
        <f>IF(('Input Data'!$C$23)="FRM", FALSE, ISNUMBER(MATCH(C283,'Input Data'!$M$18:$M$30,0)))</f>
        <v>0</v>
      </c>
      <c r="B283" s="8">
        <f>IF($A283, _xlfn.XLOOKUP(C283,'Input Data'!$M$17:$M$29,'Input Data'!$N$17:$N$29),$B282)</f>
        <v>6.5000000000000002E-2</v>
      </c>
      <c r="C283" s="10">
        <f t="shared" si="23"/>
        <v>281</v>
      </c>
      <c r="D283" s="18">
        <f t="shared" si="24"/>
        <v>0</v>
      </c>
      <c r="E283" s="18">
        <f>IF(OR(D283&lt;=0,C283&gt;'Input Data'!$B$23*12),0,IF(AND(C283='Input Data'!$B$23*12,'Input Data'!$E$23&gt;'Input Data'!$B$23),D283+D283*B283/12,IF('Input Data'!$C$23="FRM",-PMT($B$3/12,'Input Data'!$E$23*12,$D$3),IF($A283,-PMT(B283/12,('Input Data'!$E$23*12)-C283+1,D283),E282))))</f>
        <v>0</v>
      </c>
      <c r="F283" s="18">
        <f t="shared" si="21"/>
        <v>0</v>
      </c>
      <c r="G283" s="18">
        <f>IF(C283&gt;'Input Data'!$B$23*12,0,D283*B283/12)</f>
        <v>0</v>
      </c>
      <c r="H283" s="18">
        <f t="shared" si="20"/>
        <v>0</v>
      </c>
      <c r="I283" s="18">
        <f t="shared" si="22"/>
        <v>0</v>
      </c>
    </row>
    <row r="284" spans="1:9" x14ac:dyDescent="0.25">
      <c r="A284" t="b">
        <f>IF(('Input Data'!$C$23)="FRM", FALSE, ISNUMBER(MATCH(C284,'Input Data'!$M$18:$M$30,0)))</f>
        <v>0</v>
      </c>
      <c r="B284" s="8">
        <f>IF($A284, _xlfn.XLOOKUP(C284,'Input Data'!$M$17:$M$29,'Input Data'!$N$17:$N$29),$B283)</f>
        <v>6.5000000000000002E-2</v>
      </c>
      <c r="C284" s="10">
        <f t="shared" si="23"/>
        <v>282</v>
      </c>
      <c r="D284" s="18">
        <f t="shared" si="24"/>
        <v>0</v>
      </c>
      <c r="E284" s="18">
        <f>IF(OR(D284&lt;=0,C284&gt;'Input Data'!$B$23*12),0,IF(AND(C284='Input Data'!$B$23*12,'Input Data'!$E$23&gt;'Input Data'!$B$23),D284+D284*B284/12,IF('Input Data'!$C$23="FRM",-PMT($B$3/12,'Input Data'!$E$23*12,$D$3),IF($A284,-PMT(B284/12,('Input Data'!$E$23*12)-C284+1,D284),E283))))</f>
        <v>0</v>
      </c>
      <c r="F284" s="18">
        <f t="shared" si="21"/>
        <v>0</v>
      </c>
      <c r="G284" s="18">
        <f>IF(C284&gt;'Input Data'!$B$23*12,0,D284*B284/12)</f>
        <v>0</v>
      </c>
      <c r="H284" s="18">
        <f t="shared" si="20"/>
        <v>0</v>
      </c>
      <c r="I284" s="18">
        <f t="shared" si="22"/>
        <v>0</v>
      </c>
    </row>
    <row r="285" spans="1:9" x14ac:dyDescent="0.25">
      <c r="A285" t="b">
        <f>IF(('Input Data'!$C$23)="FRM", FALSE, ISNUMBER(MATCH(C285,'Input Data'!$M$18:$M$30,0)))</f>
        <v>0</v>
      </c>
      <c r="B285" s="8">
        <f>IF($A285, _xlfn.XLOOKUP(C285,'Input Data'!$M$17:$M$29,'Input Data'!$N$17:$N$29),$B284)</f>
        <v>6.5000000000000002E-2</v>
      </c>
      <c r="C285" s="10">
        <f t="shared" si="23"/>
        <v>283</v>
      </c>
      <c r="D285" s="18">
        <f t="shared" si="24"/>
        <v>0</v>
      </c>
      <c r="E285" s="18">
        <f>IF(OR(D285&lt;=0,C285&gt;'Input Data'!$B$23*12),0,IF(AND(C285='Input Data'!$B$23*12,'Input Data'!$E$23&gt;'Input Data'!$B$23),D285+D285*B285/12,IF('Input Data'!$C$23="FRM",-PMT($B$3/12,'Input Data'!$E$23*12,$D$3),IF($A285,-PMT(B285/12,('Input Data'!$E$23*12)-C285+1,D285),E284))))</f>
        <v>0</v>
      </c>
      <c r="F285" s="18">
        <f t="shared" si="21"/>
        <v>0</v>
      </c>
      <c r="G285" s="18">
        <f>IF(C285&gt;'Input Data'!$B$23*12,0,D285*B285/12)</f>
        <v>0</v>
      </c>
      <c r="H285" s="18">
        <f t="shared" si="20"/>
        <v>0</v>
      </c>
      <c r="I285" s="18">
        <f t="shared" si="22"/>
        <v>0</v>
      </c>
    </row>
    <row r="286" spans="1:9" x14ac:dyDescent="0.25">
      <c r="A286" t="b">
        <f>IF(('Input Data'!$C$23)="FRM", FALSE, ISNUMBER(MATCH(C286,'Input Data'!$M$18:$M$30,0)))</f>
        <v>0</v>
      </c>
      <c r="B286" s="8">
        <f>IF($A286, _xlfn.XLOOKUP(C286,'Input Data'!$M$17:$M$29,'Input Data'!$N$17:$N$29),$B285)</f>
        <v>6.5000000000000002E-2</v>
      </c>
      <c r="C286" s="10">
        <f t="shared" si="23"/>
        <v>284</v>
      </c>
      <c r="D286" s="18">
        <f t="shared" si="24"/>
        <v>0</v>
      </c>
      <c r="E286" s="18">
        <f>IF(OR(D286&lt;=0,C286&gt;'Input Data'!$B$23*12),0,IF(AND(C286='Input Data'!$B$23*12,'Input Data'!$E$23&gt;'Input Data'!$B$23),D286+D286*B286/12,IF('Input Data'!$C$23="FRM",-PMT($B$3/12,'Input Data'!$E$23*12,$D$3),IF($A286,-PMT(B286/12,('Input Data'!$E$23*12)-C286+1,D286),E285))))</f>
        <v>0</v>
      </c>
      <c r="F286" s="18">
        <f t="shared" si="21"/>
        <v>0</v>
      </c>
      <c r="G286" s="18">
        <f>IF(C286&gt;'Input Data'!$B$23*12,0,D286*B286/12)</f>
        <v>0</v>
      </c>
      <c r="H286" s="18">
        <f t="shared" si="20"/>
        <v>0</v>
      </c>
      <c r="I286" s="18">
        <f t="shared" si="22"/>
        <v>0</v>
      </c>
    </row>
    <row r="287" spans="1:9" x14ac:dyDescent="0.25">
      <c r="A287" t="b">
        <f>IF(('Input Data'!$C$23)="FRM", FALSE, ISNUMBER(MATCH(C287,'Input Data'!$M$18:$M$30,0)))</f>
        <v>0</v>
      </c>
      <c r="B287" s="8">
        <f>IF($A287, _xlfn.XLOOKUP(C287,'Input Data'!$M$17:$M$29,'Input Data'!$N$17:$N$29),$B286)</f>
        <v>6.5000000000000002E-2</v>
      </c>
      <c r="C287" s="10">
        <f t="shared" si="23"/>
        <v>285</v>
      </c>
      <c r="D287" s="18">
        <f t="shared" si="24"/>
        <v>0</v>
      </c>
      <c r="E287" s="18">
        <f>IF(OR(D287&lt;=0,C287&gt;'Input Data'!$B$23*12),0,IF(AND(C287='Input Data'!$B$23*12,'Input Data'!$E$23&gt;'Input Data'!$B$23),D287+D287*B287/12,IF('Input Data'!$C$23="FRM",-PMT($B$3/12,'Input Data'!$E$23*12,$D$3),IF($A287,-PMT(B287/12,('Input Data'!$E$23*12)-C287+1,D287),E286))))</f>
        <v>0</v>
      </c>
      <c r="F287" s="18">
        <f t="shared" si="21"/>
        <v>0</v>
      </c>
      <c r="G287" s="18">
        <f>IF(C287&gt;'Input Data'!$B$23*12,0,D287*B287/12)</f>
        <v>0</v>
      </c>
      <c r="H287" s="18">
        <f t="shared" si="20"/>
        <v>0</v>
      </c>
      <c r="I287" s="18">
        <f t="shared" si="22"/>
        <v>0</v>
      </c>
    </row>
    <row r="288" spans="1:9" x14ac:dyDescent="0.25">
      <c r="A288" t="b">
        <f>IF(('Input Data'!$C$23)="FRM", FALSE, ISNUMBER(MATCH(C288,'Input Data'!$M$18:$M$30,0)))</f>
        <v>0</v>
      </c>
      <c r="B288" s="8">
        <f>IF($A288, _xlfn.XLOOKUP(C288,'Input Data'!$M$17:$M$29,'Input Data'!$N$17:$N$29),$B287)</f>
        <v>6.5000000000000002E-2</v>
      </c>
      <c r="C288" s="10">
        <f t="shared" si="23"/>
        <v>286</v>
      </c>
      <c r="D288" s="18">
        <f t="shared" si="24"/>
        <v>0</v>
      </c>
      <c r="E288" s="18">
        <f>IF(OR(D288&lt;=0,C288&gt;'Input Data'!$B$23*12),0,IF(AND(C288='Input Data'!$B$23*12,'Input Data'!$E$23&gt;'Input Data'!$B$23),D288+D288*B288/12,IF('Input Data'!$C$23="FRM",-PMT($B$3/12,'Input Data'!$E$23*12,$D$3),IF($A288,-PMT(B288/12,('Input Data'!$E$23*12)-C288+1,D288),E287))))</f>
        <v>0</v>
      </c>
      <c r="F288" s="18">
        <f t="shared" si="21"/>
        <v>0</v>
      </c>
      <c r="G288" s="18">
        <f>IF(C288&gt;'Input Data'!$B$23*12,0,D288*B288/12)</f>
        <v>0</v>
      </c>
      <c r="H288" s="18">
        <f t="shared" si="20"/>
        <v>0</v>
      </c>
      <c r="I288" s="18">
        <f t="shared" si="22"/>
        <v>0</v>
      </c>
    </row>
    <row r="289" spans="1:9" x14ac:dyDescent="0.25">
      <c r="A289" t="b">
        <f>IF(('Input Data'!$C$23)="FRM", FALSE, ISNUMBER(MATCH(C289,'Input Data'!$M$18:$M$30,0)))</f>
        <v>0</v>
      </c>
      <c r="B289" s="8">
        <f>IF($A289, _xlfn.XLOOKUP(C289,'Input Data'!$M$17:$M$29,'Input Data'!$N$17:$N$29),$B288)</f>
        <v>6.5000000000000002E-2</v>
      </c>
      <c r="C289" s="10">
        <f t="shared" si="23"/>
        <v>287</v>
      </c>
      <c r="D289" s="18">
        <f t="shared" si="24"/>
        <v>0</v>
      </c>
      <c r="E289" s="18">
        <f>IF(OR(D289&lt;=0,C289&gt;'Input Data'!$B$23*12),0,IF(AND(C289='Input Data'!$B$23*12,'Input Data'!$E$23&gt;'Input Data'!$B$23),D289+D289*B289/12,IF('Input Data'!$C$23="FRM",-PMT($B$3/12,'Input Data'!$E$23*12,$D$3),IF($A289,-PMT(B289/12,('Input Data'!$E$23*12)-C289+1,D289),E288))))</f>
        <v>0</v>
      </c>
      <c r="F289" s="18">
        <f t="shared" si="21"/>
        <v>0</v>
      </c>
      <c r="G289" s="18">
        <f>IF(C289&gt;'Input Data'!$B$23*12,0,D289*B289/12)</f>
        <v>0</v>
      </c>
      <c r="H289" s="18">
        <f t="shared" si="20"/>
        <v>0</v>
      </c>
      <c r="I289" s="18">
        <f t="shared" si="22"/>
        <v>0</v>
      </c>
    </row>
    <row r="290" spans="1:9" x14ac:dyDescent="0.25">
      <c r="A290" t="b">
        <f>IF(('Input Data'!$C$23)="FRM", FALSE, ISNUMBER(MATCH(C290,'Input Data'!$M$18:$M$30,0)))</f>
        <v>0</v>
      </c>
      <c r="B290" s="8">
        <f>IF($A290, _xlfn.XLOOKUP(C290,'Input Data'!$M$17:$M$29,'Input Data'!$N$17:$N$29),$B289)</f>
        <v>6.5000000000000002E-2</v>
      </c>
      <c r="C290" s="10">
        <f t="shared" si="23"/>
        <v>288</v>
      </c>
      <c r="D290" s="18">
        <f t="shared" si="24"/>
        <v>0</v>
      </c>
      <c r="E290" s="18">
        <f>IF(OR(D290&lt;=0,C290&gt;'Input Data'!$B$23*12),0,IF(AND(C290='Input Data'!$B$23*12,'Input Data'!$E$23&gt;'Input Data'!$B$23),D290+D290*B290/12,IF('Input Data'!$C$23="FRM",-PMT($B$3/12,'Input Data'!$E$23*12,$D$3),IF($A290,-PMT(B290/12,('Input Data'!$E$23*12)-C290+1,D290),E289))))</f>
        <v>0</v>
      </c>
      <c r="F290" s="18">
        <f t="shared" si="21"/>
        <v>0</v>
      </c>
      <c r="G290" s="18">
        <f>IF(C290&gt;'Input Data'!$B$23*12,0,D290*B290/12)</f>
        <v>0</v>
      </c>
      <c r="H290" s="18">
        <f t="shared" si="20"/>
        <v>0</v>
      </c>
      <c r="I290" s="18">
        <f t="shared" si="22"/>
        <v>0</v>
      </c>
    </row>
    <row r="291" spans="1:9" x14ac:dyDescent="0.25">
      <c r="A291" t="b">
        <f>IF(('Input Data'!$C$23)="FRM", FALSE, ISNUMBER(MATCH(C291,'Input Data'!$M$18:$M$30,0)))</f>
        <v>0</v>
      </c>
      <c r="B291" s="8">
        <f>IF($A291, _xlfn.XLOOKUP(C291,'Input Data'!$M$17:$M$29,'Input Data'!$N$17:$N$29),$B290)</f>
        <v>6.5000000000000002E-2</v>
      </c>
      <c r="C291" s="10">
        <f t="shared" si="23"/>
        <v>289</v>
      </c>
      <c r="D291" s="18">
        <f t="shared" si="24"/>
        <v>0</v>
      </c>
      <c r="E291" s="18">
        <f>IF(OR(D291&lt;=0,C291&gt;'Input Data'!$B$23*12),0,IF(AND(C291='Input Data'!$B$23*12,'Input Data'!$E$23&gt;'Input Data'!$B$23),D291+D291*B291/12,IF('Input Data'!$C$23="FRM",-PMT($B$3/12,'Input Data'!$E$23*12,$D$3),IF($A291,-PMT(B291/12,('Input Data'!$E$23*12)-C291+1,D291),E290))))</f>
        <v>0</v>
      </c>
      <c r="F291" s="18">
        <f t="shared" si="21"/>
        <v>0</v>
      </c>
      <c r="G291" s="18">
        <f>IF(C291&gt;'Input Data'!$B$23*12,0,D291*B291/12)</f>
        <v>0</v>
      </c>
      <c r="H291" s="18">
        <f t="shared" si="20"/>
        <v>0</v>
      </c>
      <c r="I291" s="18">
        <f t="shared" si="22"/>
        <v>0</v>
      </c>
    </row>
    <row r="292" spans="1:9" x14ac:dyDescent="0.25">
      <c r="A292" t="b">
        <f>IF(('Input Data'!$C$23)="FRM", FALSE, ISNUMBER(MATCH(C292,'Input Data'!$M$18:$M$30,0)))</f>
        <v>0</v>
      </c>
      <c r="B292" s="8">
        <f>IF($A292, _xlfn.XLOOKUP(C292,'Input Data'!$M$17:$M$29,'Input Data'!$N$17:$N$29),$B291)</f>
        <v>6.5000000000000002E-2</v>
      </c>
      <c r="C292" s="10">
        <f t="shared" si="23"/>
        <v>290</v>
      </c>
      <c r="D292" s="18">
        <f t="shared" si="24"/>
        <v>0</v>
      </c>
      <c r="E292" s="18">
        <f>IF(OR(D292&lt;=0,C292&gt;'Input Data'!$B$23*12),0,IF(AND(C292='Input Data'!$B$23*12,'Input Data'!$E$23&gt;'Input Data'!$B$23),D292+D292*B292/12,IF('Input Data'!$C$23="FRM",-PMT($B$3/12,'Input Data'!$E$23*12,$D$3),IF($A292,-PMT(B292/12,('Input Data'!$E$23*12)-C292+1,D292),E291))))</f>
        <v>0</v>
      </c>
      <c r="F292" s="18">
        <f t="shared" si="21"/>
        <v>0</v>
      </c>
      <c r="G292" s="18">
        <f>IF(C292&gt;'Input Data'!$B$23*12,0,D292*B292/12)</f>
        <v>0</v>
      </c>
      <c r="H292" s="18">
        <f t="shared" si="20"/>
        <v>0</v>
      </c>
      <c r="I292" s="18">
        <f t="shared" si="22"/>
        <v>0</v>
      </c>
    </row>
    <row r="293" spans="1:9" x14ac:dyDescent="0.25">
      <c r="A293" t="b">
        <f>IF(('Input Data'!$C$23)="FRM", FALSE, ISNUMBER(MATCH(C293,'Input Data'!$M$18:$M$30,0)))</f>
        <v>0</v>
      </c>
      <c r="B293" s="8">
        <f>IF($A293, _xlfn.XLOOKUP(C293,'Input Data'!$M$17:$M$29,'Input Data'!$N$17:$N$29),$B292)</f>
        <v>6.5000000000000002E-2</v>
      </c>
      <c r="C293" s="10">
        <f t="shared" si="23"/>
        <v>291</v>
      </c>
      <c r="D293" s="18">
        <f t="shared" si="24"/>
        <v>0</v>
      </c>
      <c r="E293" s="18">
        <f>IF(OR(D293&lt;=0,C293&gt;'Input Data'!$B$23*12),0,IF(AND(C293='Input Data'!$B$23*12,'Input Data'!$E$23&gt;'Input Data'!$B$23),D293+D293*B293/12,IF('Input Data'!$C$23="FRM",-PMT($B$3/12,'Input Data'!$E$23*12,$D$3),IF($A293,-PMT(B293/12,('Input Data'!$E$23*12)-C293+1,D293),E292))))</f>
        <v>0</v>
      </c>
      <c r="F293" s="18">
        <f t="shared" si="21"/>
        <v>0</v>
      </c>
      <c r="G293" s="18">
        <f>IF(C293&gt;'Input Data'!$B$23*12,0,D293*B293/12)</f>
        <v>0</v>
      </c>
      <c r="H293" s="18">
        <f t="shared" si="20"/>
        <v>0</v>
      </c>
      <c r="I293" s="18">
        <f t="shared" si="22"/>
        <v>0</v>
      </c>
    </row>
    <row r="294" spans="1:9" x14ac:dyDescent="0.25">
      <c r="A294" t="b">
        <f>IF(('Input Data'!$C$23)="FRM", FALSE, ISNUMBER(MATCH(C294,'Input Data'!$M$18:$M$30,0)))</f>
        <v>0</v>
      </c>
      <c r="B294" s="8">
        <f>IF($A294, _xlfn.XLOOKUP(C294,'Input Data'!$M$17:$M$29,'Input Data'!$N$17:$N$29),$B293)</f>
        <v>6.5000000000000002E-2</v>
      </c>
      <c r="C294" s="10">
        <f t="shared" si="23"/>
        <v>292</v>
      </c>
      <c r="D294" s="18">
        <f t="shared" si="24"/>
        <v>0</v>
      </c>
      <c r="E294" s="18">
        <f>IF(OR(D294&lt;=0,C294&gt;'Input Data'!$B$23*12),0,IF(AND(C294='Input Data'!$B$23*12,'Input Data'!$E$23&gt;'Input Data'!$B$23),D294+D294*B294/12,IF('Input Data'!$C$23="FRM",-PMT($B$3/12,'Input Data'!$E$23*12,$D$3),IF($A294,-PMT(B294/12,('Input Data'!$E$23*12)-C294+1,D294),E293))))</f>
        <v>0</v>
      </c>
      <c r="F294" s="18">
        <f t="shared" si="21"/>
        <v>0</v>
      </c>
      <c r="G294" s="18">
        <f>IF(C294&gt;'Input Data'!$B$23*12,0,D294*B294/12)</f>
        <v>0</v>
      </c>
      <c r="H294" s="18">
        <f t="shared" si="20"/>
        <v>0</v>
      </c>
      <c r="I294" s="18">
        <f t="shared" si="22"/>
        <v>0</v>
      </c>
    </row>
    <row r="295" spans="1:9" x14ac:dyDescent="0.25">
      <c r="A295" t="b">
        <f>IF(('Input Data'!$C$23)="FRM", FALSE, ISNUMBER(MATCH(C295,'Input Data'!$M$18:$M$30,0)))</f>
        <v>0</v>
      </c>
      <c r="B295" s="8">
        <f>IF($A295, _xlfn.XLOOKUP(C295,'Input Data'!$M$17:$M$29,'Input Data'!$N$17:$N$29),$B294)</f>
        <v>6.5000000000000002E-2</v>
      </c>
      <c r="C295" s="10">
        <f t="shared" si="23"/>
        <v>293</v>
      </c>
      <c r="D295" s="18">
        <f t="shared" si="24"/>
        <v>0</v>
      </c>
      <c r="E295" s="18">
        <f>IF(OR(D295&lt;=0,C295&gt;'Input Data'!$B$23*12),0,IF(AND(C295='Input Data'!$B$23*12,'Input Data'!$E$23&gt;'Input Data'!$B$23),D295+D295*B295/12,IF('Input Data'!$C$23="FRM",-PMT($B$3/12,'Input Data'!$E$23*12,$D$3),IF($A295,-PMT(B295/12,('Input Data'!$E$23*12)-C295+1,D295),E294))))</f>
        <v>0</v>
      </c>
      <c r="F295" s="18">
        <f t="shared" si="21"/>
        <v>0</v>
      </c>
      <c r="G295" s="18">
        <f>IF(C295&gt;'Input Data'!$B$23*12,0,D295*B295/12)</f>
        <v>0</v>
      </c>
      <c r="H295" s="18">
        <f t="shared" si="20"/>
        <v>0</v>
      </c>
      <c r="I295" s="18">
        <f t="shared" si="22"/>
        <v>0</v>
      </c>
    </row>
    <row r="296" spans="1:9" x14ac:dyDescent="0.25">
      <c r="A296" t="b">
        <f>IF(('Input Data'!$C$23)="FRM", FALSE, ISNUMBER(MATCH(C296,'Input Data'!$M$18:$M$30,0)))</f>
        <v>0</v>
      </c>
      <c r="B296" s="8">
        <f>IF($A296, _xlfn.XLOOKUP(C296,'Input Data'!$M$17:$M$29,'Input Data'!$N$17:$N$29),$B295)</f>
        <v>6.5000000000000002E-2</v>
      </c>
      <c r="C296" s="10">
        <f t="shared" si="23"/>
        <v>294</v>
      </c>
      <c r="D296" s="18">
        <f t="shared" si="24"/>
        <v>0</v>
      </c>
      <c r="E296" s="18">
        <f>IF(OR(D296&lt;=0,C296&gt;'Input Data'!$B$23*12),0,IF(AND(C296='Input Data'!$B$23*12,'Input Data'!$E$23&gt;'Input Data'!$B$23),D296+D296*B296/12,IF('Input Data'!$C$23="FRM",-PMT($B$3/12,'Input Data'!$E$23*12,$D$3),IF($A296,-PMT(B296/12,('Input Data'!$E$23*12)-C296+1,D296),E295))))</f>
        <v>0</v>
      </c>
      <c r="F296" s="18">
        <f t="shared" si="21"/>
        <v>0</v>
      </c>
      <c r="G296" s="18">
        <f>IF(C296&gt;'Input Data'!$B$23*12,0,D296*B296/12)</f>
        <v>0</v>
      </c>
      <c r="H296" s="18">
        <f t="shared" si="20"/>
        <v>0</v>
      </c>
      <c r="I296" s="18">
        <f t="shared" si="22"/>
        <v>0</v>
      </c>
    </row>
    <row r="297" spans="1:9" x14ac:dyDescent="0.25">
      <c r="A297" t="b">
        <f>IF(('Input Data'!$C$23)="FRM", FALSE, ISNUMBER(MATCH(C297,'Input Data'!$M$18:$M$30,0)))</f>
        <v>0</v>
      </c>
      <c r="B297" s="8">
        <f>IF($A297, _xlfn.XLOOKUP(C297,'Input Data'!$M$17:$M$29,'Input Data'!$N$17:$N$29),$B296)</f>
        <v>6.5000000000000002E-2</v>
      </c>
      <c r="C297" s="10">
        <f t="shared" si="23"/>
        <v>295</v>
      </c>
      <c r="D297" s="18">
        <f t="shared" si="24"/>
        <v>0</v>
      </c>
      <c r="E297" s="18">
        <f>IF(OR(D297&lt;=0,C297&gt;'Input Data'!$B$23*12),0,IF(AND(C297='Input Data'!$B$23*12,'Input Data'!$E$23&gt;'Input Data'!$B$23),D297+D297*B297/12,IF('Input Data'!$C$23="FRM",-PMT($B$3/12,'Input Data'!$E$23*12,$D$3),IF($A297,-PMT(B297/12,('Input Data'!$E$23*12)-C297+1,D297),E296))))</f>
        <v>0</v>
      </c>
      <c r="F297" s="18">
        <f t="shared" si="21"/>
        <v>0</v>
      </c>
      <c r="G297" s="18">
        <f>IF(C297&gt;'Input Data'!$B$23*12,0,D297*B297/12)</f>
        <v>0</v>
      </c>
      <c r="H297" s="18">
        <f t="shared" si="20"/>
        <v>0</v>
      </c>
      <c r="I297" s="18">
        <f t="shared" si="22"/>
        <v>0</v>
      </c>
    </row>
    <row r="298" spans="1:9" x14ac:dyDescent="0.25">
      <c r="A298" t="b">
        <f>IF(('Input Data'!$C$23)="FRM", FALSE, ISNUMBER(MATCH(C298,'Input Data'!$M$18:$M$30,0)))</f>
        <v>0</v>
      </c>
      <c r="B298" s="8">
        <f>IF($A298, _xlfn.XLOOKUP(C298,'Input Data'!$M$17:$M$29,'Input Data'!$N$17:$N$29),$B297)</f>
        <v>6.5000000000000002E-2</v>
      </c>
      <c r="C298" s="10">
        <f t="shared" si="23"/>
        <v>296</v>
      </c>
      <c r="D298" s="18">
        <f t="shared" si="24"/>
        <v>0</v>
      </c>
      <c r="E298" s="18">
        <f>IF(OR(D298&lt;=0,C298&gt;'Input Data'!$B$23*12),0,IF(AND(C298='Input Data'!$B$23*12,'Input Data'!$E$23&gt;'Input Data'!$B$23),D298+D298*B298/12,IF('Input Data'!$C$23="FRM",-PMT($B$3/12,'Input Data'!$E$23*12,$D$3),IF($A298,-PMT(B298/12,('Input Data'!$E$23*12)-C298+1,D298),E297))))</f>
        <v>0</v>
      </c>
      <c r="F298" s="18">
        <f t="shared" si="21"/>
        <v>0</v>
      </c>
      <c r="G298" s="18">
        <f>IF(C298&gt;'Input Data'!$B$23*12,0,D298*B298/12)</f>
        <v>0</v>
      </c>
      <c r="H298" s="18">
        <f t="shared" si="20"/>
        <v>0</v>
      </c>
      <c r="I298" s="18">
        <f t="shared" si="22"/>
        <v>0</v>
      </c>
    </row>
    <row r="299" spans="1:9" x14ac:dyDescent="0.25">
      <c r="A299" t="b">
        <f>IF(('Input Data'!$C$23)="FRM", FALSE, ISNUMBER(MATCH(C299,'Input Data'!$M$18:$M$30,0)))</f>
        <v>0</v>
      </c>
      <c r="B299" s="8">
        <f>IF($A299, _xlfn.XLOOKUP(C299,'Input Data'!$M$17:$M$29,'Input Data'!$N$17:$N$29),$B298)</f>
        <v>6.5000000000000002E-2</v>
      </c>
      <c r="C299" s="10">
        <f t="shared" si="23"/>
        <v>297</v>
      </c>
      <c r="D299" s="18">
        <f t="shared" si="24"/>
        <v>0</v>
      </c>
      <c r="E299" s="18">
        <f>IF(OR(D299&lt;=0,C299&gt;'Input Data'!$B$23*12),0,IF(AND(C299='Input Data'!$B$23*12,'Input Data'!$E$23&gt;'Input Data'!$B$23),D299+D299*B299/12,IF('Input Data'!$C$23="FRM",-PMT($B$3/12,'Input Data'!$E$23*12,$D$3),IF($A299,-PMT(B299/12,('Input Data'!$E$23*12)-C299+1,D299),E298))))</f>
        <v>0</v>
      </c>
      <c r="F299" s="18">
        <f t="shared" si="21"/>
        <v>0</v>
      </c>
      <c r="G299" s="18">
        <f>IF(C299&gt;'Input Data'!$B$23*12,0,D299*B299/12)</f>
        <v>0</v>
      </c>
      <c r="H299" s="18">
        <f t="shared" si="20"/>
        <v>0</v>
      </c>
      <c r="I299" s="18">
        <f t="shared" si="22"/>
        <v>0</v>
      </c>
    </row>
    <row r="300" spans="1:9" x14ac:dyDescent="0.25">
      <c r="A300" t="b">
        <f>IF(('Input Data'!$C$23)="FRM", FALSE, ISNUMBER(MATCH(C300,'Input Data'!$M$18:$M$30,0)))</f>
        <v>0</v>
      </c>
      <c r="B300" s="8">
        <f>IF($A300, _xlfn.XLOOKUP(C300,'Input Data'!$M$17:$M$29,'Input Data'!$N$17:$N$29),$B299)</f>
        <v>6.5000000000000002E-2</v>
      </c>
      <c r="C300" s="10">
        <f t="shared" si="23"/>
        <v>298</v>
      </c>
      <c r="D300" s="18">
        <f t="shared" si="24"/>
        <v>0</v>
      </c>
      <c r="E300" s="18">
        <f>IF(OR(D300&lt;=0,C300&gt;'Input Data'!$B$23*12),0,IF(AND(C300='Input Data'!$B$23*12,'Input Data'!$E$23&gt;'Input Data'!$B$23),D300+D300*B300/12,IF('Input Data'!$C$23="FRM",-PMT($B$3/12,'Input Data'!$E$23*12,$D$3),IF($A300,-PMT(B300/12,('Input Data'!$E$23*12)-C300+1,D300),E299))))</f>
        <v>0</v>
      </c>
      <c r="F300" s="18">
        <f t="shared" si="21"/>
        <v>0</v>
      </c>
      <c r="G300" s="18">
        <f>IF(C300&gt;'Input Data'!$B$23*12,0,D300*B300/12)</f>
        <v>0</v>
      </c>
      <c r="H300" s="18">
        <f t="shared" si="20"/>
        <v>0</v>
      </c>
      <c r="I300" s="18">
        <f t="shared" si="22"/>
        <v>0</v>
      </c>
    </row>
    <row r="301" spans="1:9" x14ac:dyDescent="0.25">
      <c r="A301" t="b">
        <f>IF(('Input Data'!$C$23)="FRM", FALSE, ISNUMBER(MATCH(C301,'Input Data'!$M$18:$M$30,0)))</f>
        <v>0</v>
      </c>
      <c r="B301" s="8">
        <f>IF($A301, _xlfn.XLOOKUP(C301,'Input Data'!$M$17:$M$29,'Input Data'!$N$17:$N$29),$B300)</f>
        <v>6.5000000000000002E-2</v>
      </c>
      <c r="C301" s="10">
        <f t="shared" si="23"/>
        <v>299</v>
      </c>
      <c r="D301" s="18">
        <f t="shared" si="24"/>
        <v>0</v>
      </c>
      <c r="E301" s="18">
        <f>IF(OR(D301&lt;=0,C301&gt;'Input Data'!$B$23*12),0,IF(AND(C301='Input Data'!$B$23*12,'Input Data'!$E$23&gt;'Input Data'!$B$23),D301+D301*B301/12,IF('Input Data'!$C$23="FRM",-PMT($B$3/12,'Input Data'!$E$23*12,$D$3),IF($A301,-PMT(B301/12,('Input Data'!$E$23*12)-C301+1,D301),E300))))</f>
        <v>0</v>
      </c>
      <c r="F301" s="18">
        <f t="shared" si="21"/>
        <v>0</v>
      </c>
      <c r="G301" s="18">
        <f>IF(C301&gt;'Input Data'!$B$23*12,0,D301*B301/12)</f>
        <v>0</v>
      </c>
      <c r="H301" s="18">
        <f t="shared" si="20"/>
        <v>0</v>
      </c>
      <c r="I301" s="18">
        <f t="shared" si="22"/>
        <v>0</v>
      </c>
    </row>
    <row r="302" spans="1:9" x14ac:dyDescent="0.25">
      <c r="A302" t="b">
        <f>IF(('Input Data'!$C$23)="FRM", FALSE, ISNUMBER(MATCH(C302,'Input Data'!$M$18:$M$30,0)))</f>
        <v>0</v>
      </c>
      <c r="B302" s="8">
        <f>IF($A302, _xlfn.XLOOKUP(C302,'Input Data'!$M$17:$M$29,'Input Data'!$N$17:$N$29),$B301)</f>
        <v>6.5000000000000002E-2</v>
      </c>
      <c r="C302" s="10">
        <f t="shared" si="23"/>
        <v>300</v>
      </c>
      <c r="D302" s="18">
        <f t="shared" si="24"/>
        <v>0</v>
      </c>
      <c r="E302" s="18">
        <f>IF(OR(D302&lt;=0,C302&gt;'Input Data'!$B$23*12),0,IF(AND(C302='Input Data'!$B$23*12,'Input Data'!$E$23&gt;'Input Data'!$B$23),D302+D302*B302/12,IF('Input Data'!$C$23="FRM",-PMT($B$3/12,'Input Data'!$E$23*12,$D$3),IF($A302,-PMT(B302/12,('Input Data'!$E$23*12)-C302+1,D302),E301))))</f>
        <v>0</v>
      </c>
      <c r="F302" s="18">
        <f t="shared" si="21"/>
        <v>0</v>
      </c>
      <c r="G302" s="18">
        <f>IF(C302&gt;'Input Data'!$B$23*12,0,D302*B302/12)</f>
        <v>0</v>
      </c>
      <c r="H302" s="18">
        <f t="shared" si="20"/>
        <v>0</v>
      </c>
      <c r="I302" s="18">
        <f t="shared" si="22"/>
        <v>0</v>
      </c>
    </row>
    <row r="303" spans="1:9" x14ac:dyDescent="0.25">
      <c r="A303" t="b">
        <f>IF(('Input Data'!$C$23)="FRM", FALSE, ISNUMBER(MATCH(C303,'Input Data'!$M$18:$M$30,0)))</f>
        <v>0</v>
      </c>
      <c r="B303" s="8">
        <f>IF($A303, _xlfn.XLOOKUP(C303,'Input Data'!$M$17:$M$29,'Input Data'!$N$17:$N$29),$B302)</f>
        <v>6.5000000000000002E-2</v>
      </c>
      <c r="C303" s="10">
        <f t="shared" si="23"/>
        <v>301</v>
      </c>
      <c r="D303" s="18">
        <f t="shared" si="24"/>
        <v>0</v>
      </c>
      <c r="E303" s="18">
        <f>IF(OR(D303&lt;=0,C303&gt;'Input Data'!$B$23*12),0,IF(AND(C303='Input Data'!$B$23*12,'Input Data'!$E$23&gt;'Input Data'!$B$23),D303+D303*B303/12,IF('Input Data'!$C$23="FRM",-PMT($B$3/12,'Input Data'!$E$23*12,$D$3),IF($A303,-PMT(B303/12,('Input Data'!$E$23*12)-C303+1,D303),E302))))</f>
        <v>0</v>
      </c>
      <c r="F303" s="18">
        <f t="shared" si="21"/>
        <v>0</v>
      </c>
      <c r="G303" s="18">
        <f>IF(C303&gt;'Input Data'!$B$23*12,0,D303*B303/12)</f>
        <v>0</v>
      </c>
      <c r="H303" s="18">
        <f t="shared" si="20"/>
        <v>0</v>
      </c>
      <c r="I303" s="18">
        <f t="shared" si="22"/>
        <v>0</v>
      </c>
    </row>
    <row r="304" spans="1:9" x14ac:dyDescent="0.25">
      <c r="A304" t="b">
        <f>IF(('Input Data'!$C$23)="FRM", FALSE, ISNUMBER(MATCH(C304,'Input Data'!$M$18:$M$30,0)))</f>
        <v>0</v>
      </c>
      <c r="B304" s="8">
        <f>IF($A304, _xlfn.XLOOKUP(C304,'Input Data'!$M$17:$M$29,'Input Data'!$N$17:$N$29),$B303)</f>
        <v>6.5000000000000002E-2</v>
      </c>
      <c r="C304" s="10">
        <f t="shared" si="23"/>
        <v>302</v>
      </c>
      <c r="D304" s="18">
        <f t="shared" si="24"/>
        <v>0</v>
      </c>
      <c r="E304" s="18">
        <f>IF(OR(D304&lt;=0,C304&gt;'Input Data'!$B$23*12),0,IF(AND(C304='Input Data'!$B$23*12,'Input Data'!$E$23&gt;'Input Data'!$B$23),D304+D304*B304/12,IF('Input Data'!$C$23="FRM",-PMT($B$3/12,'Input Data'!$E$23*12,$D$3),IF($A304,-PMT(B304/12,('Input Data'!$E$23*12)-C304+1,D304),E303))))</f>
        <v>0</v>
      </c>
      <c r="F304" s="18">
        <f t="shared" si="21"/>
        <v>0</v>
      </c>
      <c r="G304" s="18">
        <f>IF(C304&gt;'Input Data'!$B$23*12,0,D304*B304/12)</f>
        <v>0</v>
      </c>
      <c r="H304" s="18">
        <f t="shared" si="20"/>
        <v>0</v>
      </c>
      <c r="I304" s="18">
        <f t="shared" si="22"/>
        <v>0</v>
      </c>
    </row>
    <row r="305" spans="1:9" x14ac:dyDescent="0.25">
      <c r="A305" t="b">
        <f>IF(('Input Data'!$C$23)="FRM", FALSE, ISNUMBER(MATCH(C305,'Input Data'!$M$18:$M$30,0)))</f>
        <v>0</v>
      </c>
      <c r="B305" s="8">
        <f>IF($A305, _xlfn.XLOOKUP(C305,'Input Data'!$M$17:$M$29,'Input Data'!$N$17:$N$29),$B304)</f>
        <v>6.5000000000000002E-2</v>
      </c>
      <c r="C305" s="10">
        <f t="shared" si="23"/>
        <v>303</v>
      </c>
      <c r="D305" s="18">
        <f t="shared" si="24"/>
        <v>0</v>
      </c>
      <c r="E305" s="18">
        <f>IF(OR(D305&lt;=0,C305&gt;'Input Data'!$B$23*12),0,IF(AND(C305='Input Data'!$B$23*12,'Input Data'!$E$23&gt;'Input Data'!$B$23),D305+D305*B305/12,IF('Input Data'!$C$23="FRM",-PMT($B$3/12,'Input Data'!$E$23*12,$D$3),IF($A305,-PMT(B305/12,('Input Data'!$E$23*12)-C305+1,D305),E304))))</f>
        <v>0</v>
      </c>
      <c r="F305" s="18">
        <f t="shared" si="21"/>
        <v>0</v>
      </c>
      <c r="G305" s="18">
        <f>IF(C305&gt;'Input Data'!$B$23*12,0,D305*B305/12)</f>
        <v>0</v>
      </c>
      <c r="H305" s="18">
        <f t="shared" si="20"/>
        <v>0</v>
      </c>
      <c r="I305" s="18">
        <f t="shared" si="22"/>
        <v>0</v>
      </c>
    </row>
    <row r="306" spans="1:9" x14ac:dyDescent="0.25">
      <c r="A306" t="b">
        <f>IF(('Input Data'!$C$23)="FRM", FALSE, ISNUMBER(MATCH(C306,'Input Data'!$M$18:$M$30,0)))</f>
        <v>0</v>
      </c>
      <c r="B306" s="8">
        <f>IF($A306, _xlfn.XLOOKUP(C306,'Input Data'!$M$17:$M$29,'Input Data'!$N$17:$N$29),$B305)</f>
        <v>6.5000000000000002E-2</v>
      </c>
      <c r="C306" s="10">
        <f t="shared" si="23"/>
        <v>304</v>
      </c>
      <c r="D306" s="18">
        <f t="shared" si="24"/>
        <v>0</v>
      </c>
      <c r="E306" s="18">
        <f>IF(OR(D306&lt;=0,C306&gt;'Input Data'!$B$23*12),0,IF(AND(C306='Input Data'!$B$23*12,'Input Data'!$E$23&gt;'Input Data'!$B$23),D306+D306*B306/12,IF('Input Data'!$C$23="FRM",-PMT($B$3/12,'Input Data'!$E$23*12,$D$3),IF($A306,-PMT(B306/12,('Input Data'!$E$23*12)-C306+1,D306),E305))))</f>
        <v>0</v>
      </c>
      <c r="F306" s="18">
        <f t="shared" si="21"/>
        <v>0</v>
      </c>
      <c r="G306" s="18">
        <f>IF(C306&gt;'Input Data'!$B$23*12,0,D306*B306/12)</f>
        <v>0</v>
      </c>
      <c r="H306" s="18">
        <f t="shared" si="20"/>
        <v>0</v>
      </c>
      <c r="I306" s="18">
        <f t="shared" si="22"/>
        <v>0</v>
      </c>
    </row>
    <row r="307" spans="1:9" x14ac:dyDescent="0.25">
      <c r="A307" t="b">
        <f>IF(('Input Data'!$C$23)="FRM", FALSE, ISNUMBER(MATCH(C307,'Input Data'!$M$18:$M$30,0)))</f>
        <v>0</v>
      </c>
      <c r="B307" s="8">
        <f>IF($A307, _xlfn.XLOOKUP(C307,'Input Data'!$M$17:$M$29,'Input Data'!$N$17:$N$29),$B306)</f>
        <v>6.5000000000000002E-2</v>
      </c>
      <c r="C307" s="10">
        <f t="shared" si="23"/>
        <v>305</v>
      </c>
      <c r="D307" s="18">
        <f t="shared" si="24"/>
        <v>0</v>
      </c>
      <c r="E307" s="18">
        <f>IF(OR(D307&lt;=0,C307&gt;'Input Data'!$B$23*12),0,IF(AND(C307='Input Data'!$B$23*12,'Input Data'!$E$23&gt;'Input Data'!$B$23),D307+D307*B307/12,IF('Input Data'!$C$23="FRM",-PMT($B$3/12,'Input Data'!$E$23*12,$D$3),IF($A307,-PMT(B307/12,('Input Data'!$E$23*12)-C307+1,D307),E306))))</f>
        <v>0</v>
      </c>
      <c r="F307" s="18">
        <f t="shared" si="21"/>
        <v>0</v>
      </c>
      <c r="G307" s="18">
        <f>IF(C307&gt;'Input Data'!$B$23*12,0,D307*B307/12)</f>
        <v>0</v>
      </c>
      <c r="H307" s="18">
        <f t="shared" si="20"/>
        <v>0</v>
      </c>
      <c r="I307" s="18">
        <f t="shared" si="22"/>
        <v>0</v>
      </c>
    </row>
    <row r="308" spans="1:9" x14ac:dyDescent="0.25">
      <c r="A308" t="b">
        <f>IF(('Input Data'!$C$23)="FRM", FALSE, ISNUMBER(MATCH(C308,'Input Data'!$M$18:$M$30,0)))</f>
        <v>0</v>
      </c>
      <c r="B308" s="8">
        <f>IF($A308, _xlfn.XLOOKUP(C308,'Input Data'!$M$17:$M$29,'Input Data'!$N$17:$N$29),$B307)</f>
        <v>6.5000000000000002E-2</v>
      </c>
      <c r="C308" s="10">
        <f t="shared" si="23"/>
        <v>306</v>
      </c>
      <c r="D308" s="18">
        <f t="shared" si="24"/>
        <v>0</v>
      </c>
      <c r="E308" s="18">
        <f>IF(OR(D308&lt;=0,C308&gt;'Input Data'!$B$23*12),0,IF(AND(C308='Input Data'!$B$23*12,'Input Data'!$E$23&gt;'Input Data'!$B$23),D308+D308*B308/12,IF('Input Data'!$C$23="FRM",-PMT($B$3/12,'Input Data'!$E$23*12,$D$3),IF($A308,-PMT(B308/12,('Input Data'!$E$23*12)-C308+1,D308),E307))))</f>
        <v>0</v>
      </c>
      <c r="F308" s="18">
        <f t="shared" si="21"/>
        <v>0</v>
      </c>
      <c r="G308" s="18">
        <f>IF(C308&gt;'Input Data'!$B$23*12,0,D308*B308/12)</f>
        <v>0</v>
      </c>
      <c r="H308" s="18">
        <f t="shared" si="20"/>
        <v>0</v>
      </c>
      <c r="I308" s="18">
        <f t="shared" si="22"/>
        <v>0</v>
      </c>
    </row>
    <row r="309" spans="1:9" x14ac:dyDescent="0.25">
      <c r="A309" t="b">
        <f>IF(('Input Data'!$C$23)="FRM", FALSE, ISNUMBER(MATCH(C309,'Input Data'!$M$18:$M$30,0)))</f>
        <v>0</v>
      </c>
      <c r="B309" s="8">
        <f>IF($A309, _xlfn.XLOOKUP(C309,'Input Data'!$M$17:$M$29,'Input Data'!$N$17:$N$29),$B308)</f>
        <v>6.5000000000000002E-2</v>
      </c>
      <c r="C309" s="10">
        <f t="shared" si="23"/>
        <v>307</v>
      </c>
      <c r="D309" s="18">
        <f t="shared" si="24"/>
        <v>0</v>
      </c>
      <c r="E309" s="18">
        <f>IF(OR(D309&lt;=0,C309&gt;'Input Data'!$B$23*12),0,IF(AND(C309='Input Data'!$B$23*12,'Input Data'!$E$23&gt;'Input Data'!$B$23),D309+D309*B309/12,IF('Input Data'!$C$23="FRM",-PMT($B$3/12,'Input Data'!$E$23*12,$D$3),IF($A309,-PMT(B309/12,('Input Data'!$E$23*12)-C309+1,D309),E308))))</f>
        <v>0</v>
      </c>
      <c r="F309" s="18">
        <f t="shared" si="21"/>
        <v>0</v>
      </c>
      <c r="G309" s="18">
        <f>IF(C309&gt;'Input Data'!$B$23*12,0,D309*B309/12)</f>
        <v>0</v>
      </c>
      <c r="H309" s="18">
        <f t="shared" si="20"/>
        <v>0</v>
      </c>
      <c r="I309" s="18">
        <f t="shared" si="22"/>
        <v>0</v>
      </c>
    </row>
    <row r="310" spans="1:9" x14ac:dyDescent="0.25">
      <c r="A310" t="b">
        <f>IF(('Input Data'!$C$23)="FRM", FALSE, ISNUMBER(MATCH(C310,'Input Data'!$M$18:$M$30,0)))</f>
        <v>0</v>
      </c>
      <c r="B310" s="8">
        <f>IF($A310, _xlfn.XLOOKUP(C310,'Input Data'!$M$17:$M$29,'Input Data'!$N$17:$N$29),$B309)</f>
        <v>6.5000000000000002E-2</v>
      </c>
      <c r="C310" s="10">
        <f t="shared" si="23"/>
        <v>308</v>
      </c>
      <c r="D310" s="18">
        <f t="shared" si="24"/>
        <v>0</v>
      </c>
      <c r="E310" s="18">
        <f>IF(OR(D310&lt;=0,C310&gt;'Input Data'!$B$23*12),0,IF(AND(C310='Input Data'!$B$23*12,'Input Data'!$E$23&gt;'Input Data'!$B$23),D310+D310*B310/12,IF('Input Data'!$C$23="FRM",-PMT($B$3/12,'Input Data'!$E$23*12,$D$3),IF($A310,-PMT(B310/12,('Input Data'!$E$23*12)-C310+1,D310),E309))))</f>
        <v>0</v>
      </c>
      <c r="F310" s="18">
        <f t="shared" si="21"/>
        <v>0</v>
      </c>
      <c r="G310" s="18">
        <f>IF(C310&gt;'Input Data'!$B$23*12,0,D310*B310/12)</f>
        <v>0</v>
      </c>
      <c r="H310" s="18">
        <f t="shared" si="20"/>
        <v>0</v>
      </c>
      <c r="I310" s="18">
        <f t="shared" si="22"/>
        <v>0</v>
      </c>
    </row>
    <row r="311" spans="1:9" x14ac:dyDescent="0.25">
      <c r="A311" t="b">
        <f>IF(('Input Data'!$C$23)="FRM", FALSE, ISNUMBER(MATCH(C311,'Input Data'!$M$18:$M$30,0)))</f>
        <v>0</v>
      </c>
      <c r="B311" s="8">
        <f>IF($A311, _xlfn.XLOOKUP(C311,'Input Data'!$M$17:$M$29,'Input Data'!$N$17:$N$29),$B310)</f>
        <v>6.5000000000000002E-2</v>
      </c>
      <c r="C311" s="10">
        <f t="shared" si="23"/>
        <v>309</v>
      </c>
      <c r="D311" s="18">
        <f t="shared" si="24"/>
        <v>0</v>
      </c>
      <c r="E311" s="18">
        <f>IF(OR(D311&lt;=0,C311&gt;'Input Data'!$B$23*12),0,IF(AND(C311='Input Data'!$B$23*12,'Input Data'!$E$23&gt;'Input Data'!$B$23),D311+D311*B311/12,IF('Input Data'!$C$23="FRM",-PMT($B$3/12,'Input Data'!$E$23*12,$D$3),IF($A311,-PMT(B311/12,('Input Data'!$E$23*12)-C311+1,D311),E310))))</f>
        <v>0</v>
      </c>
      <c r="F311" s="18">
        <f t="shared" si="21"/>
        <v>0</v>
      </c>
      <c r="G311" s="18">
        <f>IF(C311&gt;'Input Data'!$B$23*12,0,D311*B311/12)</f>
        <v>0</v>
      </c>
      <c r="H311" s="18">
        <f t="shared" si="20"/>
        <v>0</v>
      </c>
      <c r="I311" s="18">
        <f t="shared" si="22"/>
        <v>0</v>
      </c>
    </row>
    <row r="312" spans="1:9" x14ac:dyDescent="0.25">
      <c r="A312" t="b">
        <f>IF(('Input Data'!$C$23)="FRM", FALSE, ISNUMBER(MATCH(C312,'Input Data'!$M$18:$M$30,0)))</f>
        <v>0</v>
      </c>
      <c r="B312" s="8">
        <f>IF($A312, _xlfn.XLOOKUP(C312,'Input Data'!$M$17:$M$29,'Input Data'!$N$17:$N$29),$B311)</f>
        <v>6.5000000000000002E-2</v>
      </c>
      <c r="C312" s="10">
        <f t="shared" si="23"/>
        <v>310</v>
      </c>
      <c r="D312" s="18">
        <f t="shared" si="24"/>
        <v>0</v>
      </c>
      <c r="E312" s="18">
        <f>IF(OR(D312&lt;=0,C312&gt;'Input Data'!$B$23*12),0,IF(AND(C312='Input Data'!$B$23*12,'Input Data'!$E$23&gt;'Input Data'!$B$23),D312+D312*B312/12,IF('Input Data'!$C$23="FRM",-PMT($B$3/12,'Input Data'!$E$23*12,$D$3),IF($A312,-PMT(B312/12,('Input Data'!$E$23*12)-C312+1,D312),E311))))</f>
        <v>0</v>
      </c>
      <c r="F312" s="18">
        <f t="shared" si="21"/>
        <v>0</v>
      </c>
      <c r="G312" s="18">
        <f>IF(C312&gt;'Input Data'!$B$23*12,0,D312*B312/12)</f>
        <v>0</v>
      </c>
      <c r="H312" s="18">
        <f t="shared" si="20"/>
        <v>0</v>
      </c>
      <c r="I312" s="18">
        <f t="shared" si="22"/>
        <v>0</v>
      </c>
    </row>
    <row r="313" spans="1:9" x14ac:dyDescent="0.25">
      <c r="A313" t="b">
        <f>IF(('Input Data'!$C$23)="FRM", FALSE, ISNUMBER(MATCH(C313,'Input Data'!$M$18:$M$30,0)))</f>
        <v>0</v>
      </c>
      <c r="B313" s="8">
        <f>IF($A313, _xlfn.XLOOKUP(C313,'Input Data'!$M$17:$M$29,'Input Data'!$N$17:$N$29),$B312)</f>
        <v>6.5000000000000002E-2</v>
      </c>
      <c r="C313" s="10">
        <f t="shared" si="23"/>
        <v>311</v>
      </c>
      <c r="D313" s="18">
        <f t="shared" si="24"/>
        <v>0</v>
      </c>
      <c r="E313" s="18">
        <f>IF(OR(D313&lt;=0,C313&gt;'Input Data'!$B$23*12),0,IF(AND(C313='Input Data'!$B$23*12,'Input Data'!$E$23&gt;'Input Data'!$B$23),D313+D313*B313/12,IF('Input Data'!$C$23="FRM",-PMT($B$3/12,'Input Data'!$E$23*12,$D$3),IF($A313,-PMT(B313/12,('Input Data'!$E$23*12)-C313+1,D313),E312))))</f>
        <v>0</v>
      </c>
      <c r="F313" s="18">
        <f t="shared" si="21"/>
        <v>0</v>
      </c>
      <c r="G313" s="18">
        <f>IF(C313&gt;'Input Data'!$B$23*12,0,D313*B313/12)</f>
        <v>0</v>
      </c>
      <c r="H313" s="18">
        <f t="shared" si="20"/>
        <v>0</v>
      </c>
      <c r="I313" s="18">
        <f t="shared" si="22"/>
        <v>0</v>
      </c>
    </row>
    <row r="314" spans="1:9" x14ac:dyDescent="0.25">
      <c r="A314" t="b">
        <f>IF(('Input Data'!$C$23)="FRM", FALSE, ISNUMBER(MATCH(C314,'Input Data'!$M$18:$M$30,0)))</f>
        <v>0</v>
      </c>
      <c r="B314" s="8">
        <f>IF($A314, _xlfn.XLOOKUP(C314,'Input Data'!$M$17:$M$29,'Input Data'!$N$17:$N$29),$B313)</f>
        <v>6.5000000000000002E-2</v>
      </c>
      <c r="C314" s="10">
        <f t="shared" si="23"/>
        <v>312</v>
      </c>
      <c r="D314" s="18">
        <f t="shared" si="24"/>
        <v>0</v>
      </c>
      <c r="E314" s="18">
        <f>IF(OR(D314&lt;=0,C314&gt;'Input Data'!$B$23*12),0,IF(AND(C314='Input Data'!$B$23*12,'Input Data'!$E$23&gt;'Input Data'!$B$23),D314+D314*B314/12,IF('Input Data'!$C$23="FRM",-PMT($B$3/12,'Input Data'!$E$23*12,$D$3),IF($A314,-PMT(B314/12,('Input Data'!$E$23*12)-C314+1,D314),E313))))</f>
        <v>0</v>
      </c>
      <c r="F314" s="18">
        <f t="shared" si="21"/>
        <v>0</v>
      </c>
      <c r="G314" s="18">
        <f>IF(C314&gt;'Input Data'!$B$23*12,0,D314*B314/12)</f>
        <v>0</v>
      </c>
      <c r="H314" s="18">
        <f t="shared" si="20"/>
        <v>0</v>
      </c>
      <c r="I314" s="18">
        <f t="shared" si="22"/>
        <v>0</v>
      </c>
    </row>
    <row r="315" spans="1:9" x14ac:dyDescent="0.25">
      <c r="A315" t="b">
        <f>IF(('Input Data'!$C$23)="FRM", FALSE, ISNUMBER(MATCH(C315,'Input Data'!$M$18:$M$30,0)))</f>
        <v>0</v>
      </c>
      <c r="B315" s="8">
        <f>IF($A315, _xlfn.XLOOKUP(C315,'Input Data'!$M$17:$M$29,'Input Data'!$N$17:$N$29),$B314)</f>
        <v>6.5000000000000002E-2</v>
      </c>
      <c r="C315" s="10">
        <f t="shared" si="23"/>
        <v>313</v>
      </c>
      <c r="D315" s="18">
        <f t="shared" si="24"/>
        <v>0</v>
      </c>
      <c r="E315" s="18">
        <f>IF(OR(D315&lt;=0,C315&gt;'Input Data'!$B$23*12),0,IF(AND(C315='Input Data'!$B$23*12,'Input Data'!$E$23&gt;'Input Data'!$B$23),D315+D315*B315/12,IF('Input Data'!$C$23="FRM",-PMT($B$3/12,'Input Data'!$E$23*12,$D$3),IF($A315,-PMT(B315/12,('Input Data'!$E$23*12)-C315+1,D315),E314))))</f>
        <v>0</v>
      </c>
      <c r="F315" s="18">
        <f t="shared" si="21"/>
        <v>0</v>
      </c>
      <c r="G315" s="18">
        <f>IF(C315&gt;'Input Data'!$B$23*12,0,D315*B315/12)</f>
        <v>0</v>
      </c>
      <c r="H315" s="18">
        <f t="shared" si="20"/>
        <v>0</v>
      </c>
      <c r="I315" s="18">
        <f t="shared" si="22"/>
        <v>0</v>
      </c>
    </row>
    <row r="316" spans="1:9" x14ac:dyDescent="0.25">
      <c r="A316" t="b">
        <f>IF(('Input Data'!$C$23)="FRM", FALSE, ISNUMBER(MATCH(C316,'Input Data'!$M$18:$M$30,0)))</f>
        <v>0</v>
      </c>
      <c r="B316" s="8">
        <f>IF($A316, _xlfn.XLOOKUP(C316,'Input Data'!$M$17:$M$29,'Input Data'!$N$17:$N$29),$B315)</f>
        <v>6.5000000000000002E-2</v>
      </c>
      <c r="C316" s="10">
        <f t="shared" si="23"/>
        <v>314</v>
      </c>
      <c r="D316" s="18">
        <f t="shared" si="24"/>
        <v>0</v>
      </c>
      <c r="E316" s="18">
        <f>IF(OR(D316&lt;=0,C316&gt;'Input Data'!$B$23*12),0,IF(AND(C316='Input Data'!$B$23*12,'Input Data'!$E$23&gt;'Input Data'!$B$23),D316+D316*B316/12,IF('Input Data'!$C$23="FRM",-PMT($B$3/12,'Input Data'!$E$23*12,$D$3),IF($A316,-PMT(B316/12,('Input Data'!$E$23*12)-C316+1,D316),E315))))</f>
        <v>0</v>
      </c>
      <c r="F316" s="18">
        <f t="shared" si="21"/>
        <v>0</v>
      </c>
      <c r="G316" s="18">
        <f>IF(C316&gt;'Input Data'!$B$23*12,0,D316*B316/12)</f>
        <v>0</v>
      </c>
      <c r="H316" s="18">
        <f t="shared" si="20"/>
        <v>0</v>
      </c>
      <c r="I316" s="18">
        <f t="shared" si="22"/>
        <v>0</v>
      </c>
    </row>
    <row r="317" spans="1:9" x14ac:dyDescent="0.25">
      <c r="A317" t="b">
        <f>IF(('Input Data'!$C$23)="FRM", FALSE, ISNUMBER(MATCH(C317,'Input Data'!$M$18:$M$30,0)))</f>
        <v>0</v>
      </c>
      <c r="B317" s="8">
        <f>IF($A317, _xlfn.XLOOKUP(C317,'Input Data'!$M$17:$M$29,'Input Data'!$N$17:$N$29),$B316)</f>
        <v>6.5000000000000002E-2</v>
      </c>
      <c r="C317" s="10">
        <f t="shared" si="23"/>
        <v>315</v>
      </c>
      <c r="D317" s="18">
        <f t="shared" si="24"/>
        <v>0</v>
      </c>
      <c r="E317" s="18">
        <f>IF(OR(D317&lt;=0,C317&gt;'Input Data'!$B$23*12),0,IF(AND(C317='Input Data'!$B$23*12,'Input Data'!$E$23&gt;'Input Data'!$B$23),D317+D317*B317/12,IF('Input Data'!$C$23="FRM",-PMT($B$3/12,'Input Data'!$E$23*12,$D$3),IF($A317,-PMT(B317/12,('Input Data'!$E$23*12)-C317+1,D317),E316))))</f>
        <v>0</v>
      </c>
      <c r="F317" s="18">
        <f t="shared" si="21"/>
        <v>0</v>
      </c>
      <c r="G317" s="18">
        <f>IF(C317&gt;'Input Data'!$B$23*12,0,D317*B317/12)</f>
        <v>0</v>
      </c>
      <c r="H317" s="18">
        <f t="shared" si="20"/>
        <v>0</v>
      </c>
      <c r="I317" s="18">
        <f t="shared" si="22"/>
        <v>0</v>
      </c>
    </row>
    <row r="318" spans="1:9" x14ac:dyDescent="0.25">
      <c r="A318" t="b">
        <f>IF(('Input Data'!$C$23)="FRM", FALSE, ISNUMBER(MATCH(C318,'Input Data'!$M$18:$M$30,0)))</f>
        <v>0</v>
      </c>
      <c r="B318" s="8">
        <f>IF($A318, _xlfn.XLOOKUP(C318,'Input Data'!$M$17:$M$29,'Input Data'!$N$17:$N$29),$B317)</f>
        <v>6.5000000000000002E-2</v>
      </c>
      <c r="C318" s="10">
        <f t="shared" si="23"/>
        <v>316</v>
      </c>
      <c r="D318" s="18">
        <f t="shared" si="24"/>
        <v>0</v>
      </c>
      <c r="E318" s="18">
        <f>IF(OR(D318&lt;=0,C318&gt;'Input Data'!$B$23*12),0,IF(AND(C318='Input Data'!$B$23*12,'Input Data'!$E$23&gt;'Input Data'!$B$23),D318+D318*B318/12,IF('Input Data'!$C$23="FRM",-PMT($B$3/12,'Input Data'!$E$23*12,$D$3),IF($A318,-PMT(B318/12,('Input Data'!$E$23*12)-C318+1,D318),E317))))</f>
        <v>0</v>
      </c>
      <c r="F318" s="18">
        <f t="shared" si="21"/>
        <v>0</v>
      </c>
      <c r="G318" s="18">
        <f>IF(C318&gt;'Input Data'!$B$23*12,0,D318*B318/12)</f>
        <v>0</v>
      </c>
      <c r="H318" s="18">
        <f t="shared" si="20"/>
        <v>0</v>
      </c>
      <c r="I318" s="18">
        <f t="shared" si="22"/>
        <v>0</v>
      </c>
    </row>
    <row r="319" spans="1:9" x14ac:dyDescent="0.25">
      <c r="A319" t="b">
        <f>IF(('Input Data'!$C$23)="FRM", FALSE, ISNUMBER(MATCH(C319,'Input Data'!$M$18:$M$30,0)))</f>
        <v>0</v>
      </c>
      <c r="B319" s="8">
        <f>IF($A319, _xlfn.XLOOKUP(C319,'Input Data'!$M$17:$M$29,'Input Data'!$N$17:$N$29),$B318)</f>
        <v>6.5000000000000002E-2</v>
      </c>
      <c r="C319" s="10">
        <f t="shared" si="23"/>
        <v>317</v>
      </c>
      <c r="D319" s="18">
        <f t="shared" si="24"/>
        <v>0</v>
      </c>
      <c r="E319" s="18">
        <f>IF(OR(D319&lt;=0,C319&gt;'Input Data'!$B$23*12),0,IF(AND(C319='Input Data'!$B$23*12,'Input Data'!$E$23&gt;'Input Data'!$B$23),D319+D319*B319/12,IF('Input Data'!$C$23="FRM",-PMT($B$3/12,'Input Data'!$E$23*12,$D$3),IF($A319,-PMT(B319/12,('Input Data'!$E$23*12)-C319+1,D319),E318))))</f>
        <v>0</v>
      </c>
      <c r="F319" s="18">
        <f t="shared" si="21"/>
        <v>0</v>
      </c>
      <c r="G319" s="18">
        <f>IF(C319&gt;'Input Data'!$B$23*12,0,D319*B319/12)</f>
        <v>0</v>
      </c>
      <c r="H319" s="18">
        <f t="shared" si="20"/>
        <v>0</v>
      </c>
      <c r="I319" s="18">
        <f t="shared" si="22"/>
        <v>0</v>
      </c>
    </row>
    <row r="320" spans="1:9" x14ac:dyDescent="0.25">
      <c r="A320" t="b">
        <f>IF(('Input Data'!$C$23)="FRM", FALSE, ISNUMBER(MATCH(C320,'Input Data'!$M$18:$M$30,0)))</f>
        <v>0</v>
      </c>
      <c r="B320" s="8">
        <f>IF($A320, _xlfn.XLOOKUP(C320,'Input Data'!$M$17:$M$29,'Input Data'!$N$17:$N$29),$B319)</f>
        <v>6.5000000000000002E-2</v>
      </c>
      <c r="C320" s="10">
        <f t="shared" si="23"/>
        <v>318</v>
      </c>
      <c r="D320" s="18">
        <f t="shared" si="24"/>
        <v>0</v>
      </c>
      <c r="E320" s="18">
        <f>IF(OR(D320&lt;=0,C320&gt;'Input Data'!$B$23*12),0,IF(AND(C320='Input Data'!$B$23*12,'Input Data'!$E$23&gt;'Input Data'!$B$23),D320+D320*B320/12,IF('Input Data'!$C$23="FRM",-PMT($B$3/12,'Input Data'!$E$23*12,$D$3),IF($A320,-PMT(B320/12,('Input Data'!$E$23*12)-C320+1,D320),E319))))</f>
        <v>0</v>
      </c>
      <c r="F320" s="18">
        <f t="shared" si="21"/>
        <v>0</v>
      </c>
      <c r="G320" s="18">
        <f>IF(C320&gt;'Input Data'!$B$23*12,0,D320*B320/12)</f>
        <v>0</v>
      </c>
      <c r="H320" s="18">
        <f t="shared" si="20"/>
        <v>0</v>
      </c>
      <c r="I320" s="18">
        <f t="shared" si="22"/>
        <v>0</v>
      </c>
    </row>
    <row r="321" spans="1:9" x14ac:dyDescent="0.25">
      <c r="A321" t="b">
        <f>IF(('Input Data'!$C$23)="FRM", FALSE, ISNUMBER(MATCH(C321,'Input Data'!$M$18:$M$30,0)))</f>
        <v>0</v>
      </c>
      <c r="B321" s="8">
        <f>IF($A321, _xlfn.XLOOKUP(C321,'Input Data'!$M$17:$M$29,'Input Data'!$N$17:$N$29),$B320)</f>
        <v>6.5000000000000002E-2</v>
      </c>
      <c r="C321" s="10">
        <f t="shared" si="23"/>
        <v>319</v>
      </c>
      <c r="D321" s="18">
        <f t="shared" si="24"/>
        <v>0</v>
      </c>
      <c r="E321" s="18">
        <f>IF(OR(D321&lt;=0,C321&gt;'Input Data'!$B$23*12),0,IF(AND(C321='Input Data'!$B$23*12,'Input Data'!$E$23&gt;'Input Data'!$B$23),D321+D321*B321/12,IF('Input Data'!$C$23="FRM",-PMT($B$3/12,'Input Data'!$E$23*12,$D$3),IF($A321,-PMT(B321/12,('Input Data'!$E$23*12)-C321+1,D321),E320))))</f>
        <v>0</v>
      </c>
      <c r="F321" s="18">
        <f t="shared" si="21"/>
        <v>0</v>
      </c>
      <c r="G321" s="18">
        <f>IF(C321&gt;'Input Data'!$B$23*12,0,D321*B321/12)</f>
        <v>0</v>
      </c>
      <c r="H321" s="18">
        <f t="shared" si="20"/>
        <v>0</v>
      </c>
      <c r="I321" s="18">
        <f t="shared" si="22"/>
        <v>0</v>
      </c>
    </row>
    <row r="322" spans="1:9" x14ac:dyDescent="0.25">
      <c r="A322" t="b">
        <f>IF(('Input Data'!$C$23)="FRM", FALSE, ISNUMBER(MATCH(C322,'Input Data'!$M$18:$M$30,0)))</f>
        <v>0</v>
      </c>
      <c r="B322" s="8">
        <f>IF($A322, _xlfn.XLOOKUP(C322,'Input Data'!$M$17:$M$29,'Input Data'!$N$17:$N$29),$B321)</f>
        <v>6.5000000000000002E-2</v>
      </c>
      <c r="C322" s="10">
        <f t="shared" si="23"/>
        <v>320</v>
      </c>
      <c r="D322" s="18">
        <f t="shared" si="24"/>
        <v>0</v>
      </c>
      <c r="E322" s="18">
        <f>IF(OR(D322&lt;=0,C322&gt;'Input Data'!$B$23*12),0,IF(AND(C322='Input Data'!$B$23*12,'Input Data'!$E$23&gt;'Input Data'!$B$23),D322+D322*B322/12,IF('Input Data'!$C$23="FRM",-PMT($B$3/12,'Input Data'!$E$23*12,$D$3),IF($A322,-PMT(B322/12,('Input Data'!$E$23*12)-C322+1,D322),E321))))</f>
        <v>0</v>
      </c>
      <c r="F322" s="18">
        <f t="shared" si="21"/>
        <v>0</v>
      </c>
      <c r="G322" s="18">
        <f>IF(C322&gt;'Input Data'!$B$23*12,0,D322*B322/12)</f>
        <v>0</v>
      </c>
      <c r="H322" s="18">
        <f t="shared" si="20"/>
        <v>0</v>
      </c>
      <c r="I322" s="18">
        <f t="shared" si="22"/>
        <v>0</v>
      </c>
    </row>
    <row r="323" spans="1:9" x14ac:dyDescent="0.25">
      <c r="A323" t="b">
        <f>IF(('Input Data'!$C$23)="FRM", FALSE, ISNUMBER(MATCH(C323,'Input Data'!$M$18:$M$30,0)))</f>
        <v>0</v>
      </c>
      <c r="B323" s="8">
        <f>IF($A323, _xlfn.XLOOKUP(C323,'Input Data'!$M$17:$M$29,'Input Data'!$N$17:$N$29),$B322)</f>
        <v>6.5000000000000002E-2</v>
      </c>
      <c r="C323" s="10">
        <f t="shared" si="23"/>
        <v>321</v>
      </c>
      <c r="D323" s="18">
        <f t="shared" si="24"/>
        <v>0</v>
      </c>
      <c r="E323" s="18">
        <f>IF(OR(D323&lt;=0,C323&gt;'Input Data'!$B$23*12),0,IF(AND(C323='Input Data'!$B$23*12,'Input Data'!$E$23&gt;'Input Data'!$B$23),D323+D323*B323/12,IF('Input Data'!$C$23="FRM",-PMT($B$3/12,'Input Data'!$E$23*12,$D$3),IF($A323,-PMT(B323/12,('Input Data'!$E$23*12)-C323+1,D323),E322))))</f>
        <v>0</v>
      </c>
      <c r="F323" s="18">
        <f t="shared" si="21"/>
        <v>0</v>
      </c>
      <c r="G323" s="18">
        <f>IF(C323&gt;'Input Data'!$B$23*12,0,D323*B323/12)</f>
        <v>0</v>
      </c>
      <c r="H323" s="18">
        <f t="shared" ref="H323:H362" si="25">MIN(E323-G323,D323)</f>
        <v>0</v>
      </c>
      <c r="I323" s="18">
        <f t="shared" si="22"/>
        <v>0</v>
      </c>
    </row>
    <row r="324" spans="1:9" x14ac:dyDescent="0.25">
      <c r="A324" t="b">
        <f>IF(('Input Data'!$C$23)="FRM", FALSE, ISNUMBER(MATCH(C324,'Input Data'!$M$18:$M$30,0)))</f>
        <v>0</v>
      </c>
      <c r="B324" s="8">
        <f>IF($A324, _xlfn.XLOOKUP(C324,'Input Data'!$M$17:$M$29,'Input Data'!$N$17:$N$29),$B323)</f>
        <v>6.5000000000000002E-2</v>
      </c>
      <c r="C324" s="10">
        <f t="shared" si="23"/>
        <v>322</v>
      </c>
      <c r="D324" s="18">
        <f t="shared" si="24"/>
        <v>0</v>
      </c>
      <c r="E324" s="18">
        <f>IF(OR(D324&lt;=0,C324&gt;'Input Data'!$B$23*12),0,IF(AND(C324='Input Data'!$B$23*12,'Input Data'!$E$23&gt;'Input Data'!$B$23),D324+D324*B324/12,IF('Input Data'!$C$23="FRM",-PMT($B$3/12,'Input Data'!$E$23*12,$D$3),IF($A324,-PMT(B324/12,('Input Data'!$E$23*12)-C324+1,D324),E323))))</f>
        <v>0</v>
      </c>
      <c r="F324" s="18">
        <f t="shared" ref="F324:F362" si="26">IF(D324-E324&lt;0,0,D324-E324)</f>
        <v>0</v>
      </c>
      <c r="G324" s="18">
        <f>IF(C324&gt;'Input Data'!$B$23*12,0,D324*B324/12)</f>
        <v>0</v>
      </c>
      <c r="H324" s="18">
        <f t="shared" si="25"/>
        <v>0</v>
      </c>
      <c r="I324" s="18">
        <f t="shared" ref="I324:I362" si="27">IF(ROUND(D324-H324,2)=0,0,D324-H324)</f>
        <v>0</v>
      </c>
    </row>
    <row r="325" spans="1:9" x14ac:dyDescent="0.25">
      <c r="A325" t="b">
        <f>IF(('Input Data'!$C$23)="FRM", FALSE, ISNUMBER(MATCH(C325,'Input Data'!$M$18:$M$30,0)))</f>
        <v>0</v>
      </c>
      <c r="B325" s="8">
        <f>IF($A325, _xlfn.XLOOKUP(C325,'Input Data'!$M$17:$M$29,'Input Data'!$N$17:$N$29),$B324)</f>
        <v>6.5000000000000002E-2</v>
      </c>
      <c r="C325" s="10">
        <f t="shared" ref="C325:C362" si="28">C324+1</f>
        <v>323</v>
      </c>
      <c r="D325" s="18">
        <f t="shared" ref="D325:D362" si="29">IF(I324&gt;0,I324-J324,0)</f>
        <v>0</v>
      </c>
      <c r="E325" s="18">
        <f>IF(OR(D325&lt;=0,C325&gt;'Input Data'!$B$23*12),0,IF(AND(C325='Input Data'!$B$23*12,'Input Data'!$E$23&gt;'Input Data'!$B$23),D325+D325*B325/12,IF('Input Data'!$C$23="FRM",-PMT($B$3/12,'Input Data'!$E$23*12,$D$3),IF($A325,-PMT(B325/12,('Input Data'!$E$23*12)-C325+1,D325),E324))))</f>
        <v>0</v>
      </c>
      <c r="F325" s="18">
        <f t="shared" si="26"/>
        <v>0</v>
      </c>
      <c r="G325" s="18">
        <f>IF(C325&gt;'Input Data'!$B$23*12,0,D325*B325/12)</f>
        <v>0</v>
      </c>
      <c r="H325" s="18">
        <f t="shared" si="25"/>
        <v>0</v>
      </c>
      <c r="I325" s="18">
        <f t="shared" si="27"/>
        <v>0</v>
      </c>
    </row>
    <row r="326" spans="1:9" x14ac:dyDescent="0.25">
      <c r="A326" t="b">
        <f>IF(('Input Data'!$C$23)="FRM", FALSE, ISNUMBER(MATCH(C326,'Input Data'!$M$18:$M$30,0)))</f>
        <v>0</v>
      </c>
      <c r="B326" s="8">
        <f>IF($A326, _xlfn.XLOOKUP(C326,'Input Data'!$M$17:$M$29,'Input Data'!$N$17:$N$29),$B325)</f>
        <v>6.5000000000000002E-2</v>
      </c>
      <c r="C326" s="10">
        <f t="shared" si="28"/>
        <v>324</v>
      </c>
      <c r="D326" s="18">
        <f t="shared" si="29"/>
        <v>0</v>
      </c>
      <c r="E326" s="18">
        <f>IF(OR(D326&lt;=0,C326&gt;'Input Data'!$B$23*12),0,IF(AND(C326='Input Data'!$B$23*12,'Input Data'!$E$23&gt;'Input Data'!$B$23),D326+D326*B326/12,IF('Input Data'!$C$23="FRM",-PMT($B$3/12,'Input Data'!$E$23*12,$D$3),IF($A326,-PMT(B326/12,('Input Data'!$E$23*12)-C326+1,D326),E325))))</f>
        <v>0</v>
      </c>
      <c r="F326" s="18">
        <f t="shared" si="26"/>
        <v>0</v>
      </c>
      <c r="G326" s="18">
        <f>IF(C326&gt;'Input Data'!$B$23*12,0,D326*B326/12)</f>
        <v>0</v>
      </c>
      <c r="H326" s="18">
        <f t="shared" si="25"/>
        <v>0</v>
      </c>
      <c r="I326" s="18">
        <f t="shared" si="27"/>
        <v>0</v>
      </c>
    </row>
    <row r="327" spans="1:9" x14ac:dyDescent="0.25">
      <c r="A327" t="b">
        <f>IF(('Input Data'!$C$23)="FRM", FALSE, ISNUMBER(MATCH(C327,'Input Data'!$M$18:$M$30,0)))</f>
        <v>0</v>
      </c>
      <c r="B327" s="8">
        <f>IF($A327, _xlfn.XLOOKUP(C327,'Input Data'!$M$17:$M$29,'Input Data'!$N$17:$N$29),$B326)</f>
        <v>6.5000000000000002E-2</v>
      </c>
      <c r="C327" s="10">
        <f t="shared" si="28"/>
        <v>325</v>
      </c>
      <c r="D327" s="18">
        <f t="shared" si="29"/>
        <v>0</v>
      </c>
      <c r="E327" s="18">
        <f>IF(OR(D327&lt;=0,C327&gt;'Input Data'!$B$23*12),0,IF(AND(C327='Input Data'!$B$23*12,'Input Data'!$E$23&gt;'Input Data'!$B$23),D327+D327*B327/12,IF('Input Data'!$C$23="FRM",-PMT($B$3/12,'Input Data'!$E$23*12,$D$3),IF($A327,-PMT(B327/12,('Input Data'!$E$23*12)-C327+1,D327),E326))))</f>
        <v>0</v>
      </c>
      <c r="F327" s="18">
        <f t="shared" si="26"/>
        <v>0</v>
      </c>
      <c r="G327" s="18">
        <f>IF(C327&gt;'Input Data'!$B$23*12,0,D327*B327/12)</f>
        <v>0</v>
      </c>
      <c r="H327" s="18">
        <f t="shared" si="25"/>
        <v>0</v>
      </c>
      <c r="I327" s="18">
        <f t="shared" si="27"/>
        <v>0</v>
      </c>
    </row>
    <row r="328" spans="1:9" x14ac:dyDescent="0.25">
      <c r="A328" t="b">
        <f>IF(('Input Data'!$C$23)="FRM", FALSE, ISNUMBER(MATCH(C328,'Input Data'!$M$18:$M$30,0)))</f>
        <v>0</v>
      </c>
      <c r="B328" s="8">
        <f>IF($A328, _xlfn.XLOOKUP(C328,'Input Data'!$M$17:$M$29,'Input Data'!$N$17:$N$29),$B327)</f>
        <v>6.5000000000000002E-2</v>
      </c>
      <c r="C328" s="10">
        <f t="shared" si="28"/>
        <v>326</v>
      </c>
      <c r="D328" s="18">
        <f t="shared" si="29"/>
        <v>0</v>
      </c>
      <c r="E328" s="18">
        <f>IF(OR(D328&lt;=0,C328&gt;'Input Data'!$B$23*12),0,IF(AND(C328='Input Data'!$B$23*12,'Input Data'!$E$23&gt;'Input Data'!$B$23),D328+D328*B328/12,IF('Input Data'!$C$23="FRM",-PMT($B$3/12,'Input Data'!$E$23*12,$D$3),IF($A328,-PMT(B328/12,('Input Data'!$E$23*12)-C328+1,D328),E327))))</f>
        <v>0</v>
      </c>
      <c r="F328" s="18">
        <f t="shared" si="26"/>
        <v>0</v>
      </c>
      <c r="G328" s="18">
        <f>IF(C328&gt;'Input Data'!$B$23*12,0,D328*B328/12)</f>
        <v>0</v>
      </c>
      <c r="H328" s="18">
        <f t="shared" si="25"/>
        <v>0</v>
      </c>
      <c r="I328" s="18">
        <f t="shared" si="27"/>
        <v>0</v>
      </c>
    </row>
    <row r="329" spans="1:9" x14ac:dyDescent="0.25">
      <c r="A329" t="b">
        <f>IF(('Input Data'!$C$23)="FRM", FALSE, ISNUMBER(MATCH(C329,'Input Data'!$M$18:$M$30,0)))</f>
        <v>0</v>
      </c>
      <c r="B329" s="8">
        <f>IF($A329, _xlfn.XLOOKUP(C329,'Input Data'!$M$17:$M$29,'Input Data'!$N$17:$N$29),$B328)</f>
        <v>6.5000000000000002E-2</v>
      </c>
      <c r="C329" s="10">
        <f t="shared" si="28"/>
        <v>327</v>
      </c>
      <c r="D329" s="18">
        <f t="shared" si="29"/>
        <v>0</v>
      </c>
      <c r="E329" s="18">
        <f>IF(OR(D329&lt;=0,C329&gt;'Input Data'!$B$23*12),0,IF(AND(C329='Input Data'!$B$23*12,'Input Data'!$E$23&gt;'Input Data'!$B$23),D329+D329*B329/12,IF('Input Data'!$C$23="FRM",-PMT($B$3/12,'Input Data'!$E$23*12,$D$3),IF($A329,-PMT(B329/12,('Input Data'!$E$23*12)-C329+1,D329),E328))))</f>
        <v>0</v>
      </c>
      <c r="F329" s="18">
        <f t="shared" si="26"/>
        <v>0</v>
      </c>
      <c r="G329" s="18">
        <f>IF(C329&gt;'Input Data'!$B$23*12,0,D329*B329/12)</f>
        <v>0</v>
      </c>
      <c r="H329" s="18">
        <f t="shared" si="25"/>
        <v>0</v>
      </c>
      <c r="I329" s="18">
        <f t="shared" si="27"/>
        <v>0</v>
      </c>
    </row>
    <row r="330" spans="1:9" x14ac:dyDescent="0.25">
      <c r="A330" t="b">
        <f>IF(('Input Data'!$C$23)="FRM", FALSE, ISNUMBER(MATCH(C330,'Input Data'!$M$18:$M$30,0)))</f>
        <v>0</v>
      </c>
      <c r="B330" s="8">
        <f>IF($A330, _xlfn.XLOOKUP(C330,'Input Data'!$M$17:$M$29,'Input Data'!$N$17:$N$29),$B329)</f>
        <v>6.5000000000000002E-2</v>
      </c>
      <c r="C330" s="10">
        <f t="shared" si="28"/>
        <v>328</v>
      </c>
      <c r="D330" s="18">
        <f t="shared" si="29"/>
        <v>0</v>
      </c>
      <c r="E330" s="18">
        <f>IF(OR(D330&lt;=0,C330&gt;'Input Data'!$B$23*12),0,IF(AND(C330='Input Data'!$B$23*12,'Input Data'!$E$23&gt;'Input Data'!$B$23),D330+D330*B330/12,IF('Input Data'!$C$23="FRM",-PMT($B$3/12,'Input Data'!$E$23*12,$D$3),IF($A330,-PMT(B330/12,('Input Data'!$E$23*12)-C330+1,D330),E329))))</f>
        <v>0</v>
      </c>
      <c r="F330" s="18">
        <f t="shared" si="26"/>
        <v>0</v>
      </c>
      <c r="G330" s="18">
        <f>IF(C330&gt;'Input Data'!$B$23*12,0,D330*B330/12)</f>
        <v>0</v>
      </c>
      <c r="H330" s="18">
        <f t="shared" si="25"/>
        <v>0</v>
      </c>
      <c r="I330" s="18">
        <f t="shared" si="27"/>
        <v>0</v>
      </c>
    </row>
    <row r="331" spans="1:9" x14ac:dyDescent="0.25">
      <c r="A331" t="b">
        <f>IF(('Input Data'!$C$23)="FRM", FALSE, ISNUMBER(MATCH(C331,'Input Data'!$M$18:$M$30,0)))</f>
        <v>0</v>
      </c>
      <c r="B331" s="8">
        <f>IF($A331, _xlfn.XLOOKUP(C331,'Input Data'!$M$17:$M$29,'Input Data'!$N$17:$N$29),$B330)</f>
        <v>6.5000000000000002E-2</v>
      </c>
      <c r="C331" s="10">
        <f t="shared" si="28"/>
        <v>329</v>
      </c>
      <c r="D331" s="18">
        <f t="shared" si="29"/>
        <v>0</v>
      </c>
      <c r="E331" s="18">
        <f>IF(OR(D331&lt;=0,C331&gt;'Input Data'!$B$23*12),0,IF(AND(C331='Input Data'!$B$23*12,'Input Data'!$E$23&gt;'Input Data'!$B$23),D331+D331*B331/12,IF('Input Data'!$C$23="FRM",-PMT($B$3/12,'Input Data'!$E$23*12,$D$3),IF($A331,-PMT(B331/12,('Input Data'!$E$23*12)-C331+1,D331),E330))))</f>
        <v>0</v>
      </c>
      <c r="F331" s="18">
        <f t="shared" si="26"/>
        <v>0</v>
      </c>
      <c r="G331" s="18">
        <f>IF(C331&gt;'Input Data'!$B$23*12,0,D331*B331/12)</f>
        <v>0</v>
      </c>
      <c r="H331" s="18">
        <f t="shared" si="25"/>
        <v>0</v>
      </c>
      <c r="I331" s="18">
        <f t="shared" si="27"/>
        <v>0</v>
      </c>
    </row>
    <row r="332" spans="1:9" x14ac:dyDescent="0.25">
      <c r="A332" t="b">
        <f>IF(('Input Data'!$C$23)="FRM", FALSE, ISNUMBER(MATCH(C332,'Input Data'!$M$18:$M$30,0)))</f>
        <v>0</v>
      </c>
      <c r="B332" s="8">
        <f>IF($A332, _xlfn.XLOOKUP(C332,'Input Data'!$M$17:$M$29,'Input Data'!$N$17:$N$29),$B331)</f>
        <v>6.5000000000000002E-2</v>
      </c>
      <c r="C332" s="10">
        <f t="shared" si="28"/>
        <v>330</v>
      </c>
      <c r="D332" s="18">
        <f t="shared" si="29"/>
        <v>0</v>
      </c>
      <c r="E332" s="18">
        <f>IF(OR(D332&lt;=0,C332&gt;'Input Data'!$B$23*12),0,IF(AND(C332='Input Data'!$B$23*12,'Input Data'!$E$23&gt;'Input Data'!$B$23),D332+D332*B332/12,IF('Input Data'!$C$23="FRM",-PMT($B$3/12,'Input Data'!$E$23*12,$D$3),IF($A332,-PMT(B332/12,('Input Data'!$E$23*12)-C332+1,D332),E331))))</f>
        <v>0</v>
      </c>
      <c r="F332" s="18">
        <f t="shared" si="26"/>
        <v>0</v>
      </c>
      <c r="G332" s="18">
        <f>IF(C332&gt;'Input Data'!$B$23*12,0,D332*B332/12)</f>
        <v>0</v>
      </c>
      <c r="H332" s="18">
        <f t="shared" si="25"/>
        <v>0</v>
      </c>
      <c r="I332" s="18">
        <f t="shared" si="27"/>
        <v>0</v>
      </c>
    </row>
    <row r="333" spans="1:9" x14ac:dyDescent="0.25">
      <c r="A333" t="b">
        <f>IF(('Input Data'!$C$23)="FRM", FALSE, ISNUMBER(MATCH(C333,'Input Data'!$M$18:$M$30,0)))</f>
        <v>0</v>
      </c>
      <c r="B333" s="8">
        <f>IF($A333, _xlfn.XLOOKUP(C333,'Input Data'!$M$17:$M$29,'Input Data'!$N$17:$N$29),$B332)</f>
        <v>6.5000000000000002E-2</v>
      </c>
      <c r="C333" s="10">
        <f t="shared" si="28"/>
        <v>331</v>
      </c>
      <c r="D333" s="18">
        <f t="shared" si="29"/>
        <v>0</v>
      </c>
      <c r="E333" s="18">
        <f>IF(OR(D333&lt;=0,C333&gt;'Input Data'!$B$23*12),0,IF(AND(C333='Input Data'!$B$23*12,'Input Data'!$E$23&gt;'Input Data'!$B$23),D333+D333*B333/12,IF('Input Data'!$C$23="FRM",-PMT($B$3/12,'Input Data'!$E$23*12,$D$3),IF($A333,-PMT(B333/12,('Input Data'!$E$23*12)-C333+1,D333),E332))))</f>
        <v>0</v>
      </c>
      <c r="F333" s="18">
        <f t="shared" si="26"/>
        <v>0</v>
      </c>
      <c r="G333" s="18">
        <f>IF(C333&gt;'Input Data'!$B$23*12,0,D333*B333/12)</f>
        <v>0</v>
      </c>
      <c r="H333" s="18">
        <f t="shared" si="25"/>
        <v>0</v>
      </c>
      <c r="I333" s="18">
        <f t="shared" si="27"/>
        <v>0</v>
      </c>
    </row>
    <row r="334" spans="1:9" x14ac:dyDescent="0.25">
      <c r="A334" t="b">
        <f>IF(('Input Data'!$C$23)="FRM", FALSE, ISNUMBER(MATCH(C334,'Input Data'!$M$18:$M$30,0)))</f>
        <v>0</v>
      </c>
      <c r="B334" s="8">
        <f>IF($A334, _xlfn.XLOOKUP(C334,'Input Data'!$M$17:$M$29,'Input Data'!$N$17:$N$29),$B333)</f>
        <v>6.5000000000000002E-2</v>
      </c>
      <c r="C334" s="10">
        <f t="shared" si="28"/>
        <v>332</v>
      </c>
      <c r="D334" s="18">
        <f t="shared" si="29"/>
        <v>0</v>
      </c>
      <c r="E334" s="18">
        <f>IF(OR(D334&lt;=0,C334&gt;'Input Data'!$B$23*12),0,IF(AND(C334='Input Data'!$B$23*12,'Input Data'!$E$23&gt;'Input Data'!$B$23),D334+D334*B334/12,IF('Input Data'!$C$23="FRM",-PMT($B$3/12,'Input Data'!$E$23*12,$D$3),IF($A334,-PMT(B334/12,('Input Data'!$E$23*12)-C334+1,D334),E333))))</f>
        <v>0</v>
      </c>
      <c r="F334" s="18">
        <f t="shared" si="26"/>
        <v>0</v>
      </c>
      <c r="G334" s="18">
        <f>IF(C334&gt;'Input Data'!$B$23*12,0,D334*B334/12)</f>
        <v>0</v>
      </c>
      <c r="H334" s="18">
        <f t="shared" si="25"/>
        <v>0</v>
      </c>
      <c r="I334" s="18">
        <f t="shared" si="27"/>
        <v>0</v>
      </c>
    </row>
    <row r="335" spans="1:9" x14ac:dyDescent="0.25">
      <c r="A335" t="b">
        <f>IF(('Input Data'!$C$23)="FRM", FALSE, ISNUMBER(MATCH(C335,'Input Data'!$M$18:$M$30,0)))</f>
        <v>0</v>
      </c>
      <c r="B335" s="8">
        <f>IF($A335, _xlfn.XLOOKUP(C335,'Input Data'!$M$17:$M$29,'Input Data'!$N$17:$N$29),$B334)</f>
        <v>6.5000000000000002E-2</v>
      </c>
      <c r="C335" s="10">
        <f t="shared" si="28"/>
        <v>333</v>
      </c>
      <c r="D335" s="18">
        <f t="shared" si="29"/>
        <v>0</v>
      </c>
      <c r="E335" s="18">
        <f>IF(OR(D335&lt;=0,C335&gt;'Input Data'!$B$23*12),0,IF(AND(C335='Input Data'!$B$23*12,'Input Data'!$E$23&gt;'Input Data'!$B$23),D335+D335*B335/12,IF('Input Data'!$C$23="FRM",-PMT($B$3/12,'Input Data'!$E$23*12,$D$3),IF($A335,-PMT(B335/12,('Input Data'!$E$23*12)-C335+1,D335),E334))))</f>
        <v>0</v>
      </c>
      <c r="F335" s="18">
        <f t="shared" si="26"/>
        <v>0</v>
      </c>
      <c r="G335" s="18">
        <f>IF(C335&gt;'Input Data'!$B$23*12,0,D335*B335/12)</f>
        <v>0</v>
      </c>
      <c r="H335" s="18">
        <f t="shared" si="25"/>
        <v>0</v>
      </c>
      <c r="I335" s="18">
        <f t="shared" si="27"/>
        <v>0</v>
      </c>
    </row>
    <row r="336" spans="1:9" x14ac:dyDescent="0.25">
      <c r="A336" t="b">
        <f>IF(('Input Data'!$C$23)="FRM", FALSE, ISNUMBER(MATCH(C336,'Input Data'!$M$18:$M$30,0)))</f>
        <v>0</v>
      </c>
      <c r="B336" s="8">
        <f>IF($A336, _xlfn.XLOOKUP(C336,'Input Data'!$M$17:$M$29,'Input Data'!$N$17:$N$29),$B335)</f>
        <v>6.5000000000000002E-2</v>
      </c>
      <c r="C336" s="10">
        <f t="shared" si="28"/>
        <v>334</v>
      </c>
      <c r="D336" s="18">
        <f t="shared" si="29"/>
        <v>0</v>
      </c>
      <c r="E336" s="18">
        <f>IF(OR(D336&lt;=0,C336&gt;'Input Data'!$B$23*12),0,IF(AND(C336='Input Data'!$B$23*12,'Input Data'!$E$23&gt;'Input Data'!$B$23),D336+D336*B336/12,IF('Input Data'!$C$23="FRM",-PMT($B$3/12,'Input Data'!$E$23*12,$D$3),IF($A336,-PMT(B336/12,('Input Data'!$E$23*12)-C336+1,D336),E335))))</f>
        <v>0</v>
      </c>
      <c r="F336" s="18">
        <f t="shared" si="26"/>
        <v>0</v>
      </c>
      <c r="G336" s="18">
        <f>IF(C336&gt;'Input Data'!$B$23*12,0,D336*B336/12)</f>
        <v>0</v>
      </c>
      <c r="H336" s="18">
        <f t="shared" si="25"/>
        <v>0</v>
      </c>
      <c r="I336" s="18">
        <f t="shared" si="27"/>
        <v>0</v>
      </c>
    </row>
    <row r="337" spans="1:9" x14ac:dyDescent="0.25">
      <c r="A337" t="b">
        <f>IF(('Input Data'!$C$23)="FRM", FALSE, ISNUMBER(MATCH(C337,'Input Data'!$M$18:$M$30,0)))</f>
        <v>0</v>
      </c>
      <c r="B337" s="8">
        <f>IF($A337, _xlfn.XLOOKUP(C337,'Input Data'!$M$17:$M$29,'Input Data'!$N$17:$N$29),$B336)</f>
        <v>6.5000000000000002E-2</v>
      </c>
      <c r="C337" s="10">
        <f t="shared" si="28"/>
        <v>335</v>
      </c>
      <c r="D337" s="18">
        <f t="shared" si="29"/>
        <v>0</v>
      </c>
      <c r="E337" s="18">
        <f>IF(OR(D337&lt;=0,C337&gt;'Input Data'!$B$23*12),0,IF(AND(C337='Input Data'!$B$23*12,'Input Data'!$E$23&gt;'Input Data'!$B$23),D337+D337*B337/12,IF('Input Data'!$C$23="FRM",-PMT($B$3/12,'Input Data'!$E$23*12,$D$3),IF($A337,-PMT(B337/12,('Input Data'!$E$23*12)-C337+1,D337),E336))))</f>
        <v>0</v>
      </c>
      <c r="F337" s="18">
        <f t="shared" si="26"/>
        <v>0</v>
      </c>
      <c r="G337" s="18">
        <f>IF(C337&gt;'Input Data'!$B$23*12,0,D337*B337/12)</f>
        <v>0</v>
      </c>
      <c r="H337" s="18">
        <f t="shared" si="25"/>
        <v>0</v>
      </c>
      <c r="I337" s="18">
        <f t="shared" si="27"/>
        <v>0</v>
      </c>
    </row>
    <row r="338" spans="1:9" x14ac:dyDescent="0.25">
      <c r="A338" t="b">
        <f>IF(('Input Data'!$C$23)="FRM", FALSE, ISNUMBER(MATCH(C338,'Input Data'!$M$18:$M$30,0)))</f>
        <v>0</v>
      </c>
      <c r="B338" s="8">
        <f>IF($A338, _xlfn.XLOOKUP(C338,'Input Data'!$M$17:$M$29,'Input Data'!$N$17:$N$29),$B337)</f>
        <v>6.5000000000000002E-2</v>
      </c>
      <c r="C338" s="10">
        <f t="shared" si="28"/>
        <v>336</v>
      </c>
      <c r="D338" s="18">
        <f t="shared" si="29"/>
        <v>0</v>
      </c>
      <c r="E338" s="18">
        <f>IF(OR(D338&lt;=0,C338&gt;'Input Data'!$B$23*12),0,IF(AND(C338='Input Data'!$B$23*12,'Input Data'!$E$23&gt;'Input Data'!$B$23),D338+D338*B338/12,IF('Input Data'!$C$23="FRM",-PMT($B$3/12,'Input Data'!$E$23*12,$D$3),IF($A338,-PMT(B338/12,('Input Data'!$E$23*12)-C338+1,D338),E337))))</f>
        <v>0</v>
      </c>
      <c r="F338" s="18">
        <f t="shared" si="26"/>
        <v>0</v>
      </c>
      <c r="G338" s="18">
        <f>IF(C338&gt;'Input Data'!$B$23*12,0,D338*B338/12)</f>
        <v>0</v>
      </c>
      <c r="H338" s="18">
        <f t="shared" si="25"/>
        <v>0</v>
      </c>
      <c r="I338" s="18">
        <f t="shared" si="27"/>
        <v>0</v>
      </c>
    </row>
    <row r="339" spans="1:9" x14ac:dyDescent="0.25">
      <c r="A339" t="b">
        <f>IF(('Input Data'!$C$23)="FRM", FALSE, ISNUMBER(MATCH(C339,'Input Data'!$M$18:$M$30,0)))</f>
        <v>0</v>
      </c>
      <c r="B339" s="8">
        <f>IF($A339, _xlfn.XLOOKUP(C339,'Input Data'!$M$17:$M$29,'Input Data'!$N$17:$N$29),$B338)</f>
        <v>6.5000000000000002E-2</v>
      </c>
      <c r="C339" s="10">
        <f t="shared" si="28"/>
        <v>337</v>
      </c>
      <c r="D339" s="18">
        <f t="shared" si="29"/>
        <v>0</v>
      </c>
      <c r="E339" s="18">
        <f>IF(OR(D339&lt;=0,C339&gt;'Input Data'!$B$23*12),0,IF(AND(C339='Input Data'!$B$23*12,'Input Data'!$E$23&gt;'Input Data'!$B$23),D339+D339*B339/12,IF('Input Data'!$C$23="FRM",-PMT($B$3/12,'Input Data'!$E$23*12,$D$3),IF($A339,-PMT(B339/12,('Input Data'!$E$23*12)-C339+1,D339),E338))))</f>
        <v>0</v>
      </c>
      <c r="F339" s="18">
        <f t="shared" si="26"/>
        <v>0</v>
      </c>
      <c r="G339" s="18">
        <f>IF(C339&gt;'Input Data'!$B$23*12,0,D339*B339/12)</f>
        <v>0</v>
      </c>
      <c r="H339" s="18">
        <f t="shared" si="25"/>
        <v>0</v>
      </c>
      <c r="I339" s="18">
        <f t="shared" si="27"/>
        <v>0</v>
      </c>
    </row>
    <row r="340" spans="1:9" x14ac:dyDescent="0.25">
      <c r="A340" t="b">
        <f>IF(('Input Data'!$C$23)="FRM", FALSE, ISNUMBER(MATCH(C340,'Input Data'!$M$18:$M$30,0)))</f>
        <v>0</v>
      </c>
      <c r="B340" s="8">
        <f>IF($A340, _xlfn.XLOOKUP(C340,'Input Data'!$M$17:$M$29,'Input Data'!$N$17:$N$29),$B339)</f>
        <v>6.5000000000000002E-2</v>
      </c>
      <c r="C340" s="10">
        <f t="shared" si="28"/>
        <v>338</v>
      </c>
      <c r="D340" s="18">
        <f t="shared" si="29"/>
        <v>0</v>
      </c>
      <c r="E340" s="18">
        <f>IF(OR(D340&lt;=0,C340&gt;'Input Data'!$B$23*12),0,IF(AND(C340='Input Data'!$B$23*12,'Input Data'!$E$23&gt;'Input Data'!$B$23),D340+D340*B340/12,IF('Input Data'!$C$23="FRM",-PMT($B$3/12,'Input Data'!$E$23*12,$D$3),IF($A340,-PMT(B340/12,('Input Data'!$E$23*12)-C340+1,D340),E339))))</f>
        <v>0</v>
      </c>
      <c r="F340" s="18">
        <f t="shared" si="26"/>
        <v>0</v>
      </c>
      <c r="G340" s="18">
        <f>IF(C340&gt;'Input Data'!$B$23*12,0,D340*B340/12)</f>
        <v>0</v>
      </c>
      <c r="H340" s="18">
        <f t="shared" si="25"/>
        <v>0</v>
      </c>
      <c r="I340" s="18">
        <f t="shared" si="27"/>
        <v>0</v>
      </c>
    </row>
    <row r="341" spans="1:9" x14ac:dyDescent="0.25">
      <c r="A341" t="b">
        <f>IF(('Input Data'!$C$23)="FRM", FALSE, ISNUMBER(MATCH(C341,'Input Data'!$M$18:$M$30,0)))</f>
        <v>0</v>
      </c>
      <c r="B341" s="8">
        <f>IF($A341, _xlfn.XLOOKUP(C341,'Input Data'!$M$17:$M$29,'Input Data'!$N$17:$N$29),$B340)</f>
        <v>6.5000000000000002E-2</v>
      </c>
      <c r="C341" s="10">
        <f t="shared" si="28"/>
        <v>339</v>
      </c>
      <c r="D341" s="18">
        <f t="shared" si="29"/>
        <v>0</v>
      </c>
      <c r="E341" s="18">
        <f>IF(OR(D341&lt;=0,C341&gt;'Input Data'!$B$23*12),0,IF(AND(C341='Input Data'!$B$23*12,'Input Data'!$E$23&gt;'Input Data'!$B$23),D341+D341*B341/12,IF('Input Data'!$C$23="FRM",-PMT($B$3/12,'Input Data'!$E$23*12,$D$3),IF($A341,-PMT(B341/12,('Input Data'!$E$23*12)-C341+1,D341),E340))))</f>
        <v>0</v>
      </c>
      <c r="F341" s="18">
        <f t="shared" si="26"/>
        <v>0</v>
      </c>
      <c r="G341" s="18">
        <f>IF(C341&gt;'Input Data'!$B$23*12,0,D341*B341/12)</f>
        <v>0</v>
      </c>
      <c r="H341" s="18">
        <f t="shared" si="25"/>
        <v>0</v>
      </c>
      <c r="I341" s="18">
        <f t="shared" si="27"/>
        <v>0</v>
      </c>
    </row>
    <row r="342" spans="1:9" x14ac:dyDescent="0.25">
      <c r="A342" t="b">
        <f>IF(('Input Data'!$C$23)="FRM", FALSE, ISNUMBER(MATCH(C342,'Input Data'!$M$18:$M$30,0)))</f>
        <v>0</v>
      </c>
      <c r="B342" s="8">
        <f>IF($A342, _xlfn.XLOOKUP(C342,'Input Data'!$M$17:$M$29,'Input Data'!$N$17:$N$29),$B341)</f>
        <v>6.5000000000000002E-2</v>
      </c>
      <c r="C342" s="10">
        <f t="shared" si="28"/>
        <v>340</v>
      </c>
      <c r="D342" s="18">
        <f t="shared" si="29"/>
        <v>0</v>
      </c>
      <c r="E342" s="18">
        <f>IF(OR(D342&lt;=0,C342&gt;'Input Data'!$B$23*12),0,IF(AND(C342='Input Data'!$B$23*12,'Input Data'!$E$23&gt;'Input Data'!$B$23),D342+D342*B342/12,IF('Input Data'!$C$23="FRM",-PMT($B$3/12,'Input Data'!$E$23*12,$D$3),IF($A342,-PMT(B342/12,('Input Data'!$E$23*12)-C342+1,D342),E341))))</f>
        <v>0</v>
      </c>
      <c r="F342" s="18">
        <f t="shared" si="26"/>
        <v>0</v>
      </c>
      <c r="G342" s="18">
        <f>IF(C342&gt;'Input Data'!$B$23*12,0,D342*B342/12)</f>
        <v>0</v>
      </c>
      <c r="H342" s="18">
        <f t="shared" si="25"/>
        <v>0</v>
      </c>
      <c r="I342" s="18">
        <f t="shared" si="27"/>
        <v>0</v>
      </c>
    </row>
    <row r="343" spans="1:9" x14ac:dyDescent="0.25">
      <c r="A343" t="b">
        <f>IF(('Input Data'!$C$23)="FRM", FALSE, ISNUMBER(MATCH(C343,'Input Data'!$M$18:$M$30,0)))</f>
        <v>0</v>
      </c>
      <c r="B343" s="8">
        <f>IF($A343, _xlfn.XLOOKUP(C343,'Input Data'!$M$17:$M$29,'Input Data'!$N$17:$N$29),$B342)</f>
        <v>6.5000000000000002E-2</v>
      </c>
      <c r="C343" s="10">
        <f t="shared" si="28"/>
        <v>341</v>
      </c>
      <c r="D343" s="18">
        <f t="shared" si="29"/>
        <v>0</v>
      </c>
      <c r="E343" s="18">
        <f>IF(OR(D343&lt;=0,C343&gt;'Input Data'!$B$23*12),0,IF(AND(C343='Input Data'!$B$23*12,'Input Data'!$E$23&gt;'Input Data'!$B$23),D343+D343*B343/12,IF('Input Data'!$C$23="FRM",-PMT($B$3/12,'Input Data'!$E$23*12,$D$3),IF($A343,-PMT(B343/12,('Input Data'!$E$23*12)-C343+1,D343),E342))))</f>
        <v>0</v>
      </c>
      <c r="F343" s="18">
        <f t="shared" si="26"/>
        <v>0</v>
      </c>
      <c r="G343" s="18">
        <f>IF(C343&gt;'Input Data'!$B$23*12,0,D343*B343/12)</f>
        <v>0</v>
      </c>
      <c r="H343" s="18">
        <f t="shared" si="25"/>
        <v>0</v>
      </c>
      <c r="I343" s="18">
        <f t="shared" si="27"/>
        <v>0</v>
      </c>
    </row>
    <row r="344" spans="1:9" x14ac:dyDescent="0.25">
      <c r="A344" t="b">
        <f>IF(('Input Data'!$C$23)="FRM", FALSE, ISNUMBER(MATCH(C344,'Input Data'!$M$18:$M$30,0)))</f>
        <v>0</v>
      </c>
      <c r="B344" s="8">
        <f>IF($A344, _xlfn.XLOOKUP(C344,'Input Data'!$M$17:$M$29,'Input Data'!$N$17:$N$29),$B343)</f>
        <v>6.5000000000000002E-2</v>
      </c>
      <c r="C344" s="10">
        <f t="shared" si="28"/>
        <v>342</v>
      </c>
      <c r="D344" s="18">
        <f t="shared" si="29"/>
        <v>0</v>
      </c>
      <c r="E344" s="18">
        <f>IF(OR(D344&lt;=0,C344&gt;'Input Data'!$B$23*12),0,IF(AND(C344='Input Data'!$B$23*12,'Input Data'!$E$23&gt;'Input Data'!$B$23),D344+D344*B344/12,IF('Input Data'!$C$23="FRM",-PMT($B$3/12,'Input Data'!$E$23*12,$D$3),IF($A344,-PMT(B344/12,('Input Data'!$E$23*12)-C344+1,D344),E343))))</f>
        <v>0</v>
      </c>
      <c r="F344" s="18">
        <f t="shared" si="26"/>
        <v>0</v>
      </c>
      <c r="G344" s="18">
        <f>IF(C344&gt;'Input Data'!$B$23*12,0,D344*B344/12)</f>
        <v>0</v>
      </c>
      <c r="H344" s="18">
        <f t="shared" si="25"/>
        <v>0</v>
      </c>
      <c r="I344" s="18">
        <f t="shared" si="27"/>
        <v>0</v>
      </c>
    </row>
    <row r="345" spans="1:9" x14ac:dyDescent="0.25">
      <c r="A345" t="b">
        <f>IF(('Input Data'!$C$23)="FRM", FALSE, ISNUMBER(MATCH(C345,'Input Data'!$M$18:$M$30,0)))</f>
        <v>0</v>
      </c>
      <c r="B345" s="8">
        <f>IF($A345, _xlfn.XLOOKUP(C345,'Input Data'!$M$17:$M$29,'Input Data'!$N$17:$N$29),$B344)</f>
        <v>6.5000000000000002E-2</v>
      </c>
      <c r="C345" s="10">
        <f t="shared" si="28"/>
        <v>343</v>
      </c>
      <c r="D345" s="18">
        <f t="shared" si="29"/>
        <v>0</v>
      </c>
      <c r="E345" s="18">
        <f>IF(OR(D345&lt;=0,C345&gt;'Input Data'!$B$23*12),0,IF(AND(C345='Input Data'!$B$23*12,'Input Data'!$E$23&gt;'Input Data'!$B$23),D345+D345*B345/12,IF('Input Data'!$C$23="FRM",-PMT($B$3/12,'Input Data'!$E$23*12,$D$3),IF($A345,-PMT(B345/12,('Input Data'!$E$23*12)-C345+1,D345),E344))))</f>
        <v>0</v>
      </c>
      <c r="F345" s="18">
        <f t="shared" si="26"/>
        <v>0</v>
      </c>
      <c r="G345" s="18">
        <f>IF(C345&gt;'Input Data'!$B$23*12,0,D345*B345/12)</f>
        <v>0</v>
      </c>
      <c r="H345" s="18">
        <f t="shared" si="25"/>
        <v>0</v>
      </c>
      <c r="I345" s="18">
        <f t="shared" si="27"/>
        <v>0</v>
      </c>
    </row>
    <row r="346" spans="1:9" x14ac:dyDescent="0.25">
      <c r="A346" t="b">
        <f>IF(('Input Data'!$C$23)="FRM", FALSE, ISNUMBER(MATCH(C346,'Input Data'!$M$18:$M$30,0)))</f>
        <v>0</v>
      </c>
      <c r="B346" s="8">
        <f>IF($A346, _xlfn.XLOOKUP(C346,'Input Data'!$M$17:$M$29,'Input Data'!$N$17:$N$29),$B345)</f>
        <v>6.5000000000000002E-2</v>
      </c>
      <c r="C346" s="10">
        <f t="shared" si="28"/>
        <v>344</v>
      </c>
      <c r="D346" s="18">
        <f t="shared" si="29"/>
        <v>0</v>
      </c>
      <c r="E346" s="18">
        <f>IF(OR(D346&lt;=0,C346&gt;'Input Data'!$B$23*12),0,IF(AND(C346='Input Data'!$B$23*12,'Input Data'!$E$23&gt;'Input Data'!$B$23),D346+D346*B346/12,IF('Input Data'!$C$23="FRM",-PMT($B$3/12,'Input Data'!$E$23*12,$D$3),IF($A346,-PMT(B346/12,('Input Data'!$E$23*12)-C346+1,D346),E345))))</f>
        <v>0</v>
      </c>
      <c r="F346" s="18">
        <f t="shared" si="26"/>
        <v>0</v>
      </c>
      <c r="G346" s="18">
        <f>IF(C346&gt;'Input Data'!$B$23*12,0,D346*B346/12)</f>
        <v>0</v>
      </c>
      <c r="H346" s="18">
        <f t="shared" si="25"/>
        <v>0</v>
      </c>
      <c r="I346" s="18">
        <f t="shared" si="27"/>
        <v>0</v>
      </c>
    </row>
    <row r="347" spans="1:9" x14ac:dyDescent="0.25">
      <c r="A347" t="b">
        <f>IF(('Input Data'!$C$23)="FRM", FALSE, ISNUMBER(MATCH(C347,'Input Data'!$M$18:$M$30,0)))</f>
        <v>0</v>
      </c>
      <c r="B347" s="8">
        <f>IF($A347, _xlfn.XLOOKUP(C347,'Input Data'!$M$17:$M$29,'Input Data'!$N$17:$N$29),$B346)</f>
        <v>6.5000000000000002E-2</v>
      </c>
      <c r="C347" s="10">
        <f t="shared" si="28"/>
        <v>345</v>
      </c>
      <c r="D347" s="18">
        <f t="shared" si="29"/>
        <v>0</v>
      </c>
      <c r="E347" s="18">
        <f>IF(OR(D347&lt;=0,C347&gt;'Input Data'!$B$23*12),0,IF(AND(C347='Input Data'!$B$23*12,'Input Data'!$E$23&gt;'Input Data'!$B$23),D347+D347*B347/12,IF('Input Data'!$C$23="FRM",-PMT($B$3/12,'Input Data'!$E$23*12,$D$3),IF($A347,-PMT(B347/12,('Input Data'!$E$23*12)-C347+1,D347),E346))))</f>
        <v>0</v>
      </c>
      <c r="F347" s="18">
        <f t="shared" si="26"/>
        <v>0</v>
      </c>
      <c r="G347" s="18">
        <f>IF(C347&gt;'Input Data'!$B$23*12,0,D347*B347/12)</f>
        <v>0</v>
      </c>
      <c r="H347" s="18">
        <f t="shared" si="25"/>
        <v>0</v>
      </c>
      <c r="I347" s="18">
        <f t="shared" si="27"/>
        <v>0</v>
      </c>
    </row>
    <row r="348" spans="1:9" x14ac:dyDescent="0.25">
      <c r="A348" t="b">
        <f>IF(('Input Data'!$C$23)="FRM", FALSE, ISNUMBER(MATCH(C348,'Input Data'!$M$18:$M$30,0)))</f>
        <v>0</v>
      </c>
      <c r="B348" s="8">
        <f>IF($A348, _xlfn.XLOOKUP(C348,'Input Data'!$M$17:$M$29,'Input Data'!$N$17:$N$29),$B347)</f>
        <v>6.5000000000000002E-2</v>
      </c>
      <c r="C348" s="10">
        <f t="shared" si="28"/>
        <v>346</v>
      </c>
      <c r="D348" s="18">
        <f t="shared" si="29"/>
        <v>0</v>
      </c>
      <c r="E348" s="18">
        <f>IF(OR(D348&lt;=0,C348&gt;'Input Data'!$B$23*12),0,IF(AND(C348='Input Data'!$B$23*12,'Input Data'!$E$23&gt;'Input Data'!$B$23),D348+D348*B348/12,IF('Input Data'!$C$23="FRM",-PMT($B$3/12,'Input Data'!$E$23*12,$D$3),IF($A348,-PMT(B348/12,('Input Data'!$E$23*12)-C348+1,D348),E347))))</f>
        <v>0</v>
      </c>
      <c r="F348" s="18">
        <f t="shared" si="26"/>
        <v>0</v>
      </c>
      <c r="G348" s="18">
        <f>IF(C348&gt;'Input Data'!$B$23*12,0,D348*B348/12)</f>
        <v>0</v>
      </c>
      <c r="H348" s="18">
        <f t="shared" si="25"/>
        <v>0</v>
      </c>
      <c r="I348" s="18">
        <f t="shared" si="27"/>
        <v>0</v>
      </c>
    </row>
    <row r="349" spans="1:9" x14ac:dyDescent="0.25">
      <c r="A349" t="b">
        <f>IF(('Input Data'!$C$23)="FRM", FALSE, ISNUMBER(MATCH(C349,'Input Data'!$M$18:$M$30,0)))</f>
        <v>0</v>
      </c>
      <c r="B349" s="8">
        <f>IF($A349, _xlfn.XLOOKUP(C349,'Input Data'!$M$17:$M$29,'Input Data'!$N$17:$N$29),$B348)</f>
        <v>6.5000000000000002E-2</v>
      </c>
      <c r="C349" s="10">
        <f t="shared" si="28"/>
        <v>347</v>
      </c>
      <c r="D349" s="18">
        <f t="shared" si="29"/>
        <v>0</v>
      </c>
      <c r="E349" s="18">
        <f>IF(OR(D349&lt;=0,C349&gt;'Input Data'!$B$23*12),0,IF(AND(C349='Input Data'!$B$23*12,'Input Data'!$E$23&gt;'Input Data'!$B$23),D349+D349*B349/12,IF('Input Data'!$C$23="FRM",-PMT($B$3/12,'Input Data'!$E$23*12,$D$3),IF($A349,-PMT(B349/12,('Input Data'!$E$23*12)-C349+1,D349),E348))))</f>
        <v>0</v>
      </c>
      <c r="F349" s="18">
        <f t="shared" si="26"/>
        <v>0</v>
      </c>
      <c r="G349" s="18">
        <f>IF(C349&gt;'Input Data'!$B$23*12,0,D349*B349/12)</f>
        <v>0</v>
      </c>
      <c r="H349" s="18">
        <f t="shared" si="25"/>
        <v>0</v>
      </c>
      <c r="I349" s="18">
        <f t="shared" si="27"/>
        <v>0</v>
      </c>
    </row>
    <row r="350" spans="1:9" x14ac:dyDescent="0.25">
      <c r="A350" t="b">
        <f>IF(('Input Data'!$C$23)="FRM", FALSE, ISNUMBER(MATCH(C350,'Input Data'!$M$18:$M$30,0)))</f>
        <v>0</v>
      </c>
      <c r="B350" s="8">
        <f>IF($A350, _xlfn.XLOOKUP(C350,'Input Data'!$M$17:$M$29,'Input Data'!$N$17:$N$29),$B349)</f>
        <v>6.5000000000000002E-2</v>
      </c>
      <c r="C350" s="10">
        <f t="shared" si="28"/>
        <v>348</v>
      </c>
      <c r="D350" s="18">
        <f t="shared" si="29"/>
        <v>0</v>
      </c>
      <c r="E350" s="18">
        <f>IF(OR(D350&lt;=0,C350&gt;'Input Data'!$B$23*12),0,IF(AND(C350='Input Data'!$B$23*12,'Input Data'!$E$23&gt;'Input Data'!$B$23),D350+D350*B350/12,IF('Input Data'!$C$23="FRM",-PMT($B$3/12,'Input Data'!$E$23*12,$D$3),IF($A350,-PMT(B350/12,('Input Data'!$E$23*12)-C350+1,D350),E349))))</f>
        <v>0</v>
      </c>
      <c r="F350" s="18">
        <f t="shared" si="26"/>
        <v>0</v>
      </c>
      <c r="G350" s="18">
        <f>IF(C350&gt;'Input Data'!$B$23*12,0,D350*B350/12)</f>
        <v>0</v>
      </c>
      <c r="H350" s="18">
        <f t="shared" si="25"/>
        <v>0</v>
      </c>
      <c r="I350" s="18">
        <f t="shared" si="27"/>
        <v>0</v>
      </c>
    </row>
    <row r="351" spans="1:9" x14ac:dyDescent="0.25">
      <c r="A351" t="b">
        <f>IF(('Input Data'!$C$23)="FRM", FALSE, ISNUMBER(MATCH(C351,'Input Data'!$M$18:$M$30,0)))</f>
        <v>0</v>
      </c>
      <c r="B351" s="8">
        <f>IF($A351, _xlfn.XLOOKUP(C351,'Input Data'!$M$17:$M$29,'Input Data'!$N$17:$N$29),$B350)</f>
        <v>6.5000000000000002E-2</v>
      </c>
      <c r="C351" s="10">
        <f t="shared" si="28"/>
        <v>349</v>
      </c>
      <c r="D351" s="18">
        <f t="shared" si="29"/>
        <v>0</v>
      </c>
      <c r="E351" s="18">
        <f>IF(OR(D351&lt;=0,C351&gt;'Input Data'!$B$23*12),0,IF(AND(C351='Input Data'!$B$23*12,'Input Data'!$E$23&gt;'Input Data'!$B$23),D351+D351*B351/12,IF('Input Data'!$C$23="FRM",-PMT($B$3/12,'Input Data'!$E$23*12,$D$3),IF($A351,-PMT(B351/12,('Input Data'!$E$23*12)-C351+1,D351),E350))))</f>
        <v>0</v>
      </c>
      <c r="F351" s="18">
        <f t="shared" si="26"/>
        <v>0</v>
      </c>
      <c r="G351" s="18">
        <f>IF(C351&gt;'Input Data'!$B$23*12,0,D351*B351/12)</f>
        <v>0</v>
      </c>
      <c r="H351" s="18">
        <f t="shared" si="25"/>
        <v>0</v>
      </c>
      <c r="I351" s="18">
        <f t="shared" si="27"/>
        <v>0</v>
      </c>
    </row>
    <row r="352" spans="1:9" x14ac:dyDescent="0.25">
      <c r="A352" t="b">
        <f>IF(('Input Data'!$C$23)="FRM", FALSE, ISNUMBER(MATCH(C352,'Input Data'!$M$18:$M$30,0)))</f>
        <v>0</v>
      </c>
      <c r="B352" s="8">
        <f>IF($A352, _xlfn.XLOOKUP(C352,'Input Data'!$M$17:$M$29,'Input Data'!$N$17:$N$29),$B351)</f>
        <v>6.5000000000000002E-2</v>
      </c>
      <c r="C352" s="10">
        <f t="shared" si="28"/>
        <v>350</v>
      </c>
      <c r="D352" s="18">
        <f t="shared" si="29"/>
        <v>0</v>
      </c>
      <c r="E352" s="18">
        <f>IF(OR(D352&lt;=0,C352&gt;'Input Data'!$B$23*12),0,IF(AND(C352='Input Data'!$B$23*12,'Input Data'!$E$23&gt;'Input Data'!$B$23),D352+D352*B352/12,IF('Input Data'!$C$23="FRM",-PMT($B$3/12,'Input Data'!$E$23*12,$D$3),IF($A352,-PMT(B352/12,('Input Data'!$E$23*12)-C352+1,D352),E351))))</f>
        <v>0</v>
      </c>
      <c r="F352" s="18">
        <f t="shared" si="26"/>
        <v>0</v>
      </c>
      <c r="G352" s="18">
        <f>IF(C352&gt;'Input Data'!$B$23*12,0,D352*B352/12)</f>
        <v>0</v>
      </c>
      <c r="H352" s="18">
        <f t="shared" si="25"/>
        <v>0</v>
      </c>
      <c r="I352" s="18">
        <f t="shared" si="27"/>
        <v>0</v>
      </c>
    </row>
    <row r="353" spans="1:9" x14ac:dyDescent="0.25">
      <c r="A353" t="b">
        <f>IF(('Input Data'!$C$23)="FRM", FALSE, ISNUMBER(MATCH(C353,'Input Data'!$M$18:$M$30,0)))</f>
        <v>0</v>
      </c>
      <c r="B353" s="8">
        <f>IF($A353, _xlfn.XLOOKUP(C353,'Input Data'!$M$17:$M$29,'Input Data'!$N$17:$N$29),$B352)</f>
        <v>6.5000000000000002E-2</v>
      </c>
      <c r="C353" s="10">
        <f t="shared" si="28"/>
        <v>351</v>
      </c>
      <c r="D353" s="18">
        <f t="shared" si="29"/>
        <v>0</v>
      </c>
      <c r="E353" s="18">
        <f>IF(OR(D353&lt;=0,C353&gt;'Input Data'!$B$23*12),0,IF(AND(C353='Input Data'!$B$23*12,'Input Data'!$E$23&gt;'Input Data'!$B$23),D353+D353*B353/12,IF('Input Data'!$C$23="FRM",-PMT($B$3/12,'Input Data'!$E$23*12,$D$3),IF($A353,-PMT(B353/12,('Input Data'!$E$23*12)-C353+1,D353),E352))))</f>
        <v>0</v>
      </c>
      <c r="F353" s="18">
        <f t="shared" si="26"/>
        <v>0</v>
      </c>
      <c r="G353" s="18">
        <f>IF(C353&gt;'Input Data'!$B$23*12,0,D353*B353/12)</f>
        <v>0</v>
      </c>
      <c r="H353" s="18">
        <f t="shared" si="25"/>
        <v>0</v>
      </c>
      <c r="I353" s="18">
        <f t="shared" si="27"/>
        <v>0</v>
      </c>
    </row>
    <row r="354" spans="1:9" x14ac:dyDescent="0.25">
      <c r="A354" t="b">
        <f>IF(('Input Data'!$C$23)="FRM", FALSE, ISNUMBER(MATCH(C354,'Input Data'!$M$18:$M$30,0)))</f>
        <v>0</v>
      </c>
      <c r="B354" s="8">
        <f>IF($A354, _xlfn.XLOOKUP(C354,'Input Data'!$M$17:$M$29,'Input Data'!$N$17:$N$29),$B353)</f>
        <v>6.5000000000000002E-2</v>
      </c>
      <c r="C354" s="10">
        <f t="shared" si="28"/>
        <v>352</v>
      </c>
      <c r="D354" s="18">
        <f t="shared" si="29"/>
        <v>0</v>
      </c>
      <c r="E354" s="18">
        <f>IF(OR(D354&lt;=0,C354&gt;'Input Data'!$B$23*12),0,IF(AND(C354='Input Data'!$B$23*12,'Input Data'!$E$23&gt;'Input Data'!$B$23),D354+D354*B354/12,IF('Input Data'!$C$23="FRM",-PMT($B$3/12,'Input Data'!$E$23*12,$D$3),IF($A354,-PMT(B354/12,('Input Data'!$E$23*12)-C354+1,D354),E353))))</f>
        <v>0</v>
      </c>
      <c r="F354" s="18">
        <f t="shared" si="26"/>
        <v>0</v>
      </c>
      <c r="G354" s="18">
        <f>IF(C354&gt;'Input Data'!$B$23*12,0,D354*B354/12)</f>
        <v>0</v>
      </c>
      <c r="H354" s="18">
        <f t="shared" si="25"/>
        <v>0</v>
      </c>
      <c r="I354" s="18">
        <f t="shared" si="27"/>
        <v>0</v>
      </c>
    </row>
    <row r="355" spans="1:9" x14ac:dyDescent="0.25">
      <c r="A355" t="b">
        <f>IF(('Input Data'!$C$23)="FRM", FALSE, ISNUMBER(MATCH(C355,'Input Data'!$M$18:$M$30,0)))</f>
        <v>0</v>
      </c>
      <c r="B355" s="8">
        <f>IF($A355, _xlfn.XLOOKUP(C355,'Input Data'!$M$17:$M$29,'Input Data'!$N$17:$N$29),$B354)</f>
        <v>6.5000000000000002E-2</v>
      </c>
      <c r="C355" s="10">
        <f t="shared" si="28"/>
        <v>353</v>
      </c>
      <c r="D355" s="18">
        <f t="shared" si="29"/>
        <v>0</v>
      </c>
      <c r="E355" s="18">
        <f>IF(OR(D355&lt;=0,C355&gt;'Input Data'!$B$23*12),0,IF(AND(C355='Input Data'!$B$23*12,'Input Data'!$E$23&gt;'Input Data'!$B$23),D355+D355*B355/12,IF('Input Data'!$C$23="FRM",-PMT($B$3/12,'Input Data'!$E$23*12,$D$3),IF($A355,-PMT(B355/12,('Input Data'!$E$23*12)-C355+1,D355),E354))))</f>
        <v>0</v>
      </c>
      <c r="F355" s="18">
        <f t="shared" si="26"/>
        <v>0</v>
      </c>
      <c r="G355" s="18">
        <f>IF(C355&gt;'Input Data'!$B$23*12,0,D355*B355/12)</f>
        <v>0</v>
      </c>
      <c r="H355" s="18">
        <f t="shared" si="25"/>
        <v>0</v>
      </c>
      <c r="I355" s="18">
        <f t="shared" si="27"/>
        <v>0</v>
      </c>
    </row>
    <row r="356" spans="1:9" x14ac:dyDescent="0.25">
      <c r="A356" t="b">
        <f>IF(('Input Data'!$C$23)="FRM", FALSE, ISNUMBER(MATCH(C356,'Input Data'!$M$18:$M$30,0)))</f>
        <v>0</v>
      </c>
      <c r="B356" s="8">
        <f>IF($A356, _xlfn.XLOOKUP(C356,'Input Data'!$M$17:$M$29,'Input Data'!$N$17:$N$29),$B355)</f>
        <v>6.5000000000000002E-2</v>
      </c>
      <c r="C356" s="10">
        <f t="shared" si="28"/>
        <v>354</v>
      </c>
      <c r="D356" s="18">
        <f t="shared" si="29"/>
        <v>0</v>
      </c>
      <c r="E356" s="18">
        <f>IF(OR(D356&lt;=0,C356&gt;'Input Data'!$B$23*12),0,IF(AND(C356='Input Data'!$B$23*12,'Input Data'!$E$23&gt;'Input Data'!$B$23),D356+D356*B356/12,IF('Input Data'!$C$23="FRM",-PMT($B$3/12,'Input Data'!$E$23*12,$D$3),IF($A356,-PMT(B356/12,('Input Data'!$E$23*12)-C356+1,D356),E355))))</f>
        <v>0</v>
      </c>
      <c r="F356" s="18">
        <f t="shared" si="26"/>
        <v>0</v>
      </c>
      <c r="G356" s="18">
        <f>IF(C356&gt;'Input Data'!$B$23*12,0,D356*B356/12)</f>
        <v>0</v>
      </c>
      <c r="H356" s="18">
        <f t="shared" si="25"/>
        <v>0</v>
      </c>
      <c r="I356" s="18">
        <f t="shared" si="27"/>
        <v>0</v>
      </c>
    </row>
    <row r="357" spans="1:9" x14ac:dyDescent="0.25">
      <c r="A357" t="b">
        <f>IF(('Input Data'!$C$23)="FRM", FALSE, ISNUMBER(MATCH(C357,'Input Data'!$M$18:$M$30,0)))</f>
        <v>0</v>
      </c>
      <c r="B357" s="8">
        <f>IF($A357, _xlfn.XLOOKUP(C357,'Input Data'!$M$17:$M$29,'Input Data'!$N$17:$N$29),$B356)</f>
        <v>6.5000000000000002E-2</v>
      </c>
      <c r="C357" s="10">
        <f t="shared" si="28"/>
        <v>355</v>
      </c>
      <c r="D357" s="18">
        <f t="shared" si="29"/>
        <v>0</v>
      </c>
      <c r="E357" s="18">
        <f>IF(OR(D357&lt;=0,C357&gt;'Input Data'!$B$23*12),0,IF(AND(C357='Input Data'!$B$23*12,'Input Data'!$E$23&gt;'Input Data'!$B$23),D357+D357*B357/12,IF('Input Data'!$C$23="FRM",-PMT($B$3/12,'Input Data'!$E$23*12,$D$3),IF($A357,-PMT(B357/12,('Input Data'!$E$23*12)-C357+1,D357),E356))))</f>
        <v>0</v>
      </c>
      <c r="F357" s="18">
        <f t="shared" si="26"/>
        <v>0</v>
      </c>
      <c r="G357" s="18">
        <f>IF(C357&gt;'Input Data'!$B$23*12,0,D357*B357/12)</f>
        <v>0</v>
      </c>
      <c r="H357" s="18">
        <f t="shared" si="25"/>
        <v>0</v>
      </c>
      <c r="I357" s="18">
        <f t="shared" si="27"/>
        <v>0</v>
      </c>
    </row>
    <row r="358" spans="1:9" x14ac:dyDescent="0.25">
      <c r="A358" t="b">
        <f>IF(('Input Data'!$C$23)="FRM", FALSE, ISNUMBER(MATCH(C358,'Input Data'!$M$18:$M$30,0)))</f>
        <v>0</v>
      </c>
      <c r="B358" s="8">
        <f>IF($A358, _xlfn.XLOOKUP(C358,'Input Data'!$M$17:$M$29,'Input Data'!$N$17:$N$29),$B357)</f>
        <v>6.5000000000000002E-2</v>
      </c>
      <c r="C358" s="10">
        <f t="shared" si="28"/>
        <v>356</v>
      </c>
      <c r="D358" s="18">
        <f t="shared" si="29"/>
        <v>0</v>
      </c>
      <c r="E358" s="18">
        <f>IF(OR(D358&lt;=0,C358&gt;'Input Data'!$B$23*12),0,IF(AND(C358='Input Data'!$B$23*12,'Input Data'!$E$23&gt;'Input Data'!$B$23),D358+D358*B358/12,IF('Input Data'!$C$23="FRM",-PMT($B$3/12,'Input Data'!$E$23*12,$D$3),IF($A358,-PMT(B358/12,('Input Data'!$E$23*12)-C358+1,D358),E357))))</f>
        <v>0</v>
      </c>
      <c r="F358" s="18">
        <f t="shared" si="26"/>
        <v>0</v>
      </c>
      <c r="G358" s="18">
        <f>IF(C358&gt;'Input Data'!$B$23*12,0,D358*B358/12)</f>
        <v>0</v>
      </c>
      <c r="H358" s="18">
        <f t="shared" si="25"/>
        <v>0</v>
      </c>
      <c r="I358" s="18">
        <f t="shared" si="27"/>
        <v>0</v>
      </c>
    </row>
    <row r="359" spans="1:9" x14ac:dyDescent="0.25">
      <c r="A359" t="b">
        <f>IF(('Input Data'!$C$23)="FRM", FALSE, ISNUMBER(MATCH(C359,'Input Data'!$M$18:$M$30,0)))</f>
        <v>0</v>
      </c>
      <c r="B359" s="8">
        <f>IF($A359, _xlfn.XLOOKUP(C359,'Input Data'!$M$17:$M$29,'Input Data'!$N$17:$N$29),$B358)</f>
        <v>6.5000000000000002E-2</v>
      </c>
      <c r="C359" s="10">
        <f t="shared" si="28"/>
        <v>357</v>
      </c>
      <c r="D359" s="18">
        <f t="shared" si="29"/>
        <v>0</v>
      </c>
      <c r="E359" s="18">
        <f>IF(OR(D359&lt;=0,C359&gt;'Input Data'!$B$23*12),0,IF(AND(C359='Input Data'!$B$23*12,'Input Data'!$E$23&gt;'Input Data'!$B$23),D359+D359*B359/12,IF('Input Data'!$C$23="FRM",-PMT($B$3/12,'Input Data'!$E$23*12,$D$3),IF($A359,-PMT(B359/12,('Input Data'!$E$23*12)-C359+1,D359),E358))))</f>
        <v>0</v>
      </c>
      <c r="F359" s="18">
        <f t="shared" si="26"/>
        <v>0</v>
      </c>
      <c r="G359" s="18">
        <f>IF(C359&gt;'Input Data'!$B$23*12,0,D359*B359/12)</f>
        <v>0</v>
      </c>
      <c r="H359" s="18">
        <f t="shared" si="25"/>
        <v>0</v>
      </c>
      <c r="I359" s="18">
        <f t="shared" si="27"/>
        <v>0</v>
      </c>
    </row>
    <row r="360" spans="1:9" x14ac:dyDescent="0.25">
      <c r="A360" t="b">
        <f>IF(('Input Data'!$C$23)="FRM", FALSE, ISNUMBER(MATCH(C360,'Input Data'!$M$18:$M$30,0)))</f>
        <v>0</v>
      </c>
      <c r="B360" s="8">
        <f>IF($A360, _xlfn.XLOOKUP(C360,'Input Data'!$M$17:$M$29,'Input Data'!$N$17:$N$29),$B359)</f>
        <v>6.5000000000000002E-2</v>
      </c>
      <c r="C360" s="10">
        <f t="shared" si="28"/>
        <v>358</v>
      </c>
      <c r="D360" s="18">
        <f t="shared" si="29"/>
        <v>0</v>
      </c>
      <c r="E360" s="18">
        <f>IF(OR(D360&lt;=0,C360&gt;'Input Data'!$B$23*12),0,IF(AND(C360='Input Data'!$B$23*12,'Input Data'!$E$23&gt;'Input Data'!$B$23),D360+D360*B360/12,IF('Input Data'!$C$23="FRM",-PMT($B$3/12,'Input Data'!$E$23*12,$D$3),IF($A360,-PMT(B360/12,('Input Data'!$E$23*12)-C360+1,D360),E359))))</f>
        <v>0</v>
      </c>
      <c r="F360" s="18">
        <f t="shared" si="26"/>
        <v>0</v>
      </c>
      <c r="G360" s="18">
        <f>IF(C360&gt;'Input Data'!$B$23*12,0,D360*B360/12)</f>
        <v>0</v>
      </c>
      <c r="H360" s="18">
        <f t="shared" si="25"/>
        <v>0</v>
      </c>
      <c r="I360" s="18">
        <f t="shared" si="27"/>
        <v>0</v>
      </c>
    </row>
    <row r="361" spans="1:9" x14ac:dyDescent="0.25">
      <c r="A361" t="b">
        <f>IF(('Input Data'!$C$23)="FRM", FALSE, ISNUMBER(MATCH(C361,'Input Data'!$M$18:$M$30,0)))</f>
        <v>0</v>
      </c>
      <c r="B361" s="8">
        <f>IF($A361, _xlfn.XLOOKUP(C361,'Input Data'!$M$17:$M$29,'Input Data'!$N$17:$N$29),$B360)</f>
        <v>6.5000000000000002E-2</v>
      </c>
      <c r="C361" s="10">
        <f t="shared" si="28"/>
        <v>359</v>
      </c>
      <c r="D361" s="18">
        <f t="shared" si="29"/>
        <v>0</v>
      </c>
      <c r="E361" s="18">
        <f>IF(OR(D361&lt;=0,C361&gt;'Input Data'!$B$23*12),0,IF(AND(C361='Input Data'!$B$23*12,'Input Data'!$E$23&gt;'Input Data'!$B$23),D361+D361*B361/12,IF('Input Data'!$C$23="FRM",-PMT($B$3/12,'Input Data'!$E$23*12,$D$3),IF($A361,-PMT(B361/12,('Input Data'!$E$23*12)-C361+1,D361),E360))))</f>
        <v>0</v>
      </c>
      <c r="F361" s="18">
        <f t="shared" si="26"/>
        <v>0</v>
      </c>
      <c r="G361" s="18">
        <f>IF(C361&gt;'Input Data'!$B$23*12,0,D361*B361/12)</f>
        <v>0</v>
      </c>
      <c r="H361" s="18">
        <f t="shared" si="25"/>
        <v>0</v>
      </c>
      <c r="I361" s="18">
        <f t="shared" si="27"/>
        <v>0</v>
      </c>
    </row>
    <row r="362" spans="1:9" x14ac:dyDescent="0.25">
      <c r="A362" t="b">
        <f>IF(('Input Data'!$C$23)="FRM", FALSE, ISNUMBER(MATCH(C362,'Input Data'!$M$18:$M$30,0)))</f>
        <v>0</v>
      </c>
      <c r="B362" s="8">
        <f>IF($A362, _xlfn.XLOOKUP(C362,'Input Data'!$M$17:$M$29,'Input Data'!$N$17:$N$29),$B361)</f>
        <v>6.5000000000000002E-2</v>
      </c>
      <c r="C362" s="10">
        <f t="shared" si="28"/>
        <v>360</v>
      </c>
      <c r="D362" s="18">
        <f t="shared" si="29"/>
        <v>0</v>
      </c>
      <c r="E362" s="18">
        <f>IF(OR(D362&lt;=0,C362&gt;'Input Data'!$B$23*12),0,IF(AND(C362='Input Data'!$B$23*12,'Input Data'!$E$23&gt;'Input Data'!$B$23),D362+D362*B362/12,IF('Input Data'!$C$23="FRM",-PMT($B$3/12,'Input Data'!$E$23*12,$D$3),IF($A362,-PMT(B362/12,('Input Data'!$E$23*12)-C362+1,D362),E361))))</f>
        <v>0</v>
      </c>
      <c r="F362" s="18">
        <f t="shared" si="26"/>
        <v>0</v>
      </c>
      <c r="G362" s="18">
        <f>IF(C362&gt;'Input Data'!$B$23*12,0,D362*B362/12)</f>
        <v>0</v>
      </c>
      <c r="H362" s="18">
        <f t="shared" si="25"/>
        <v>0</v>
      </c>
      <c r="I362" s="18">
        <f t="shared" si="27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BFF0E-C795-4DD3-AE67-E967BC619081}">
  <sheetPr>
    <tabColor theme="9"/>
  </sheetPr>
  <dimension ref="B4:I37"/>
  <sheetViews>
    <sheetView workbookViewId="0">
      <selection activeCell="C6" sqref="C6"/>
    </sheetView>
  </sheetViews>
  <sheetFormatPr defaultRowHeight="15" x14ac:dyDescent="0.25"/>
  <cols>
    <col min="2" max="2" width="26.140625" bestFit="1" customWidth="1"/>
    <col min="3" max="3" width="22.5703125" bestFit="1" customWidth="1"/>
    <col min="4" max="4" width="19.42578125" bestFit="1" customWidth="1"/>
    <col min="5" max="5" width="15.5703125" bestFit="1" customWidth="1"/>
    <col min="6" max="6" width="16.28515625" bestFit="1" customWidth="1"/>
    <col min="7" max="7" width="15.5703125" bestFit="1" customWidth="1"/>
  </cols>
  <sheetData>
    <row r="4" spans="2:7" x14ac:dyDescent="0.25">
      <c r="C4" t="s">
        <v>96</v>
      </c>
      <c r="D4" t="s">
        <v>53</v>
      </c>
      <c r="E4" t="s">
        <v>54</v>
      </c>
      <c r="F4" t="s">
        <v>55</v>
      </c>
      <c r="G4" t="s">
        <v>56</v>
      </c>
    </row>
    <row r="5" spans="2:7" ht="15.75" x14ac:dyDescent="0.25">
      <c r="B5" s="14" t="s">
        <v>63</v>
      </c>
    </row>
    <row r="6" spans="2:7" x14ac:dyDescent="0.25">
      <c r="B6" t="s">
        <v>61</v>
      </c>
      <c r="C6" s="9">
        <f>'Input Data'!$C$8*12*'Input Data'!$D$3</f>
        <v>1728000</v>
      </c>
      <c r="D6" s="9">
        <f>C6*(1+'Input Data'!$H$8)</f>
        <v>1775520.0000000002</v>
      </c>
      <c r="E6" s="9">
        <f>D6*(1+'Input Data'!$H$8)</f>
        <v>1824346.8000000003</v>
      </c>
      <c r="F6" s="9">
        <f>E6*(1+'Input Data'!$H$8)</f>
        <v>1874516.3370000005</v>
      </c>
      <c r="G6" s="9">
        <f>F6*(1+'Input Data'!$H$8)</f>
        <v>1926065.5362675006</v>
      </c>
    </row>
    <row r="7" spans="2:7" x14ac:dyDescent="0.25">
      <c r="B7" t="s">
        <v>58</v>
      </c>
      <c r="C7" s="9">
        <f>-(C6*'Input Data'!$D$8)</f>
        <v>-120960.00000000001</v>
      </c>
      <c r="D7" s="9">
        <f>-(D6*'Input Data'!$D$8)</f>
        <v>-124286.40000000002</v>
      </c>
      <c r="E7" s="9">
        <f>-(E6*'Input Data'!$D$8)</f>
        <v>-127704.27600000003</v>
      </c>
      <c r="F7" s="9">
        <f>-(F6*'Input Data'!$D$8)</f>
        <v>-131216.14359000005</v>
      </c>
      <c r="G7" s="9">
        <f>-(G6*'Input Data'!$D$8)</f>
        <v>-134824.58753872506</v>
      </c>
    </row>
    <row r="8" spans="2:7" x14ac:dyDescent="0.25">
      <c r="B8" t="s">
        <v>59</v>
      </c>
      <c r="C8" s="9">
        <f>C6+C7</f>
        <v>1607040</v>
      </c>
      <c r="D8" s="9">
        <f t="shared" ref="D8:G8" si="0">D6+D7</f>
        <v>1651233.6</v>
      </c>
      <c r="E8" s="9">
        <f t="shared" si="0"/>
        <v>1696642.5240000002</v>
      </c>
      <c r="F8" s="9">
        <f t="shared" si="0"/>
        <v>1743300.1934100005</v>
      </c>
      <c r="G8" s="9">
        <f t="shared" si="0"/>
        <v>1791240.9487287756</v>
      </c>
    </row>
    <row r="9" spans="2:7" x14ac:dyDescent="0.25">
      <c r="B9" t="s">
        <v>60</v>
      </c>
      <c r="C9" s="9">
        <f>C6*'Input Data'!$E$8</f>
        <v>51840</v>
      </c>
      <c r="D9" s="9">
        <f>D6*'Input Data'!$E$8</f>
        <v>53265.600000000006</v>
      </c>
      <c r="E9" s="9">
        <f>E6*'Input Data'!$E$8</f>
        <v>54730.40400000001</v>
      </c>
      <c r="F9" s="9">
        <f>F6*'Input Data'!$E$8</f>
        <v>56235.490110000013</v>
      </c>
      <c r="G9" s="9">
        <f>G6*'Input Data'!$E$8</f>
        <v>57781.966088025016</v>
      </c>
    </row>
    <row r="10" spans="2:7" x14ac:dyDescent="0.25">
      <c r="B10" s="15" t="s">
        <v>62</v>
      </c>
      <c r="C10" s="16">
        <f>C8+C9</f>
        <v>1658880</v>
      </c>
      <c r="D10" s="16">
        <f t="shared" ref="D10:G10" si="1">D8+D9</f>
        <v>1704499.2000000002</v>
      </c>
      <c r="E10" s="16">
        <f t="shared" si="1"/>
        <v>1751372.9280000003</v>
      </c>
      <c r="F10" s="16">
        <f t="shared" si="1"/>
        <v>1799535.6835200004</v>
      </c>
      <c r="G10" s="16">
        <f t="shared" si="1"/>
        <v>1849022.9148168005</v>
      </c>
    </row>
    <row r="12" spans="2:7" ht="15.75" x14ac:dyDescent="0.25">
      <c r="B12" s="14" t="s">
        <v>64</v>
      </c>
    </row>
    <row r="13" spans="2:7" x14ac:dyDescent="0.25">
      <c r="B13" t="s">
        <v>65</v>
      </c>
      <c r="C13" s="9">
        <f>C10*'Input Data'!$B$12</f>
        <v>99532.800000000003</v>
      </c>
      <c r="D13" s="9">
        <f>D10*'Input Data'!$B$12</f>
        <v>102269.952</v>
      </c>
      <c r="E13" s="9">
        <f>E10*'Input Data'!$B$12</f>
        <v>105082.37568000001</v>
      </c>
      <c r="F13" s="9">
        <f>F10*'Input Data'!$B$12</f>
        <v>107972.14101120002</v>
      </c>
      <c r="G13" s="9">
        <f>G10*'Input Data'!$B$12</f>
        <v>110941.37488900803</v>
      </c>
    </row>
    <row r="14" spans="2:7" x14ac:dyDescent="0.25">
      <c r="B14" t="s">
        <v>66</v>
      </c>
      <c r="C14" s="9">
        <f>C10*'Input Data'!$C$12</f>
        <v>82944</v>
      </c>
      <c r="D14" s="9">
        <f>D10*'Input Data'!$C$12</f>
        <v>85224.960000000021</v>
      </c>
      <c r="E14" s="9">
        <f>E10*'Input Data'!$C$12</f>
        <v>87568.646400000027</v>
      </c>
      <c r="F14" s="9">
        <f>F10*'Input Data'!$C$12</f>
        <v>89976.78417600003</v>
      </c>
      <c r="G14" s="9">
        <f>G10*'Input Data'!$C$12</f>
        <v>92451.145740840031</v>
      </c>
    </row>
    <row r="15" spans="2:7" x14ac:dyDescent="0.25">
      <c r="B15" t="s">
        <v>21</v>
      </c>
      <c r="C15" s="9">
        <f>C10*'Input Data'!$D$12</f>
        <v>124416</v>
      </c>
      <c r="D15" s="9">
        <f>D10*'Input Data'!$D$12</f>
        <v>127837.44</v>
      </c>
      <c r="E15" s="9">
        <f>E10*'Input Data'!$D$12</f>
        <v>131352.96960000001</v>
      </c>
      <c r="F15" s="9">
        <f>F10*'Input Data'!$D$12</f>
        <v>134965.17626400004</v>
      </c>
      <c r="G15" s="9">
        <f>G10*'Input Data'!$D$12</f>
        <v>138676.71861126003</v>
      </c>
    </row>
    <row r="16" spans="2:7" x14ac:dyDescent="0.25">
      <c r="B16" t="s">
        <v>67</v>
      </c>
      <c r="C16" s="9">
        <f>C10*'Input Data'!$E$12</f>
        <v>82944</v>
      </c>
      <c r="D16" s="9">
        <f>D10*'Input Data'!$E$12</f>
        <v>85224.960000000021</v>
      </c>
      <c r="E16" s="9">
        <f>E10*'Input Data'!$E$12</f>
        <v>87568.646400000027</v>
      </c>
      <c r="F16" s="9">
        <f>F10*'Input Data'!$E$12</f>
        <v>89976.78417600003</v>
      </c>
      <c r="G16" s="9">
        <f>G10*'Input Data'!$E$12</f>
        <v>92451.145740840031</v>
      </c>
    </row>
    <row r="17" spans="2:9" x14ac:dyDescent="0.25">
      <c r="B17" s="15" t="s">
        <v>68</v>
      </c>
      <c r="C17" s="16">
        <f>SUM(C13:C16)</f>
        <v>389836.79999999999</v>
      </c>
      <c r="D17" s="16">
        <f t="shared" ref="D17:G17" si="2">SUM(D13:D16)</f>
        <v>400557.31200000003</v>
      </c>
      <c r="E17" s="16">
        <f t="shared" si="2"/>
        <v>411572.63808000006</v>
      </c>
      <c r="F17" s="16">
        <f t="shared" si="2"/>
        <v>422890.88562720013</v>
      </c>
      <c r="G17" s="16">
        <f t="shared" si="2"/>
        <v>434520.38498194807</v>
      </c>
    </row>
    <row r="18" spans="2:9" x14ac:dyDescent="0.25">
      <c r="I18" t="s">
        <v>98</v>
      </c>
    </row>
    <row r="19" spans="2:9" x14ac:dyDescent="0.25">
      <c r="B19" t="s">
        <v>69</v>
      </c>
      <c r="C19" s="9">
        <f>'Input Data'!$H$12*'Input Data'!$D$3</f>
        <v>40800</v>
      </c>
      <c r="D19" s="9">
        <f>C19*(1+$I$19)</f>
        <v>41820</v>
      </c>
      <c r="E19" s="9">
        <f t="shared" ref="E19:G19" si="3">D19*(1+$I$19)</f>
        <v>42865.499999999993</v>
      </c>
      <c r="F19" s="9">
        <f t="shared" si="3"/>
        <v>43937.13749999999</v>
      </c>
      <c r="G19" s="9">
        <f t="shared" si="3"/>
        <v>45035.565937499989</v>
      </c>
      <c r="I19" s="2">
        <v>2.5000000000000001E-2</v>
      </c>
    </row>
    <row r="20" spans="2:9" x14ac:dyDescent="0.25">
      <c r="B20" t="s">
        <v>70</v>
      </c>
      <c r="C20" s="9">
        <f>'Input Data'!$I$12*'Input Data'!$D$3</f>
        <v>28800</v>
      </c>
      <c r="D20" s="9">
        <f>C20*(1+$I$19)</f>
        <v>29519.999999999996</v>
      </c>
      <c r="E20" s="9">
        <f t="shared" ref="E20:G20" si="4">D20*(1+$I$19)</f>
        <v>30257.999999999993</v>
      </c>
      <c r="F20" s="9">
        <f t="shared" si="4"/>
        <v>31014.44999999999</v>
      </c>
      <c r="G20" s="9">
        <f t="shared" si="4"/>
        <v>31789.811249999988</v>
      </c>
    </row>
    <row r="21" spans="2:9" x14ac:dyDescent="0.25">
      <c r="B21" s="15" t="s">
        <v>71</v>
      </c>
      <c r="C21" s="16">
        <f>SUM(C19:C20)</f>
        <v>69600</v>
      </c>
      <c r="D21" s="16">
        <f t="shared" ref="D21:G21" si="5">SUM(D19:D20)</f>
        <v>71340</v>
      </c>
      <c r="E21" s="16">
        <f t="shared" si="5"/>
        <v>73123.499999999985</v>
      </c>
      <c r="F21" s="16">
        <f t="shared" si="5"/>
        <v>74951.58749999998</v>
      </c>
      <c r="G21" s="16">
        <f t="shared" si="5"/>
        <v>76825.37718749998</v>
      </c>
    </row>
    <row r="22" spans="2:9" x14ac:dyDescent="0.25">
      <c r="I22" t="s">
        <v>100</v>
      </c>
    </row>
    <row r="23" spans="2:9" ht="15.75" x14ac:dyDescent="0.25">
      <c r="B23" s="14" t="s">
        <v>72</v>
      </c>
      <c r="C23" s="9">
        <f>'Input Data'!$F$12*'Input Data'!$B$17</f>
        <v>210000</v>
      </c>
      <c r="D23" s="9">
        <f>C23*(1+$I$23)</f>
        <v>214200</v>
      </c>
      <c r="E23" s="9">
        <f t="shared" ref="E23:G23" si="6">D23*(1+$I$23)</f>
        <v>218484</v>
      </c>
      <c r="F23" s="9">
        <f t="shared" si="6"/>
        <v>222853.68</v>
      </c>
      <c r="G23" s="9">
        <f t="shared" si="6"/>
        <v>227310.7536</v>
      </c>
      <c r="I23" s="1">
        <v>0.02</v>
      </c>
    </row>
    <row r="25" spans="2:9" x14ac:dyDescent="0.25">
      <c r="B25" t="s">
        <v>86</v>
      </c>
      <c r="C25" s="9">
        <f>C10-C17-C21-C23</f>
        <v>989443.2</v>
      </c>
      <c r="D25" s="9">
        <f t="shared" ref="D25:G25" si="7">D10-D17-D21-D23</f>
        <v>1018401.8880000003</v>
      </c>
      <c r="E25" s="9">
        <f t="shared" si="7"/>
        <v>1048192.7899200004</v>
      </c>
      <c r="F25" s="9">
        <f t="shared" si="7"/>
        <v>1078839.5303928005</v>
      </c>
      <c r="G25" s="9">
        <f t="shared" si="7"/>
        <v>1110366.3990473526</v>
      </c>
    </row>
    <row r="27" spans="2:9" x14ac:dyDescent="0.25">
      <c r="B27" t="s">
        <v>94</v>
      </c>
      <c r="C27" s="7">
        <f>SUM('Debt calculations'!E3:E14)</f>
        <v>981674.92016851646</v>
      </c>
      <c r="D27" s="7">
        <f>SUM('Debt calculations'!E15:E26)</f>
        <v>1024308.9412889137</v>
      </c>
      <c r="E27" s="7">
        <f>SUM('Debt calculations'!E27:E38)</f>
        <v>988718.98057393183</v>
      </c>
      <c r="F27" s="7">
        <f>SUM('Debt calculations'!E39:E50)</f>
        <v>963297.58006323047</v>
      </c>
      <c r="G27" s="7">
        <f>SUM('Debt calculations'!E51:E62)</f>
        <v>963297.58006323047</v>
      </c>
    </row>
    <row r="29" spans="2:9" x14ac:dyDescent="0.25">
      <c r="B29" t="s">
        <v>82</v>
      </c>
      <c r="C29" s="9">
        <f>'Input Data'!C27*'Input Data'!B17</f>
        <v>10920000</v>
      </c>
      <c r="D29" s="9"/>
      <c r="E29" s="9"/>
      <c r="F29" s="9"/>
      <c r="G29" s="9"/>
    </row>
    <row r="30" spans="2:9" x14ac:dyDescent="0.25">
      <c r="B30" t="s">
        <v>97</v>
      </c>
      <c r="C30" s="25">
        <f>C25/C27</f>
        <v>1.0079132915305098</v>
      </c>
      <c r="D30" s="25">
        <f t="shared" ref="D30:G30" si="8">D25/D27</f>
        <v>0.99423313313903083</v>
      </c>
      <c r="E30" s="25">
        <f t="shared" si="8"/>
        <v>1.0601523896219178</v>
      </c>
      <c r="F30" s="25">
        <f t="shared" si="8"/>
        <v>1.1199441924498408</v>
      </c>
      <c r="G30" s="25">
        <f t="shared" si="8"/>
        <v>1.1526722603979433</v>
      </c>
    </row>
    <row r="35" spans="2:4" x14ac:dyDescent="0.25">
      <c r="B35" s="40" t="str">
        <f>'Input Data'!B25</f>
        <v>Limits On Loan</v>
      </c>
    </row>
    <row r="36" spans="2:4" x14ac:dyDescent="0.25">
      <c r="B36" s="53" t="str">
        <f>'Input Data'!B26</f>
        <v>Minimum DSCR</v>
      </c>
      <c r="C36" s="54" t="str">
        <f>'Input Data'!C26</f>
        <v>Maximum LTV</v>
      </c>
      <c r="D36" s="55" t="str">
        <f>'Input Data'!D26</f>
        <v>Minimum Debt Yield</v>
      </c>
    </row>
    <row r="37" spans="2:4" x14ac:dyDescent="0.25">
      <c r="B37" s="74">
        <f>'Input Data'!B27</f>
        <v>1.25</v>
      </c>
      <c r="C37" s="75">
        <f>'Input Data'!C27</f>
        <v>0.65</v>
      </c>
      <c r="D37" s="69">
        <f>'Input Data'!D27</f>
        <v>8.7499999999999994E-2</v>
      </c>
    </row>
  </sheetData>
  <conditionalFormatting sqref="C29:G29">
    <cfRule type="cellIs" dxfId="25" priority="7" operator="lessThan">
      <formula>$D$3</formula>
    </cfRule>
    <cfRule type="cellIs" dxfId="24" priority="8" operator="greaterThan">
      <formula>$D$3</formula>
    </cfRule>
  </conditionalFormatting>
  <pageMargins left="0.7" right="0.7" top="0.75" bottom="0.75" header="0.3" footer="0.3"/>
  <ignoredErrors>
    <ignoredError sqref="C9:G9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1" operator="lessThan" id="{D1B933BD-E0E3-4756-AA34-52A3EED67F08}">
            <xm:f>'Input Data'!$B$27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2" operator="greaterThan" id="{3AB5B539-6DBC-4A05-865D-7B7B2A93C17A}">
            <xm:f>'Input Data'!$B$27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C30:G30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5C8D-1596-4032-AAB1-2BE7E2372F9A}">
  <sheetPr>
    <tabColor theme="9"/>
  </sheetPr>
  <dimension ref="C2:D26"/>
  <sheetViews>
    <sheetView workbookViewId="0">
      <selection activeCell="G48" sqref="G48"/>
    </sheetView>
  </sheetViews>
  <sheetFormatPr defaultRowHeight="15" x14ac:dyDescent="0.25"/>
  <cols>
    <col min="3" max="3" width="46" bestFit="1" customWidth="1"/>
    <col min="4" max="4" width="20.7109375" bestFit="1" customWidth="1"/>
  </cols>
  <sheetData>
    <row r="2" spans="3:4" ht="18.75" x14ac:dyDescent="0.3">
      <c r="C2" s="17" t="s">
        <v>78</v>
      </c>
    </row>
    <row r="3" spans="3:4" x14ac:dyDescent="0.25">
      <c r="C3" t="s">
        <v>87</v>
      </c>
      <c r="D3" s="9">
        <f>'Input Data'!B17*(1-'Input Data'!C17)</f>
        <v>10080000</v>
      </c>
    </row>
    <row r="4" spans="3:4" x14ac:dyDescent="0.25">
      <c r="C4" t="s">
        <v>80</v>
      </c>
      <c r="D4" s="7">
        <f>'Debt calculations'!E3</f>
        <v>86978.555849390395</v>
      </c>
    </row>
    <row r="5" spans="3:4" x14ac:dyDescent="0.25">
      <c r="C5" t="s">
        <v>85</v>
      </c>
      <c r="D5" s="9">
        <f>D4*12</f>
        <v>1043742.6701926847</v>
      </c>
    </row>
    <row r="6" spans="3:4" x14ac:dyDescent="0.25">
      <c r="C6" t="s">
        <v>79</v>
      </c>
      <c r="D6" s="7">
        <f>'Debt calculations'!M10</f>
        <v>4387655.5279469965</v>
      </c>
    </row>
    <row r="10" spans="3:4" ht="15.75" x14ac:dyDescent="0.25">
      <c r="C10" s="14" t="s">
        <v>83</v>
      </c>
    </row>
    <row r="11" spans="3:4" x14ac:dyDescent="0.25">
      <c r="C11" t="s">
        <v>84</v>
      </c>
      <c r="D11" s="9">
        <f>'Property Pro Forma Financials'!C6</f>
        <v>1728000</v>
      </c>
    </row>
    <row r="12" spans="3:4" x14ac:dyDescent="0.25">
      <c r="C12" t="s">
        <v>86</v>
      </c>
      <c r="D12" s="9">
        <f>'Property Pro Forma Financials'!C25</f>
        <v>989443.2</v>
      </c>
    </row>
    <row r="21" spans="3:4" x14ac:dyDescent="0.25">
      <c r="C21" t="s">
        <v>91</v>
      </c>
      <c r="D21" s="20">
        <f>SUM('Debt calculations'!G3:G14)*(1-'Input Data'!K12)+SUM('Debt calculations'!H3:H14)</f>
        <v>865148.59206199413</v>
      </c>
    </row>
    <row r="23" spans="3:4" x14ac:dyDescent="0.25">
      <c r="C23" t="s">
        <v>82</v>
      </c>
      <c r="D23" s="9">
        <f>'Input Data'!C27*'Input Data'!B17</f>
        <v>10920000</v>
      </c>
    </row>
    <row r="24" spans="3:4" x14ac:dyDescent="0.25">
      <c r="C24" t="s">
        <v>33</v>
      </c>
      <c r="D24" s="25">
        <f>D12/D21</f>
        <v>1.1436685085989242</v>
      </c>
    </row>
    <row r="25" spans="3:4" x14ac:dyDescent="0.25">
      <c r="C25" t="s">
        <v>34</v>
      </c>
      <c r="D25" s="25">
        <f>D3/'Input Data'!J3</f>
        <v>0.6</v>
      </c>
    </row>
    <row r="26" spans="3:4" x14ac:dyDescent="0.25">
      <c r="C26" t="s">
        <v>35</v>
      </c>
      <c r="D26" s="8">
        <f>D12/D3</f>
        <v>9.8159047619047618E-2</v>
      </c>
    </row>
  </sheetData>
  <conditionalFormatting sqref="D23">
    <cfRule type="cellIs" dxfId="21" priority="7" operator="lessThan">
      <formula>$D$3</formula>
    </cfRule>
    <cfRule type="cellIs" dxfId="20" priority="8" operator="greaterThan">
      <formula>$D$3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" operator="lessThan" id="{7A678CBC-E456-460D-9797-D122DA22ACED}">
            <xm:f>'Input Data'!$B$27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4" operator="greaterThan" id="{035CF8FC-71D1-4893-828D-DE60CA214A42}">
            <xm:f>'Input Data'!$B$27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D24</xm:sqref>
        </x14:conditionalFormatting>
        <x14:conditionalFormatting xmlns:xm="http://schemas.microsoft.com/office/excel/2006/main">
          <x14:cfRule type="cellIs" priority="15" operator="lessThan" id="{79DEDD14-2A60-40F4-A86B-20B64241D118}">
            <xm:f>'Input Data'!$C$27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greaterThan" id="{BBA2AB04-CCCF-43A1-BC48-163DDF61F064}">
            <xm:f>'Input Data'!$C$27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cellIs" priority="17" operator="lessThan" id="{863C72BF-2B2B-47A7-B50D-B5E37C24B48E}">
            <xm:f>'Input Data'!$D$27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8" operator="greaterThan" id="{ED57365E-E881-4852-9E40-D00E3F82B1FA}">
            <xm:f>'Input Data'!$D$27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59CA-6A17-42B2-A185-31C50B579034}">
  <sheetPr>
    <tabColor rgb="FFFF0000"/>
  </sheetPr>
  <dimension ref="A1:AG68"/>
  <sheetViews>
    <sheetView showGridLines="0" zoomScaleNormal="100" workbookViewId="0">
      <selection activeCell="Q23" sqref="Q23"/>
    </sheetView>
  </sheetViews>
  <sheetFormatPr defaultColWidth="9.28515625" defaultRowHeight="15" x14ac:dyDescent="0.25"/>
  <cols>
    <col min="1" max="1" width="41.5703125" bestFit="1" customWidth="1"/>
    <col min="2" max="2" width="28.7109375" bestFit="1" customWidth="1"/>
    <col min="3" max="3" width="23.42578125" bestFit="1" customWidth="1"/>
    <col min="4" max="4" width="20.5703125" bestFit="1" customWidth="1"/>
    <col min="5" max="5" width="19.42578125" bestFit="1" customWidth="1"/>
    <col min="6" max="6" width="18.7109375" customWidth="1"/>
    <col min="7" max="7" width="18.28515625" customWidth="1"/>
    <col min="8" max="8" width="18.42578125" bestFit="1" customWidth="1"/>
    <col min="9" max="9" width="16.85546875" bestFit="1" customWidth="1"/>
    <col min="10" max="10" width="11.7109375" customWidth="1"/>
    <col min="11" max="11" width="8.42578125" bestFit="1" customWidth="1"/>
    <col min="13" max="13" width="34.5703125" customWidth="1"/>
    <col min="14" max="14" width="20" bestFit="1" customWidth="1"/>
    <col min="15" max="15" width="9.5703125" customWidth="1"/>
    <col min="17" max="17" width="39.7109375" bestFit="1" customWidth="1"/>
    <col min="18" max="18" width="15.7109375" bestFit="1" customWidth="1"/>
    <col min="19" max="19" width="2.42578125" hidden="1" customWidth="1"/>
    <col min="20" max="20" width="0.85546875" hidden="1" customWidth="1"/>
    <col min="21" max="21" width="39.7109375" bestFit="1" customWidth="1"/>
    <col min="22" max="22" width="13.85546875" bestFit="1" customWidth="1"/>
  </cols>
  <sheetData>
    <row r="1" spans="1:33" ht="36" x14ac:dyDescent="0.55000000000000004">
      <c r="A1" s="92" t="s">
        <v>102</v>
      </c>
      <c r="B1" s="83" t="s">
        <v>12</v>
      </c>
      <c r="C1" s="83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</row>
    <row r="2" spans="1:33" ht="15.75" x14ac:dyDescent="0.25">
      <c r="A2" s="77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11" t="s">
        <v>5</v>
      </c>
      <c r="H2" s="12"/>
      <c r="I2" s="3" t="s">
        <v>6</v>
      </c>
      <c r="J2" s="11" t="s">
        <v>92</v>
      </c>
      <c r="K2" s="12"/>
      <c r="L2" s="77"/>
      <c r="M2" s="36" t="s">
        <v>57</v>
      </c>
      <c r="N2" s="35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</row>
    <row r="3" spans="1:33" x14ac:dyDescent="0.25">
      <c r="A3" s="77"/>
      <c r="B3" s="4" t="str">
        <f>'Input Data'!B3</f>
        <v>Test Property 1</v>
      </c>
      <c r="C3" s="4" t="str">
        <f>'Input Data'!C3</f>
        <v>Garden Style Multifamily</v>
      </c>
      <c r="D3" s="4">
        <f>'Input Data'!D3</f>
        <v>96</v>
      </c>
      <c r="E3" s="4">
        <f>'Input Data'!E3</f>
        <v>1998</v>
      </c>
      <c r="F3" s="4">
        <f>'Input Data'!F3</f>
        <v>0.93</v>
      </c>
      <c r="G3" s="6" t="str">
        <f>'Input Data'!G3</f>
        <v>Secondary metro, growing pop</v>
      </c>
      <c r="H3" s="13"/>
      <c r="I3" s="6" t="str">
        <f>'Input Data'!I3</f>
        <v>900 Sq Ft</v>
      </c>
      <c r="J3" s="26">
        <f>'Input Data'!J3</f>
        <v>16800000</v>
      </c>
      <c r="K3" s="80"/>
      <c r="L3" s="77"/>
      <c r="M3" s="93" t="s">
        <v>75</v>
      </c>
      <c r="N3" s="94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</row>
    <row r="4" spans="1:33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65" t="s">
        <v>76</v>
      </c>
      <c r="N4" s="65">
        <f>'Input Data'!N4</f>
        <v>22</v>
      </c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</row>
    <row r="5" spans="1:33" x14ac:dyDescent="0.25">
      <c r="A5" s="77"/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65" t="s">
        <v>77</v>
      </c>
      <c r="N5" s="65">
        <f>'Input Data'!N5</f>
        <v>25</v>
      </c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</row>
    <row r="6" spans="1:33" ht="23.25" x14ac:dyDescent="0.35">
      <c r="A6" s="77"/>
      <c r="B6" s="84" t="s">
        <v>11</v>
      </c>
      <c r="C6" s="84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</row>
    <row r="7" spans="1:33" x14ac:dyDescent="0.25">
      <c r="A7" s="77"/>
      <c r="B7" s="11" t="s">
        <v>13</v>
      </c>
      <c r="C7" s="11" t="s">
        <v>14</v>
      </c>
      <c r="D7" s="3" t="s">
        <v>15</v>
      </c>
      <c r="E7" s="11" t="s">
        <v>17</v>
      </c>
      <c r="F7" s="78"/>
      <c r="G7" s="12"/>
      <c r="H7" s="12" t="s">
        <v>16</v>
      </c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</row>
    <row r="8" spans="1:33" x14ac:dyDescent="0.25">
      <c r="A8" s="77"/>
      <c r="B8" s="97">
        <f>'Input Data'!B8</f>
        <v>1425</v>
      </c>
      <c r="C8" s="97">
        <f>'Input Data'!C8</f>
        <v>1500</v>
      </c>
      <c r="D8" s="96">
        <f>'Input Data'!D8</f>
        <v>7.0000000000000007E-2</v>
      </c>
      <c r="E8" s="95">
        <f>'Input Data'!E8</f>
        <v>0.03</v>
      </c>
      <c r="F8" s="108"/>
      <c r="G8" s="109"/>
      <c r="H8" s="57">
        <f>'Input Data'!H8</f>
        <v>2.75E-2</v>
      </c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</row>
    <row r="9" spans="1:33" x14ac:dyDescent="0.25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</row>
    <row r="10" spans="1:33" ht="23.25" x14ac:dyDescent="0.35">
      <c r="A10" s="77"/>
      <c r="B10" s="84" t="s">
        <v>18</v>
      </c>
      <c r="C10" s="84"/>
      <c r="D10" s="77" t="s">
        <v>25</v>
      </c>
      <c r="E10" s="77"/>
      <c r="F10" s="77"/>
      <c r="G10" s="77"/>
      <c r="H10" s="77" t="s">
        <v>27</v>
      </c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</row>
    <row r="11" spans="1:33" x14ac:dyDescent="0.25">
      <c r="A11" s="77"/>
      <c r="B11" s="11" t="s">
        <v>19</v>
      </c>
      <c r="C11" s="3" t="s">
        <v>20</v>
      </c>
      <c r="D11" s="3" t="s">
        <v>21</v>
      </c>
      <c r="E11" s="3" t="s">
        <v>22</v>
      </c>
      <c r="F11" s="11" t="s">
        <v>26</v>
      </c>
      <c r="G11" s="12"/>
      <c r="H11" s="12" t="s">
        <v>23</v>
      </c>
      <c r="I11" s="11" t="s">
        <v>24</v>
      </c>
      <c r="J11" s="12"/>
      <c r="K11" s="3" t="s">
        <v>90</v>
      </c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</row>
    <row r="12" spans="1:33" x14ac:dyDescent="0.25">
      <c r="A12" s="77"/>
      <c r="B12" s="57">
        <f>'Input Data'!B12</f>
        <v>0.06</v>
      </c>
      <c r="C12" s="57">
        <f>'Input Data'!C12</f>
        <v>0.05</v>
      </c>
      <c r="D12" s="57">
        <f>'Input Data'!D12</f>
        <v>7.4999999999999997E-2</v>
      </c>
      <c r="E12" s="57">
        <f>'Input Data'!E12</f>
        <v>0.05</v>
      </c>
      <c r="F12" s="57">
        <f>'Input Data'!F12</f>
        <v>1.2500000000000001E-2</v>
      </c>
      <c r="G12" s="79"/>
      <c r="H12" s="27">
        <f>'Input Data'!H12</f>
        <v>425</v>
      </c>
      <c r="I12" s="26">
        <f>'Input Data'!I12</f>
        <v>300</v>
      </c>
      <c r="J12" s="27"/>
      <c r="K12" s="62">
        <f>'Input Data'!K12</f>
        <v>0.22</v>
      </c>
      <c r="L12" s="77"/>
      <c r="M12" s="110" t="s">
        <v>43</v>
      </c>
      <c r="N12" s="110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</row>
    <row r="13" spans="1:33" x14ac:dyDescent="0.25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111" t="s">
        <v>44</v>
      </c>
      <c r="N13" s="111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</row>
    <row r="14" spans="1:33" x14ac:dyDescent="0.25">
      <c r="A14" s="77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85"/>
      <c r="N14" s="85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</row>
    <row r="15" spans="1:33" ht="23.25" x14ac:dyDescent="0.35">
      <c r="A15" s="77"/>
      <c r="B15" s="84" t="s">
        <v>28</v>
      </c>
      <c r="C15" s="84"/>
      <c r="D15" s="77"/>
      <c r="E15" s="77"/>
      <c r="F15" s="77"/>
      <c r="G15" s="77"/>
      <c r="H15" s="77"/>
      <c r="I15" s="77"/>
      <c r="J15" s="77"/>
      <c r="K15" s="77"/>
      <c r="L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</row>
    <row r="16" spans="1:33" ht="17.25" customHeight="1" x14ac:dyDescent="0.3">
      <c r="A16" s="77"/>
      <c r="B16" s="53" t="s">
        <v>93</v>
      </c>
      <c r="C16" s="55" t="s">
        <v>88</v>
      </c>
      <c r="D16" s="77"/>
      <c r="E16" s="77"/>
      <c r="F16" s="77"/>
      <c r="G16" s="77"/>
      <c r="H16" s="77"/>
      <c r="I16" s="77"/>
      <c r="J16" s="77"/>
      <c r="K16" s="77"/>
      <c r="L16" s="77"/>
      <c r="M16" s="81" t="s">
        <v>89</v>
      </c>
      <c r="N16" s="82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</row>
    <row r="17" spans="1:33" ht="17.25" customHeight="1" x14ac:dyDescent="0.25">
      <c r="A17" s="77"/>
      <c r="B17" s="26">
        <f>'Input Data'!B17</f>
        <v>16800000</v>
      </c>
      <c r="C17" s="76">
        <f>'Input Data'!C17</f>
        <v>0.4</v>
      </c>
      <c r="D17" s="77"/>
      <c r="E17" s="77"/>
      <c r="F17" s="77"/>
      <c r="G17" s="77"/>
      <c r="H17" s="77"/>
      <c r="I17" s="77"/>
      <c r="J17" s="77"/>
      <c r="K17" s="77"/>
      <c r="L17" s="77"/>
      <c r="M17" s="45" t="s">
        <v>45</v>
      </c>
      <c r="N17" s="46" t="s">
        <v>46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</row>
    <row r="18" spans="1:33" ht="21.75" customHeight="1" x14ac:dyDescent="0.2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47">
        <v>7</v>
      </c>
      <c r="N18" s="48">
        <v>0.04</v>
      </c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</row>
    <row r="19" spans="1:33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49">
        <v>12</v>
      </c>
      <c r="N19" s="50">
        <v>6.0999999999999999E-2</v>
      </c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</row>
    <row r="20" spans="1:33" x14ac:dyDescent="0.25">
      <c r="A20" s="77"/>
      <c r="B20" s="77" t="s">
        <v>103</v>
      </c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49">
        <v>30</v>
      </c>
      <c r="N20" s="50">
        <v>0.05</v>
      </c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</row>
    <row r="21" spans="1:33" ht="15.75" x14ac:dyDescent="0.25">
      <c r="A21" s="77"/>
      <c r="B21" s="86" t="s">
        <v>29</v>
      </c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49">
        <v>100</v>
      </c>
      <c r="N21" s="50">
        <v>6.5000000000000002E-2</v>
      </c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</row>
    <row r="22" spans="1:33" x14ac:dyDescent="0.25">
      <c r="A22" s="77"/>
      <c r="B22" s="53" t="s">
        <v>50</v>
      </c>
      <c r="C22" s="54" t="s">
        <v>42</v>
      </c>
      <c r="D22" s="54" t="s">
        <v>40</v>
      </c>
      <c r="E22" s="55" t="s">
        <v>49</v>
      </c>
      <c r="F22" s="77"/>
      <c r="G22" s="77"/>
      <c r="H22" s="77"/>
      <c r="I22" s="77"/>
      <c r="J22" s="77"/>
      <c r="K22" s="77"/>
      <c r="L22" s="77"/>
      <c r="M22" s="49"/>
      <c r="N22" s="50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</row>
    <row r="23" spans="1:33" x14ac:dyDescent="0.25">
      <c r="A23" s="77"/>
      <c r="B23" s="71">
        <v>10</v>
      </c>
      <c r="C23" s="70" t="s">
        <v>95</v>
      </c>
      <c r="D23" s="72">
        <v>6.3500000000000001E-2</v>
      </c>
      <c r="E23" s="73">
        <v>15</v>
      </c>
      <c r="F23" s="77"/>
      <c r="G23" s="77"/>
      <c r="H23" s="77"/>
      <c r="I23" s="77"/>
      <c r="J23" s="77"/>
      <c r="K23" s="77"/>
      <c r="L23" s="77"/>
      <c r="M23" s="49"/>
      <c r="N23" s="50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</row>
    <row r="24" spans="1:33" x14ac:dyDescent="0.25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49"/>
      <c r="N24" s="50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</row>
    <row r="25" spans="1:33" x14ac:dyDescent="0.25">
      <c r="A25" s="77"/>
      <c r="B25" s="87" t="s">
        <v>81</v>
      </c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49"/>
      <c r="N25" s="50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</row>
    <row r="26" spans="1:33" x14ac:dyDescent="0.25">
      <c r="A26" s="77"/>
      <c r="B26" s="53" t="s">
        <v>30</v>
      </c>
      <c r="C26" s="54" t="s">
        <v>31</v>
      </c>
      <c r="D26" s="55" t="s">
        <v>32</v>
      </c>
      <c r="E26" s="77"/>
      <c r="F26" s="77"/>
      <c r="G26" s="77"/>
      <c r="H26" s="77"/>
      <c r="I26" s="77"/>
      <c r="J26" s="77"/>
      <c r="K26" s="77"/>
      <c r="L26" s="77"/>
      <c r="M26" s="49"/>
      <c r="N26" s="50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</row>
    <row r="27" spans="1:33" x14ac:dyDescent="0.25">
      <c r="A27" s="77"/>
      <c r="B27" s="74">
        <v>1.25</v>
      </c>
      <c r="C27" s="75">
        <v>0.65</v>
      </c>
      <c r="D27" s="69">
        <v>8.7499999999999994E-2</v>
      </c>
      <c r="E27" s="77"/>
      <c r="F27" s="90"/>
      <c r="G27" s="90"/>
      <c r="H27" s="77"/>
      <c r="I27" s="77"/>
      <c r="J27" s="77"/>
      <c r="K27" s="77"/>
      <c r="L27" s="77"/>
      <c r="M27" s="49"/>
      <c r="N27" s="50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</row>
    <row r="28" spans="1:33" x14ac:dyDescent="0.25">
      <c r="A28" s="77"/>
      <c r="B28" s="77"/>
      <c r="C28" s="77"/>
      <c r="D28" s="77"/>
      <c r="E28" s="77"/>
      <c r="F28" s="91"/>
      <c r="G28" s="91"/>
      <c r="H28" s="77"/>
      <c r="I28" s="77"/>
      <c r="J28" s="77"/>
      <c r="K28" s="77"/>
      <c r="L28" s="77"/>
      <c r="M28" s="49"/>
      <c r="N28" s="50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</row>
    <row r="29" spans="1:33" x14ac:dyDescent="0.25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49"/>
      <c r="N29" s="50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</row>
    <row r="30" spans="1:33" x14ac:dyDescent="0.25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51"/>
      <c r="N30" s="52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</row>
    <row r="31" spans="1:33" x14ac:dyDescent="0.25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</row>
    <row r="32" spans="1:33" x14ac:dyDescent="0.25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</row>
    <row r="33" spans="1:33" x14ac:dyDescent="0.25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</row>
    <row r="34" spans="1:33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</row>
    <row r="35" spans="1:33" x14ac:dyDescent="0.2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</row>
    <row r="36" spans="1:33" x14ac:dyDescent="0.25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</row>
    <row r="37" spans="1:33" x14ac:dyDescent="0.2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</row>
    <row r="38" spans="1:33" x14ac:dyDescent="0.2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</row>
    <row r="39" spans="1:33" x14ac:dyDescent="0.2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</row>
    <row r="40" spans="1:33" x14ac:dyDescent="0.25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</row>
    <row r="41" spans="1:33" x14ac:dyDescent="0.25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</row>
    <row r="42" spans="1:33" x14ac:dyDescent="0.25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</row>
    <row r="43" spans="1:33" x14ac:dyDescent="0.25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</row>
    <row r="44" spans="1:33" x14ac:dyDescent="0.25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</row>
    <row r="45" spans="1:33" x14ac:dyDescent="0.25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</row>
    <row r="46" spans="1:33" x14ac:dyDescent="0.25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</row>
    <row r="47" spans="1:33" x14ac:dyDescent="0.25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</row>
    <row r="48" spans="1:33" x14ac:dyDescent="0.25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</row>
    <row r="49" spans="1:33" x14ac:dyDescent="0.2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</row>
    <row r="50" spans="1:33" x14ac:dyDescent="0.2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</row>
    <row r="51" spans="1:33" x14ac:dyDescent="0.2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</row>
    <row r="52" spans="1:33" x14ac:dyDescent="0.25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</row>
    <row r="53" spans="1:33" x14ac:dyDescent="0.25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</row>
    <row r="54" spans="1:33" x14ac:dyDescent="0.25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</row>
    <row r="55" spans="1:33" x14ac:dyDescent="0.2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</row>
    <row r="56" spans="1:33" x14ac:dyDescent="0.25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</row>
    <row r="57" spans="1:33" x14ac:dyDescent="0.25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</row>
    <row r="58" spans="1:33" x14ac:dyDescent="0.25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</row>
    <row r="59" spans="1:33" x14ac:dyDescent="0.25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</row>
    <row r="60" spans="1:33" x14ac:dyDescent="0.25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</row>
    <row r="61" spans="1:33" x14ac:dyDescent="0.25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</row>
    <row r="62" spans="1:33" x14ac:dyDescent="0.25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</row>
    <row r="63" spans="1:33" x14ac:dyDescent="0.25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</row>
    <row r="64" spans="1:33" x14ac:dyDescent="0.2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</row>
    <row r="65" spans="1:33" x14ac:dyDescent="0.2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</row>
    <row r="66" spans="1:33" x14ac:dyDescent="0.25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</row>
    <row r="67" spans="1:33" x14ac:dyDescent="0.25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</row>
    <row r="68" spans="1:33" x14ac:dyDescent="0.25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</row>
  </sheetData>
  <mergeCells count="2">
    <mergeCell ref="M12:N12"/>
    <mergeCell ref="M13:N13"/>
  </mergeCells>
  <conditionalFormatting sqref="M15:N15">
    <cfRule type="expression" dxfId="13" priority="1">
      <formula>$C$23="FRM"</formula>
    </cfRule>
    <cfRule type="expression" dxfId="12" priority="2">
      <formula>$C$23="ARM"</formula>
    </cfRule>
  </conditionalFormatting>
  <dataValidations count="3">
    <dataValidation type="list" allowBlank="1" showInputMessage="1" showErrorMessage="1" sqref="C23" xr:uid="{4D8E9D8E-4453-4A12-A65E-A22C53890408}">
      <formula1>"FRM,ARM"</formula1>
    </dataValidation>
    <dataValidation type="list" allowBlank="1" showInputMessage="1" showErrorMessage="1" sqref="E23" xr:uid="{7B3A6F03-5325-4E8B-B696-96A6B3E11AB7}">
      <formula1>"10, 15, 30,=$V$4"</formula1>
    </dataValidation>
    <dataValidation type="list" allowBlank="1" showInputMessage="1" showErrorMessage="1" sqref="B23" xr:uid="{3E9B64AE-C936-4A20-BCA1-1C1B05E00412}">
      <formula1>"10, 15 , 30,$V$3"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4122-E61D-4237-91A1-3BDC7D7E2821}">
  <sheetPr>
    <tabColor rgb="FFFF0000"/>
  </sheetPr>
  <dimension ref="A1:M362"/>
  <sheetViews>
    <sheetView topLeftCell="B1" workbookViewId="0">
      <selection activeCell="J37" sqref="J17:J37"/>
    </sheetView>
  </sheetViews>
  <sheetFormatPr defaultRowHeight="15" x14ac:dyDescent="0.25"/>
  <cols>
    <col min="1" max="1" width="21.85546875" style="77" hidden="1" customWidth="1"/>
    <col min="2" max="2" width="12" style="77" bestFit="1" customWidth="1"/>
    <col min="3" max="3" width="7.28515625" style="77" customWidth="1"/>
    <col min="4" max="4" width="17.5703125" style="88" bestFit="1" customWidth="1"/>
    <col min="5" max="5" width="15.85546875" style="88" customWidth="1"/>
    <col min="6" max="6" width="26.28515625" style="88" bestFit="1" customWidth="1"/>
    <col min="7" max="7" width="15.42578125" style="88" bestFit="1" customWidth="1"/>
    <col min="8" max="8" width="29.7109375" style="88" customWidth="1"/>
    <col min="9" max="9" width="29.7109375" style="88" bestFit="1" customWidth="1"/>
    <col min="10" max="10" width="70.5703125" style="77" bestFit="1" customWidth="1"/>
    <col min="11" max="11" width="9.140625" style="77"/>
    <col min="12" max="12" width="21.7109375" style="77" bestFit="1" customWidth="1"/>
    <col min="13" max="13" width="16" style="77" bestFit="1" customWidth="1"/>
    <col min="14" max="16384" width="9.140625" style="77"/>
  </cols>
  <sheetData>
    <row r="1" spans="1:13" ht="36" x14ac:dyDescent="0.55000000000000004">
      <c r="B1" s="92" t="s">
        <v>101</v>
      </c>
    </row>
    <row r="2" spans="1:13" x14ac:dyDescent="0.25">
      <c r="A2" s="77" t="s">
        <v>47</v>
      </c>
      <c r="B2" s="98" t="s">
        <v>48</v>
      </c>
      <c r="C2" s="98" t="s">
        <v>36</v>
      </c>
      <c r="D2" s="99" t="s">
        <v>51</v>
      </c>
      <c r="E2" s="99" t="s">
        <v>37</v>
      </c>
      <c r="F2" s="99" t="s">
        <v>38</v>
      </c>
      <c r="G2" s="99" t="s">
        <v>39</v>
      </c>
      <c r="H2" s="99" t="s">
        <v>41</v>
      </c>
      <c r="I2" s="99" t="s">
        <v>52</v>
      </c>
      <c r="J2" s="98" t="s">
        <v>99</v>
      </c>
    </row>
    <row r="3" spans="1:13" x14ac:dyDescent="0.25">
      <c r="A3" s="77" t="b">
        <f>IF(('Stress Test Inputs'!$C$23)="FRM", FALSE, ISNUMBER(MATCH(C3,'Stress Test Inputs'!$M$18:$M$30,0)))</f>
        <v>0</v>
      </c>
      <c r="B3" s="100">
        <f>'Stress Test Inputs'!$D$23</f>
        <v>6.3500000000000001E-2</v>
      </c>
      <c r="C3" s="101">
        <v>1</v>
      </c>
      <c r="D3" s="102">
        <f>'Stress Test Inputs'!B17*(1-'Stress Test Inputs'!C17)</f>
        <v>10080000</v>
      </c>
      <c r="E3" s="99">
        <f>IF(OR(D3&lt;=0,C3&gt;'Stress Test Inputs'!$B$23*12),0,IF(AND(C3='Stress Test Inputs'!$B$23*12,'Stress Test Inputs'!$E$23&gt;'Stress Test Inputs'!$B$23),D3+D3*B3/12,IF('Stress Test Inputs'!$C$23="FRM",-PMT($B$3/12,'Stress Test Inputs'!$E$23*12,$D$3),IF($A3,-PMT(B3/12,('Stress Test Inputs'!$E$23*12)-C3+1,D3),-PMT(B3/12,'Stress Test Inputs'!E23*12,'Stress Test Debt Calc'!D3)))))</f>
        <v>86978.555849390395</v>
      </c>
      <c r="F3" s="99">
        <f>IF(D3-E3&lt;0,0,D3-E3)</f>
        <v>9993021.4441506099</v>
      </c>
      <c r="G3" s="99">
        <f>IF(C3&gt;'Stress Test Inputs'!$B$23*12,0,D3*B3/12)</f>
        <v>53340</v>
      </c>
      <c r="H3" s="99">
        <f t="shared" ref="H3:H66" si="0">MIN(E3-G3,D3)</f>
        <v>33638.555849390395</v>
      </c>
      <c r="I3" s="99">
        <f>IF(ROUND(D3-H3,2)=0,0,D3-H3)</f>
        <v>10046361.44415061</v>
      </c>
      <c r="J3" s="98"/>
    </row>
    <row r="4" spans="1:13" x14ac:dyDescent="0.25">
      <c r="A4" s="77" t="b">
        <f>IF(('Stress Test Inputs'!$C$23)="FRM", FALSE, ISNUMBER(MATCH(C4,'Stress Test Inputs'!$M$18:$M$30,0)))</f>
        <v>0</v>
      </c>
      <c r="B4" s="103">
        <f>IF($A4, _xlfn.XLOOKUP(C4,'Stress Test Inputs'!$M$17:$M$29,'Stress Test Inputs'!$N$17:$N$29),$B3)</f>
        <v>6.3500000000000001E-2</v>
      </c>
      <c r="C4" s="101">
        <f>C3+1</f>
        <v>2</v>
      </c>
      <c r="D4" s="99">
        <f>IF(I3&gt;0,I3-J3,0)</f>
        <v>10046361.44415061</v>
      </c>
      <c r="E4" s="99">
        <f>IF(OR(D4&lt;=0,C4&gt;'Stress Test Inputs'!$B$23*12),0,IF(AND(C4='Stress Test Inputs'!$B$23*12,'Stress Test Inputs'!$E$23&gt;'Stress Test Inputs'!$B$23),D4+D4*B4/12,IF('Stress Test Inputs'!$C$23="FRM",-PMT($B$3/12,'Stress Test Inputs'!$E$23*12,$D$3),IF($A4,-PMT(B4/12,('Stress Test Inputs'!$E$23*12)-C4+1,D4),E3))))</f>
        <v>86978.555849390395</v>
      </c>
      <c r="F4" s="99">
        <f t="shared" ref="F4:F67" si="1">IF(D4-E4&lt;0,0,D4-E4)</f>
        <v>9959382.8883012198</v>
      </c>
      <c r="G4" s="99">
        <f>IF(C4&gt;'Stress Test Inputs'!$B$23*12,0,D4*B4/12)</f>
        <v>53161.995975296973</v>
      </c>
      <c r="H4" s="99">
        <f t="shared" si="0"/>
        <v>33816.559874093422</v>
      </c>
      <c r="I4" s="99">
        <f>IF(ROUND(D4-H4,2)=0,0,D4-H4)</f>
        <v>10012544.884276517</v>
      </c>
      <c r="J4" s="98"/>
    </row>
    <row r="5" spans="1:13" x14ac:dyDescent="0.25">
      <c r="A5" s="77" t="b">
        <f>IF(('Stress Test Inputs'!$C$23)="FRM", FALSE, ISNUMBER(MATCH(C5,'Stress Test Inputs'!$M$18:$M$30,0)))</f>
        <v>0</v>
      </c>
      <c r="B5" s="103">
        <f>IF($A5, _xlfn.XLOOKUP(C5,'Stress Test Inputs'!$M$17:$M$29,'Stress Test Inputs'!$N$17:$N$29),$B4)</f>
        <v>6.3500000000000001E-2</v>
      </c>
      <c r="C5" s="101">
        <f t="shared" ref="C5:C68" si="2">C4+1</f>
        <v>3</v>
      </c>
      <c r="D5" s="99">
        <f>IF(I4&gt;0,I4-J4,0)</f>
        <v>10012544.884276517</v>
      </c>
      <c r="E5" s="99">
        <f>IF(OR(D5&lt;=0,C5&gt;'Stress Test Inputs'!$B$23*12),0,IF(AND(C5='Stress Test Inputs'!$B$23*12,'Stress Test Inputs'!$E$23&gt;'Stress Test Inputs'!$B$23),D5+D5*B5/12,IF('Stress Test Inputs'!$C$23="FRM",-PMT($B$3/12,'Stress Test Inputs'!$E$23*12,$D$3),IF($A5,-PMT(B5/12,('Stress Test Inputs'!$E$23*12)-C5+1,D5),E4))))</f>
        <v>86978.555849390395</v>
      </c>
      <c r="F5" s="99">
        <f t="shared" si="1"/>
        <v>9925566.3284271266</v>
      </c>
      <c r="G5" s="99">
        <f>IF(C5&gt;'Stress Test Inputs'!$B$23*12,0,D5*B5/12)</f>
        <v>52983.050012629908</v>
      </c>
      <c r="H5" s="99">
        <f t="shared" si="0"/>
        <v>33995.505836760487</v>
      </c>
      <c r="I5" s="99">
        <f t="shared" ref="I5:I68" si="3">IF(ROUND(D5-H5,2)=0,0,D5-H5)</f>
        <v>9978549.3784397561</v>
      </c>
      <c r="J5" s="98"/>
    </row>
    <row r="6" spans="1:13" x14ac:dyDescent="0.25">
      <c r="A6" s="77" t="b">
        <f>IF(('Stress Test Inputs'!$C$23)="FRM", FALSE, ISNUMBER(MATCH(C6,'Stress Test Inputs'!$M$18:$M$30,0)))</f>
        <v>0</v>
      </c>
      <c r="B6" s="103">
        <f>IF($A6, _xlfn.XLOOKUP(C6,'Stress Test Inputs'!$M$17:$M$29,'Stress Test Inputs'!$N$17:$N$29),$B5)</f>
        <v>6.3500000000000001E-2</v>
      </c>
      <c r="C6" s="101">
        <f t="shared" si="2"/>
        <v>4</v>
      </c>
      <c r="D6" s="99">
        <f>IF(I5&gt;0,I5-J5,0)</f>
        <v>9978549.3784397561</v>
      </c>
      <c r="E6" s="99">
        <f>IF(OR(D6&lt;=0,C6&gt;'Stress Test Inputs'!$B$23*12),0,IF(AND(C6='Stress Test Inputs'!$B$23*12,'Stress Test Inputs'!$E$23&gt;'Stress Test Inputs'!$B$23),D6+D6*B6/12,IF('Stress Test Inputs'!$C$23="FRM",-PMT($B$3/12,'Stress Test Inputs'!$E$23*12,$D$3),IF($A6,-PMT(B6/12,('Stress Test Inputs'!$E$23*12)-C6+1,D6),E5))))</f>
        <v>86978.555849390395</v>
      </c>
      <c r="F6" s="99">
        <f t="shared" si="1"/>
        <v>9891570.822590366</v>
      </c>
      <c r="G6" s="99">
        <f>IF(C6&gt;'Stress Test Inputs'!$B$23*12,0,D6*B6/12)</f>
        <v>52803.157127577048</v>
      </c>
      <c r="H6" s="99">
        <f t="shared" si="0"/>
        <v>34175.398721813348</v>
      </c>
      <c r="I6" s="99">
        <f t="shared" si="3"/>
        <v>9944373.979717942</v>
      </c>
      <c r="J6" s="98"/>
    </row>
    <row r="7" spans="1:13" x14ac:dyDescent="0.25">
      <c r="A7" s="77" t="b">
        <f>IF(('Stress Test Inputs'!$C$23)="FRM", FALSE, ISNUMBER(MATCH(C7,'Stress Test Inputs'!$M$18:$M$30,0)))</f>
        <v>0</v>
      </c>
      <c r="B7" s="103">
        <f>IF($A7, _xlfn.XLOOKUP(C7,'Stress Test Inputs'!$M$17:$M$29,'Stress Test Inputs'!$N$17:$N$29),$B6)</f>
        <v>6.3500000000000001E-2</v>
      </c>
      <c r="C7" s="101">
        <f>C6+1</f>
        <v>5</v>
      </c>
      <c r="D7" s="99">
        <f t="shared" ref="D7:D70" si="4">IF(I6&gt;0,I6-J6,0)</f>
        <v>9944373.979717942</v>
      </c>
      <c r="E7" s="99">
        <f>IF(OR(D7&lt;=0,C7&gt;'Stress Test Inputs'!$B$23*12),0,IF(AND(C7='Stress Test Inputs'!$B$23*12,'Stress Test Inputs'!$E$23&gt;'Stress Test Inputs'!$B$23),D7+D7*B7/12,IF('Stress Test Inputs'!$C$23="FRM",-PMT($B$3/12,'Stress Test Inputs'!$E$23*12,$D$3),IF($A7,-PMT(B7/12,('Stress Test Inputs'!$E$23*12)-C7+1,D7),E6))))</f>
        <v>86978.555849390395</v>
      </c>
      <c r="F7" s="99">
        <f t="shared" si="1"/>
        <v>9857395.4238685519</v>
      </c>
      <c r="G7" s="99">
        <f>IF(C7&gt;'Stress Test Inputs'!$B$23*12,0,D7*B7/12)</f>
        <v>52622.312309340778</v>
      </c>
      <c r="H7" s="99">
        <f t="shared" si="0"/>
        <v>34356.243540049618</v>
      </c>
      <c r="I7" s="99">
        <f t="shared" si="3"/>
        <v>9910017.7361778915</v>
      </c>
      <c r="J7" s="98"/>
    </row>
    <row r="8" spans="1:13" x14ac:dyDescent="0.25">
      <c r="A8" s="77" t="b">
        <f>IF(('Stress Test Inputs'!$C$23)="FRM", FALSE, ISNUMBER(MATCH(C8,'Stress Test Inputs'!$M$18:$M$30,0)))</f>
        <v>0</v>
      </c>
      <c r="B8" s="103">
        <f>IF($A8, _xlfn.XLOOKUP(C8,'Stress Test Inputs'!$M$17:$M$29,'Stress Test Inputs'!$N$17:$N$29),$B7)</f>
        <v>6.3500000000000001E-2</v>
      </c>
      <c r="C8" s="101">
        <f t="shared" si="2"/>
        <v>6</v>
      </c>
      <c r="D8" s="99">
        <f t="shared" si="4"/>
        <v>9910017.7361778915</v>
      </c>
      <c r="E8" s="99">
        <f>IF(OR(D8&lt;=0,C8&gt;'Stress Test Inputs'!$B$23*12),0,IF(AND(C8='Stress Test Inputs'!$B$23*12,'Stress Test Inputs'!$E$23&gt;'Stress Test Inputs'!$B$23),D8+D8*B8/12,IF('Stress Test Inputs'!$C$23="FRM",-PMT($B$3/12,'Stress Test Inputs'!$E$23*12,$D$3),IF($A8,-PMT(B8/12,('Stress Test Inputs'!$E$23*12)-C8+1,D8),E7))))</f>
        <v>86978.555849390395</v>
      </c>
      <c r="F8" s="99">
        <f t="shared" si="1"/>
        <v>9823039.1803285014</v>
      </c>
      <c r="G8" s="99">
        <f>IF(C8&gt;'Stress Test Inputs'!$B$23*12,0,D8*B8/12)</f>
        <v>52440.510520608012</v>
      </c>
      <c r="H8" s="99">
        <f t="shared" si="0"/>
        <v>34538.045328782384</v>
      </c>
      <c r="I8" s="99">
        <f t="shared" si="3"/>
        <v>9875479.6908491086</v>
      </c>
      <c r="J8" s="98"/>
      <c r="M8" s="89"/>
    </row>
    <row r="9" spans="1:13" x14ac:dyDescent="0.25">
      <c r="A9" s="77" t="b">
        <f>IF(('Stress Test Inputs'!$C$23)="FRM", FALSE, ISNUMBER(MATCH(C9,'Stress Test Inputs'!$M$18:$M$30,0)))</f>
        <v>1</v>
      </c>
      <c r="B9" s="103">
        <f>IF($A9, _xlfn.XLOOKUP(C9,'Stress Test Inputs'!$M$17:$M$29,'Stress Test Inputs'!$N$17:$N$29),$B8)</f>
        <v>0.04</v>
      </c>
      <c r="C9" s="101">
        <f t="shared" si="2"/>
        <v>7</v>
      </c>
      <c r="D9" s="99">
        <f t="shared" si="4"/>
        <v>9875479.6908491086</v>
      </c>
      <c r="E9" s="99">
        <f>IF(OR(D9&lt;=0,C9&gt;'Stress Test Inputs'!$B$23*12),0,IF(AND(C9='Stress Test Inputs'!$B$23*12,'Stress Test Inputs'!$E$23&gt;'Stress Test Inputs'!$B$23),D9+D9*B9/12,IF('Stress Test Inputs'!$C$23="FRM",-PMT($B$3/12,'Stress Test Inputs'!$E$23*12,$D$3),IF($A9,-PMT(B9/12,('Stress Test Inputs'!$E$23*12)-C9+1,D9),E8))))</f>
        <v>74888.901326286214</v>
      </c>
      <c r="F9" s="99">
        <f t="shared" si="1"/>
        <v>9800590.7895228229</v>
      </c>
      <c r="G9" s="99">
        <f>IF(C9&gt;'Stress Test Inputs'!$B$23*12,0,D9*B9/12)</f>
        <v>32918.265636163698</v>
      </c>
      <c r="H9" s="99">
        <f t="shared" si="0"/>
        <v>41970.635690122515</v>
      </c>
      <c r="I9" s="99">
        <f t="shared" si="3"/>
        <v>9833509.0551589858</v>
      </c>
      <c r="J9" s="98"/>
      <c r="L9" s="104" t="s">
        <v>73</v>
      </c>
      <c r="M9" s="105">
        <f>12*'Stress Test Inputs'!B23</f>
        <v>120</v>
      </c>
    </row>
    <row r="10" spans="1:13" x14ac:dyDescent="0.25">
      <c r="A10" s="77" t="b">
        <f>IF(('Stress Test Inputs'!$C$23)="FRM", FALSE, ISNUMBER(MATCH(C10,'Stress Test Inputs'!$M$18:$M$30,0)))</f>
        <v>0</v>
      </c>
      <c r="B10" s="103">
        <f>IF($A10, _xlfn.XLOOKUP(C10,'Stress Test Inputs'!$M$17:$M$29,'Stress Test Inputs'!$N$17:$N$29),$B9)</f>
        <v>0.04</v>
      </c>
      <c r="C10" s="101">
        <f t="shared" si="2"/>
        <v>8</v>
      </c>
      <c r="D10" s="99">
        <f t="shared" si="4"/>
        <v>9833509.0551589858</v>
      </c>
      <c r="E10" s="99">
        <f>IF(OR(D10&lt;=0,C10&gt;'Stress Test Inputs'!$B$23*12),0,IF(AND(C10='Stress Test Inputs'!$B$23*12,'Stress Test Inputs'!$E$23&gt;'Stress Test Inputs'!$B$23),D10+D10*B10/12,IF('Stress Test Inputs'!$C$23="FRM",-PMT($B$3/12,'Stress Test Inputs'!$E$23*12,$D$3),IF($A10,-PMT(B10/12,('Stress Test Inputs'!$E$23*12)-C10+1,D10),E9))))</f>
        <v>74888.901326286214</v>
      </c>
      <c r="F10" s="99">
        <f t="shared" si="1"/>
        <v>9758620.1538327001</v>
      </c>
      <c r="G10" s="99">
        <f>IF(C10&gt;'Stress Test Inputs'!$B$23*12,0,D10*B10/12)</f>
        <v>32778.363517196623</v>
      </c>
      <c r="H10" s="99">
        <f t="shared" si="0"/>
        <v>42110.53780908959</v>
      </c>
      <c r="I10" s="99">
        <f t="shared" si="3"/>
        <v>9791398.517349897</v>
      </c>
      <c r="J10" s="98"/>
      <c r="L10" s="106" t="s">
        <v>74</v>
      </c>
      <c r="M10" s="107">
        <f>IF('Stress Test Inputs'!$E$23&lt;='Stress Test Inputs'!$B$23,"No Balloon Payment",_xlfn.XLOOKUP(M9,C3:C362,E3:E362,"Value Not  Found"))</f>
        <v>4387655.5279469965</v>
      </c>
    </row>
    <row r="11" spans="1:13" x14ac:dyDescent="0.25">
      <c r="A11" s="77" t="b">
        <f>IF(('Stress Test Inputs'!$C$23)="FRM", FALSE, ISNUMBER(MATCH(C11,'Stress Test Inputs'!$M$18:$M$30,0)))</f>
        <v>0</v>
      </c>
      <c r="B11" s="103">
        <f>IF($A11, _xlfn.XLOOKUP(C11,'Stress Test Inputs'!$M$17:$M$29,'Stress Test Inputs'!$N$17:$N$29),$B10)</f>
        <v>0.04</v>
      </c>
      <c r="C11" s="101">
        <f t="shared" si="2"/>
        <v>9</v>
      </c>
      <c r="D11" s="99">
        <f t="shared" si="4"/>
        <v>9791398.517349897</v>
      </c>
      <c r="E11" s="99">
        <f>IF(OR(D11&lt;=0,C11&gt;'Stress Test Inputs'!$B$23*12),0,IF(AND(C11='Stress Test Inputs'!$B$23*12,'Stress Test Inputs'!$E$23&gt;'Stress Test Inputs'!$B$23),D11+D11*B11/12,IF('Stress Test Inputs'!$C$23="FRM",-PMT($B$3/12,'Stress Test Inputs'!$E$23*12,$D$3),IF($A11,-PMT(B11/12,('Stress Test Inputs'!$E$23*12)-C11+1,D11),E10))))</f>
        <v>74888.901326286214</v>
      </c>
      <c r="F11" s="99">
        <f t="shared" si="1"/>
        <v>9716509.6160236113</v>
      </c>
      <c r="G11" s="99">
        <f>IF(C11&gt;'Stress Test Inputs'!$B$23*12,0,D11*B11/12)</f>
        <v>32637.995057832992</v>
      </c>
      <c r="H11" s="99">
        <f t="shared" si="0"/>
        <v>42250.906268453225</v>
      </c>
      <c r="I11" s="99">
        <f t="shared" si="3"/>
        <v>9749147.6110814437</v>
      </c>
      <c r="J11" s="98"/>
    </row>
    <row r="12" spans="1:13" x14ac:dyDescent="0.25">
      <c r="A12" s="77" t="b">
        <f>IF(('Stress Test Inputs'!$C$23)="FRM", FALSE, ISNUMBER(MATCH(C12,'Stress Test Inputs'!$M$18:$M$30,0)))</f>
        <v>0</v>
      </c>
      <c r="B12" s="103">
        <f>IF($A12, _xlfn.XLOOKUP(C12,'Stress Test Inputs'!$M$17:$M$29,'Stress Test Inputs'!$N$17:$N$29),$B11)</f>
        <v>0.04</v>
      </c>
      <c r="C12" s="101">
        <f t="shared" si="2"/>
        <v>10</v>
      </c>
      <c r="D12" s="99">
        <f t="shared" si="4"/>
        <v>9749147.6110814437</v>
      </c>
      <c r="E12" s="99">
        <f>IF(OR(D12&lt;=0,C12&gt;'Stress Test Inputs'!$B$23*12),0,IF(AND(C12='Stress Test Inputs'!$B$23*12,'Stress Test Inputs'!$E$23&gt;'Stress Test Inputs'!$B$23),D12+D12*B12/12,IF('Stress Test Inputs'!$C$23="FRM",-PMT($B$3/12,'Stress Test Inputs'!$E$23*12,$D$3),IF($A12,-PMT(B12/12,('Stress Test Inputs'!$E$23*12)-C12+1,D12),E11))))</f>
        <v>74888.901326286214</v>
      </c>
      <c r="F12" s="99">
        <f t="shared" si="1"/>
        <v>9674258.7097551581</v>
      </c>
      <c r="G12" s="99">
        <f>IF(C12&gt;'Stress Test Inputs'!$B$23*12,0,D12*B12/12)</f>
        <v>32497.158703604815</v>
      </c>
      <c r="H12" s="99">
        <f t="shared" si="0"/>
        <v>42391.742622681399</v>
      </c>
      <c r="I12" s="99">
        <f t="shared" si="3"/>
        <v>9706755.8684587628</v>
      </c>
      <c r="J12" s="98"/>
    </row>
    <row r="13" spans="1:13" x14ac:dyDescent="0.25">
      <c r="A13" s="77" t="b">
        <f>IF(('Stress Test Inputs'!$C$23)="FRM", FALSE, ISNUMBER(MATCH(C13,'Stress Test Inputs'!$M$18:$M$30,0)))</f>
        <v>0</v>
      </c>
      <c r="B13" s="103">
        <f>IF($A13, _xlfn.XLOOKUP(C13,'Stress Test Inputs'!$M$17:$M$29,'Stress Test Inputs'!$N$17:$N$29),$B12)</f>
        <v>0.04</v>
      </c>
      <c r="C13" s="101">
        <f t="shared" si="2"/>
        <v>11</v>
      </c>
      <c r="D13" s="99">
        <f t="shared" si="4"/>
        <v>9706755.8684587628</v>
      </c>
      <c r="E13" s="99">
        <f>IF(OR(D13&lt;=0,C13&gt;'Stress Test Inputs'!$B$23*12),0,IF(AND(C13='Stress Test Inputs'!$B$23*12,'Stress Test Inputs'!$E$23&gt;'Stress Test Inputs'!$B$23),D13+D13*B13/12,IF('Stress Test Inputs'!$C$23="FRM",-PMT($B$3/12,'Stress Test Inputs'!$E$23*12,$D$3),IF($A13,-PMT(B13/12,('Stress Test Inputs'!$E$23*12)-C13+1,D13),E12))))</f>
        <v>74888.901326286214</v>
      </c>
      <c r="F13" s="99">
        <f t="shared" si="1"/>
        <v>9631866.9671324771</v>
      </c>
      <c r="G13" s="99">
        <f>IF(C13&gt;'Stress Test Inputs'!$B$23*12,0,D13*B13/12)</f>
        <v>32355.852894862543</v>
      </c>
      <c r="H13" s="99">
        <f t="shared" si="0"/>
        <v>42533.048431423667</v>
      </c>
      <c r="I13" s="99">
        <f t="shared" si="3"/>
        <v>9664222.8200273383</v>
      </c>
      <c r="J13" s="98"/>
    </row>
    <row r="14" spans="1:13" x14ac:dyDescent="0.25">
      <c r="A14" s="77" t="b">
        <f>IF(('Stress Test Inputs'!$C$23)="FRM", FALSE, ISNUMBER(MATCH(C14,'Stress Test Inputs'!$M$18:$M$30,0)))</f>
        <v>1</v>
      </c>
      <c r="B14" s="103">
        <f>IF($A14, _xlfn.XLOOKUP(C14,'Stress Test Inputs'!$M$17:$M$29,'Stress Test Inputs'!$N$17:$N$29),$B13)</f>
        <v>6.0999999999999999E-2</v>
      </c>
      <c r="C14" s="101">
        <f t="shared" si="2"/>
        <v>12</v>
      </c>
      <c r="D14" s="99">
        <f t="shared" si="4"/>
        <v>9664222.8200273383</v>
      </c>
      <c r="E14" s="99">
        <f>IF(OR(D14&lt;=0,C14&gt;'Stress Test Inputs'!$B$23*12),0,IF(AND(C14='Stress Test Inputs'!$B$23*12,'Stress Test Inputs'!$E$23&gt;'Stress Test Inputs'!$B$23),D14+D14*B14/12,IF('Stress Test Inputs'!$C$23="FRM",-PMT($B$3/12,'Stress Test Inputs'!$E$23*12,$D$3),IF($A14,-PMT(B14/12,('Stress Test Inputs'!$E$23*12)-C14+1,D14),E13))))</f>
        <v>85359.078440742815</v>
      </c>
      <c r="F14" s="99">
        <f t="shared" si="1"/>
        <v>9578863.7415865958</v>
      </c>
      <c r="G14" s="99">
        <f>IF(C14&gt;'Stress Test Inputs'!$B$23*12,0,D14*B14/12)</f>
        <v>49126.466001805638</v>
      </c>
      <c r="H14" s="99">
        <f t="shared" si="0"/>
        <v>36232.612438937176</v>
      </c>
      <c r="I14" s="99">
        <f t="shared" si="3"/>
        <v>9627990.2075884007</v>
      </c>
      <c r="J14" s="98"/>
    </row>
    <row r="15" spans="1:13" x14ac:dyDescent="0.25">
      <c r="A15" s="77" t="b">
        <f>IF(('Stress Test Inputs'!$C$23)="FRM", FALSE, ISNUMBER(MATCH(C15,'Stress Test Inputs'!$M$18:$M$30,0)))</f>
        <v>0</v>
      </c>
      <c r="B15" s="103">
        <f>IF($A15, _xlfn.XLOOKUP(C15,'Stress Test Inputs'!$M$17:$M$29,'Stress Test Inputs'!$N$17:$N$29),$B14)</f>
        <v>6.0999999999999999E-2</v>
      </c>
      <c r="C15" s="101">
        <f t="shared" si="2"/>
        <v>13</v>
      </c>
      <c r="D15" s="99">
        <f t="shared" si="4"/>
        <v>9627990.2075884007</v>
      </c>
      <c r="E15" s="99">
        <f>IF(OR(D15&lt;=0,C15&gt;'Stress Test Inputs'!$B$23*12),0,IF(AND(C15='Stress Test Inputs'!$B$23*12,'Stress Test Inputs'!$E$23&gt;'Stress Test Inputs'!$B$23),D15+D15*B15/12,IF('Stress Test Inputs'!$C$23="FRM",-PMT($B$3/12,'Stress Test Inputs'!$E$23*12,$D$3),IF($A15,-PMT(B15/12,('Stress Test Inputs'!$E$23*12)-C15+1,D15),E14))))</f>
        <v>85359.078440742815</v>
      </c>
      <c r="F15" s="99">
        <f t="shared" si="1"/>
        <v>9542631.1291476581</v>
      </c>
      <c r="G15" s="99">
        <f>IF(C15&gt;'Stress Test Inputs'!$B$23*12,0,D15*B15/12)</f>
        <v>48942.28355524104</v>
      </c>
      <c r="H15" s="99">
        <f t="shared" si="0"/>
        <v>36416.794885501775</v>
      </c>
      <c r="I15" s="99">
        <f t="shared" si="3"/>
        <v>9591573.4127028994</v>
      </c>
      <c r="J15" s="98"/>
    </row>
    <row r="16" spans="1:13" x14ac:dyDescent="0.25">
      <c r="A16" s="77" t="b">
        <f>IF(('Stress Test Inputs'!$C$23)="FRM", FALSE, ISNUMBER(MATCH(C16,'Stress Test Inputs'!$M$18:$M$30,0)))</f>
        <v>0</v>
      </c>
      <c r="B16" s="103">
        <f>IF($A16, _xlfn.XLOOKUP(C16,'Stress Test Inputs'!$M$17:$M$29,'Stress Test Inputs'!$N$17:$N$29),$B15)</f>
        <v>6.0999999999999999E-2</v>
      </c>
      <c r="C16" s="101">
        <f t="shared" si="2"/>
        <v>14</v>
      </c>
      <c r="D16" s="99">
        <f t="shared" si="4"/>
        <v>9591573.4127028994</v>
      </c>
      <c r="E16" s="99">
        <f>IF(OR(D16&lt;=0,C16&gt;'Stress Test Inputs'!$B$23*12),0,IF(AND(C16='Stress Test Inputs'!$B$23*12,'Stress Test Inputs'!$E$23&gt;'Stress Test Inputs'!$B$23),D16+D16*B16/12,IF('Stress Test Inputs'!$C$23="FRM",-PMT($B$3/12,'Stress Test Inputs'!$E$23*12,$D$3),IF($A16,-PMT(B16/12,('Stress Test Inputs'!$E$23*12)-C16+1,D16),E15))))</f>
        <v>85359.078440742815</v>
      </c>
      <c r="F16" s="99">
        <f t="shared" si="1"/>
        <v>9506214.3342621569</v>
      </c>
      <c r="G16" s="99">
        <f>IF(C16&gt;'Stress Test Inputs'!$B$23*12,0,D16*B16/12)</f>
        <v>48757.16484790641</v>
      </c>
      <c r="H16" s="99">
        <f t="shared" si="0"/>
        <v>36601.913592836405</v>
      </c>
      <c r="I16" s="99">
        <f t="shared" si="3"/>
        <v>9554971.4991100635</v>
      </c>
      <c r="J16" s="98"/>
    </row>
    <row r="17" spans="1:10" x14ac:dyDescent="0.25">
      <c r="A17" s="77" t="b">
        <f>IF(('Stress Test Inputs'!$C$23)="FRM", FALSE, ISNUMBER(MATCH(C17,'Stress Test Inputs'!$M$18:$M$30,0)))</f>
        <v>0</v>
      </c>
      <c r="B17" s="103">
        <f>IF($A17, _xlfn.XLOOKUP(C17,'Stress Test Inputs'!$M$17:$M$29,'Stress Test Inputs'!$N$17:$N$29),$B16)</f>
        <v>6.0999999999999999E-2</v>
      </c>
      <c r="C17" s="101">
        <f t="shared" si="2"/>
        <v>15</v>
      </c>
      <c r="D17" s="99">
        <f t="shared" si="4"/>
        <v>9554971.4991100635</v>
      </c>
      <c r="E17" s="99">
        <f>IF(OR(D17&lt;=0,C17&gt;'Stress Test Inputs'!$B$23*12),0,IF(AND(C17='Stress Test Inputs'!$B$23*12,'Stress Test Inputs'!$E$23&gt;'Stress Test Inputs'!$B$23),D17+D17*B17/12,IF('Stress Test Inputs'!$C$23="FRM",-PMT($B$3/12,'Stress Test Inputs'!$E$23*12,$D$3),IF($A17,-PMT(B17/12,('Stress Test Inputs'!$E$23*12)-C17+1,D17),E16))))</f>
        <v>85359.078440742815</v>
      </c>
      <c r="F17" s="99">
        <f t="shared" si="1"/>
        <v>9469612.420669321</v>
      </c>
      <c r="G17" s="99">
        <f>IF(C17&gt;'Stress Test Inputs'!$B$23*12,0,D17*B17/12)</f>
        <v>48571.105120476153</v>
      </c>
      <c r="H17" s="99">
        <f t="shared" si="0"/>
        <v>36787.973320266661</v>
      </c>
      <c r="I17" s="99">
        <f t="shared" si="3"/>
        <v>9518183.5257897973</v>
      </c>
      <c r="J17" s="98"/>
    </row>
    <row r="18" spans="1:10" x14ac:dyDescent="0.25">
      <c r="A18" s="77" t="b">
        <f>IF(('Stress Test Inputs'!$C$23)="FRM", FALSE, ISNUMBER(MATCH(C18,'Stress Test Inputs'!$M$18:$M$30,0)))</f>
        <v>0</v>
      </c>
      <c r="B18" s="103">
        <f>IF($A18, _xlfn.XLOOKUP(C18,'Stress Test Inputs'!$M$17:$M$29,'Stress Test Inputs'!$N$17:$N$29),$B17)</f>
        <v>6.0999999999999999E-2</v>
      </c>
      <c r="C18" s="101">
        <f t="shared" si="2"/>
        <v>16</v>
      </c>
      <c r="D18" s="99">
        <f t="shared" si="4"/>
        <v>9518183.5257897973</v>
      </c>
      <c r="E18" s="99">
        <f>IF(OR(D18&lt;=0,C18&gt;'Stress Test Inputs'!$B$23*12),0,IF(AND(C18='Stress Test Inputs'!$B$23*12,'Stress Test Inputs'!$E$23&gt;'Stress Test Inputs'!$B$23),D18+D18*B18/12,IF('Stress Test Inputs'!$C$23="FRM",-PMT($B$3/12,'Stress Test Inputs'!$E$23*12,$D$3),IF($A18,-PMT(B18/12,('Stress Test Inputs'!$E$23*12)-C18+1,D18),E17))))</f>
        <v>85359.078440742815</v>
      </c>
      <c r="F18" s="99">
        <f t="shared" si="1"/>
        <v>9432824.4473490547</v>
      </c>
      <c r="G18" s="99">
        <f>IF(C18&gt;'Stress Test Inputs'!$B$23*12,0,D18*B18/12)</f>
        <v>48384.099589431462</v>
      </c>
      <c r="H18" s="99">
        <f t="shared" si="0"/>
        <v>36974.978851311353</v>
      </c>
      <c r="I18" s="99">
        <f t="shared" si="3"/>
        <v>9481208.5469384864</v>
      </c>
      <c r="J18" s="98"/>
    </row>
    <row r="19" spans="1:10" x14ac:dyDescent="0.25">
      <c r="A19" s="77" t="b">
        <f>IF(('Stress Test Inputs'!$C$23)="FRM", FALSE, ISNUMBER(MATCH(C19,'Stress Test Inputs'!$M$18:$M$30,0)))</f>
        <v>0</v>
      </c>
      <c r="B19" s="103">
        <f>IF($A19, _xlfn.XLOOKUP(C19,'Stress Test Inputs'!$M$17:$M$29,'Stress Test Inputs'!$N$17:$N$29),$B18)</f>
        <v>6.0999999999999999E-2</v>
      </c>
      <c r="C19" s="101">
        <f t="shared" si="2"/>
        <v>17</v>
      </c>
      <c r="D19" s="99">
        <f t="shared" si="4"/>
        <v>9481208.5469384864</v>
      </c>
      <c r="E19" s="99">
        <f>IF(OR(D19&lt;=0,C19&gt;'Stress Test Inputs'!$B$23*12),0,IF(AND(C19='Stress Test Inputs'!$B$23*12,'Stress Test Inputs'!$E$23&gt;'Stress Test Inputs'!$B$23),D19+D19*B19/12,IF('Stress Test Inputs'!$C$23="FRM",-PMT($B$3/12,'Stress Test Inputs'!$E$23*12,$D$3),IF($A19,-PMT(B19/12,('Stress Test Inputs'!$E$23*12)-C19+1,D19),E18))))</f>
        <v>85359.078440742815</v>
      </c>
      <c r="F19" s="99">
        <f t="shared" si="1"/>
        <v>9395849.4684977438</v>
      </c>
      <c r="G19" s="99">
        <f>IF(C19&gt;'Stress Test Inputs'!$B$23*12,0,D19*B19/12)</f>
        <v>48196.143446937298</v>
      </c>
      <c r="H19" s="99">
        <f t="shared" si="0"/>
        <v>37162.934993805517</v>
      </c>
      <c r="I19" s="99">
        <f t="shared" si="3"/>
        <v>9444045.611944681</v>
      </c>
      <c r="J19" s="98"/>
    </row>
    <row r="20" spans="1:10" x14ac:dyDescent="0.25">
      <c r="A20" s="77" t="b">
        <f>IF(('Stress Test Inputs'!$C$23)="FRM", FALSE, ISNUMBER(MATCH(C20,'Stress Test Inputs'!$M$18:$M$30,0)))</f>
        <v>0</v>
      </c>
      <c r="B20" s="103">
        <f>IF($A20, _xlfn.XLOOKUP(C20,'Stress Test Inputs'!$M$17:$M$29,'Stress Test Inputs'!$N$17:$N$29),$B19)</f>
        <v>6.0999999999999999E-2</v>
      </c>
      <c r="C20" s="101">
        <f t="shared" si="2"/>
        <v>18</v>
      </c>
      <c r="D20" s="99">
        <f t="shared" si="4"/>
        <v>9444045.611944681</v>
      </c>
      <c r="E20" s="99">
        <f>IF(OR(D20&lt;=0,C20&gt;'Stress Test Inputs'!$B$23*12),0,IF(AND(C20='Stress Test Inputs'!$B$23*12,'Stress Test Inputs'!$E$23&gt;'Stress Test Inputs'!$B$23),D20+D20*B20/12,IF('Stress Test Inputs'!$C$23="FRM",-PMT($B$3/12,'Stress Test Inputs'!$E$23*12,$D$3),IF($A20,-PMT(B20/12,('Stress Test Inputs'!$E$23*12)-C20+1,D20),E19))))</f>
        <v>85359.078440742815</v>
      </c>
      <c r="F20" s="99">
        <f t="shared" si="1"/>
        <v>9358686.5335039385</v>
      </c>
      <c r="G20" s="99">
        <f>IF(C20&gt;'Stress Test Inputs'!$B$23*12,0,D20*B20/12)</f>
        <v>48007.231860718799</v>
      </c>
      <c r="H20" s="99">
        <f t="shared" si="0"/>
        <v>37351.846580024016</v>
      </c>
      <c r="I20" s="99">
        <f t="shared" si="3"/>
        <v>9406693.7653646562</v>
      </c>
      <c r="J20" s="98"/>
    </row>
    <row r="21" spans="1:10" x14ac:dyDescent="0.25">
      <c r="A21" s="77" t="b">
        <f>IF(('Stress Test Inputs'!$C$23)="FRM", FALSE, ISNUMBER(MATCH(C21,'Stress Test Inputs'!$M$18:$M$30,0)))</f>
        <v>0</v>
      </c>
      <c r="B21" s="103">
        <f>IF($A21, _xlfn.XLOOKUP(C21,'Stress Test Inputs'!$M$17:$M$29,'Stress Test Inputs'!$N$17:$N$29),$B20)</f>
        <v>6.0999999999999999E-2</v>
      </c>
      <c r="C21" s="101">
        <f t="shared" si="2"/>
        <v>19</v>
      </c>
      <c r="D21" s="99">
        <f t="shared" si="4"/>
        <v>9406693.7653646562</v>
      </c>
      <c r="E21" s="99">
        <f>IF(OR(D21&lt;=0,C21&gt;'Stress Test Inputs'!$B$23*12),0,IF(AND(C21='Stress Test Inputs'!$B$23*12,'Stress Test Inputs'!$E$23&gt;'Stress Test Inputs'!$B$23),D21+D21*B21/12,IF('Stress Test Inputs'!$C$23="FRM",-PMT($B$3/12,'Stress Test Inputs'!$E$23*12,$D$3),IF($A21,-PMT(B21/12,('Stress Test Inputs'!$E$23*12)-C21+1,D21),E20))))</f>
        <v>85359.078440742815</v>
      </c>
      <c r="F21" s="99">
        <f t="shared" si="1"/>
        <v>9321334.6869239137</v>
      </c>
      <c r="G21" s="99">
        <f>IF(C21&gt;'Stress Test Inputs'!$B$23*12,0,D21*B21/12)</f>
        <v>47817.359973937004</v>
      </c>
      <c r="H21" s="99">
        <f t="shared" si="0"/>
        <v>37541.718466805811</v>
      </c>
      <c r="I21" s="99">
        <f t="shared" si="3"/>
        <v>9369152.0468978509</v>
      </c>
      <c r="J21" s="98"/>
    </row>
    <row r="22" spans="1:10" x14ac:dyDescent="0.25">
      <c r="A22" s="77" t="b">
        <f>IF(('Stress Test Inputs'!$C$23)="FRM", FALSE, ISNUMBER(MATCH(C22,'Stress Test Inputs'!$M$18:$M$30,0)))</f>
        <v>0</v>
      </c>
      <c r="B22" s="103">
        <f>IF($A22, _xlfn.XLOOKUP(C22,'Stress Test Inputs'!$M$17:$M$29,'Stress Test Inputs'!$N$17:$N$29),$B21)</f>
        <v>6.0999999999999999E-2</v>
      </c>
      <c r="C22" s="101">
        <f t="shared" si="2"/>
        <v>20</v>
      </c>
      <c r="D22" s="99">
        <f t="shared" si="4"/>
        <v>9369152.0468978509</v>
      </c>
      <c r="E22" s="99">
        <f>IF(OR(D22&lt;=0,C22&gt;'Stress Test Inputs'!$B$23*12),0,IF(AND(C22='Stress Test Inputs'!$B$23*12,'Stress Test Inputs'!$E$23&gt;'Stress Test Inputs'!$B$23),D22+D22*B22/12,IF('Stress Test Inputs'!$C$23="FRM",-PMT($B$3/12,'Stress Test Inputs'!$E$23*12,$D$3),IF($A22,-PMT(B22/12,('Stress Test Inputs'!$E$23*12)-C22+1,D22),E21))))</f>
        <v>85359.078440742815</v>
      </c>
      <c r="F22" s="99">
        <f t="shared" si="1"/>
        <v>9283792.9684571084</v>
      </c>
      <c r="G22" s="99">
        <f>IF(C22&gt;'Stress Test Inputs'!$B$23*12,0,D22*B22/12)</f>
        <v>47626.522905064077</v>
      </c>
      <c r="H22" s="99">
        <f t="shared" si="0"/>
        <v>37732.555535678737</v>
      </c>
      <c r="I22" s="99">
        <f t="shared" si="3"/>
        <v>9331419.4913621731</v>
      </c>
      <c r="J22" s="98"/>
    </row>
    <row r="23" spans="1:10" x14ac:dyDescent="0.25">
      <c r="A23" s="77" t="b">
        <f>IF(('Stress Test Inputs'!$C$23)="FRM", FALSE, ISNUMBER(MATCH(C23,'Stress Test Inputs'!$M$18:$M$30,0)))</f>
        <v>0</v>
      </c>
      <c r="B23" s="103">
        <f>IF($A23, _xlfn.XLOOKUP(C23,'Stress Test Inputs'!$M$17:$M$29,'Stress Test Inputs'!$N$17:$N$29),$B22)</f>
        <v>6.0999999999999999E-2</v>
      </c>
      <c r="C23" s="101">
        <f t="shared" si="2"/>
        <v>21</v>
      </c>
      <c r="D23" s="99">
        <f t="shared" si="4"/>
        <v>9331419.4913621731</v>
      </c>
      <c r="E23" s="99">
        <f>IF(OR(D23&lt;=0,C23&gt;'Stress Test Inputs'!$B$23*12),0,IF(AND(C23='Stress Test Inputs'!$B$23*12,'Stress Test Inputs'!$E$23&gt;'Stress Test Inputs'!$B$23),D23+D23*B23/12,IF('Stress Test Inputs'!$C$23="FRM",-PMT($B$3/12,'Stress Test Inputs'!$E$23*12,$D$3),IF($A23,-PMT(B23/12,('Stress Test Inputs'!$E$23*12)-C23+1,D23),E22))))</f>
        <v>85359.078440742815</v>
      </c>
      <c r="F23" s="99">
        <f t="shared" si="1"/>
        <v>9246060.4129214305</v>
      </c>
      <c r="G23" s="99">
        <f>IF(C23&gt;'Stress Test Inputs'!$B$23*12,0,D23*B23/12)</f>
        <v>47434.715747757706</v>
      </c>
      <c r="H23" s="99">
        <f t="shared" si="0"/>
        <v>37924.362692985109</v>
      </c>
      <c r="I23" s="99">
        <f t="shared" si="3"/>
        <v>9293495.1286691874</v>
      </c>
      <c r="J23" s="98"/>
    </row>
    <row r="24" spans="1:10" x14ac:dyDescent="0.25">
      <c r="A24" s="77" t="b">
        <f>IF(('Stress Test Inputs'!$C$23)="FRM", FALSE, ISNUMBER(MATCH(C24,'Stress Test Inputs'!$M$18:$M$30,0)))</f>
        <v>0</v>
      </c>
      <c r="B24" s="103">
        <f>IF($A24, _xlfn.XLOOKUP(C24,'Stress Test Inputs'!$M$17:$M$29,'Stress Test Inputs'!$N$17:$N$29),$B23)</f>
        <v>6.0999999999999999E-2</v>
      </c>
      <c r="C24" s="101">
        <f t="shared" si="2"/>
        <v>22</v>
      </c>
      <c r="D24" s="99">
        <f t="shared" si="4"/>
        <v>9293495.1286691874</v>
      </c>
      <c r="E24" s="99">
        <f>IF(OR(D24&lt;=0,C24&gt;'Stress Test Inputs'!$B$23*12),0,IF(AND(C24='Stress Test Inputs'!$B$23*12,'Stress Test Inputs'!$E$23&gt;'Stress Test Inputs'!$B$23),D24+D24*B24/12,IF('Stress Test Inputs'!$C$23="FRM",-PMT($B$3/12,'Stress Test Inputs'!$E$23*12,$D$3),IF($A24,-PMT(B24/12,('Stress Test Inputs'!$E$23*12)-C24+1,D24),E23))))</f>
        <v>85359.078440742815</v>
      </c>
      <c r="F24" s="99">
        <f t="shared" si="1"/>
        <v>9208136.0502284449</v>
      </c>
      <c r="G24" s="99">
        <f>IF(C24&gt;'Stress Test Inputs'!$B$23*12,0,D24*B24/12)</f>
        <v>47241.933570735033</v>
      </c>
      <c r="H24" s="99">
        <f t="shared" si="0"/>
        <v>38117.144870007782</v>
      </c>
      <c r="I24" s="99">
        <f t="shared" si="3"/>
        <v>9255377.98379918</v>
      </c>
      <c r="J24" s="98"/>
    </row>
    <row r="25" spans="1:10" x14ac:dyDescent="0.25">
      <c r="A25" s="77" t="b">
        <f>IF(('Stress Test Inputs'!$C$23)="FRM", FALSE, ISNUMBER(MATCH(C25,'Stress Test Inputs'!$M$18:$M$30,0)))</f>
        <v>0</v>
      </c>
      <c r="B25" s="103">
        <f>IF($A25, _xlfn.XLOOKUP(C25,'Stress Test Inputs'!$M$17:$M$29,'Stress Test Inputs'!$N$17:$N$29),$B24)</f>
        <v>6.0999999999999999E-2</v>
      </c>
      <c r="C25" s="101">
        <f t="shared" si="2"/>
        <v>23</v>
      </c>
      <c r="D25" s="99">
        <f t="shared" si="4"/>
        <v>9255377.98379918</v>
      </c>
      <c r="E25" s="99">
        <f>IF(OR(D25&lt;=0,C25&gt;'Stress Test Inputs'!$B$23*12),0,IF(AND(C25='Stress Test Inputs'!$B$23*12,'Stress Test Inputs'!$E$23&gt;'Stress Test Inputs'!$B$23),D25+D25*B25/12,IF('Stress Test Inputs'!$C$23="FRM",-PMT($B$3/12,'Stress Test Inputs'!$E$23*12,$D$3),IF($A25,-PMT(B25/12,('Stress Test Inputs'!$E$23*12)-C25+1,D25),E24))))</f>
        <v>85359.078440742815</v>
      </c>
      <c r="F25" s="99">
        <f t="shared" si="1"/>
        <v>9170018.9053584374</v>
      </c>
      <c r="G25" s="99">
        <f>IF(C25&gt;'Stress Test Inputs'!$B$23*12,0,D25*B25/12)</f>
        <v>47048.171417645826</v>
      </c>
      <c r="H25" s="99">
        <f t="shared" si="0"/>
        <v>38310.907023096988</v>
      </c>
      <c r="I25" s="99">
        <f t="shared" si="3"/>
        <v>9217067.0767760836</v>
      </c>
      <c r="J25" s="98"/>
    </row>
    <row r="26" spans="1:10" x14ac:dyDescent="0.25">
      <c r="A26" s="77" t="b">
        <f>IF(('Stress Test Inputs'!$C$23)="FRM", FALSE, ISNUMBER(MATCH(C26,'Stress Test Inputs'!$M$18:$M$30,0)))</f>
        <v>0</v>
      </c>
      <c r="B26" s="103">
        <f>IF($A26, _xlfn.XLOOKUP(C26,'Stress Test Inputs'!$M$17:$M$29,'Stress Test Inputs'!$N$17:$N$29),$B25)</f>
        <v>6.0999999999999999E-2</v>
      </c>
      <c r="C26" s="101">
        <f t="shared" si="2"/>
        <v>24</v>
      </c>
      <c r="D26" s="99">
        <f t="shared" si="4"/>
        <v>9217067.0767760836</v>
      </c>
      <c r="E26" s="99">
        <f>IF(OR(D26&lt;=0,C26&gt;'Stress Test Inputs'!$B$23*12),0,IF(AND(C26='Stress Test Inputs'!$B$23*12,'Stress Test Inputs'!$E$23&gt;'Stress Test Inputs'!$B$23),D26+D26*B26/12,IF('Stress Test Inputs'!$C$23="FRM",-PMT($B$3/12,'Stress Test Inputs'!$E$23*12,$D$3),IF($A26,-PMT(B26/12,('Stress Test Inputs'!$E$23*12)-C26+1,D26),E25))))</f>
        <v>85359.078440742815</v>
      </c>
      <c r="F26" s="99">
        <f t="shared" si="1"/>
        <v>9131707.998335341</v>
      </c>
      <c r="G26" s="99">
        <f>IF(C26&gt;'Stress Test Inputs'!$B$23*12,0,D26*B26/12)</f>
        <v>46853.424306945089</v>
      </c>
      <c r="H26" s="99">
        <f t="shared" si="0"/>
        <v>38505.654133797725</v>
      </c>
      <c r="I26" s="99">
        <f t="shared" si="3"/>
        <v>9178561.422642285</v>
      </c>
      <c r="J26" s="98"/>
    </row>
    <row r="27" spans="1:10" x14ac:dyDescent="0.25">
      <c r="A27" s="77" t="b">
        <f>IF(('Stress Test Inputs'!$C$23)="FRM", FALSE, ISNUMBER(MATCH(C27,'Stress Test Inputs'!$M$18:$M$30,0)))</f>
        <v>0</v>
      </c>
      <c r="B27" s="103">
        <f>IF($A27, _xlfn.XLOOKUP(C27,'Stress Test Inputs'!$M$17:$M$29,'Stress Test Inputs'!$N$17:$N$29),$B26)</f>
        <v>6.0999999999999999E-2</v>
      </c>
      <c r="C27" s="101">
        <f t="shared" si="2"/>
        <v>25</v>
      </c>
      <c r="D27" s="99">
        <f t="shared" si="4"/>
        <v>9178561.422642285</v>
      </c>
      <c r="E27" s="99">
        <f>IF(OR(D27&lt;=0,C27&gt;'Stress Test Inputs'!$B$23*12),0,IF(AND(C27='Stress Test Inputs'!$B$23*12,'Stress Test Inputs'!$E$23&gt;'Stress Test Inputs'!$B$23),D27+D27*B27/12,IF('Stress Test Inputs'!$C$23="FRM",-PMT($B$3/12,'Stress Test Inputs'!$E$23*12,$D$3),IF($A27,-PMT(B27/12,('Stress Test Inputs'!$E$23*12)-C27+1,D27),E26))))</f>
        <v>85359.078440742815</v>
      </c>
      <c r="F27" s="99">
        <f t="shared" si="1"/>
        <v>9093202.3442015424</v>
      </c>
      <c r="G27" s="99">
        <f>IF(C27&gt;'Stress Test Inputs'!$B$23*12,0,D27*B27/12)</f>
        <v>46657.687231764947</v>
      </c>
      <c r="H27" s="99">
        <f t="shared" si="0"/>
        <v>38701.391208977868</v>
      </c>
      <c r="I27" s="99">
        <f t="shared" si="3"/>
        <v>9139860.0314333066</v>
      </c>
      <c r="J27" s="98"/>
    </row>
    <row r="28" spans="1:10" x14ac:dyDescent="0.25">
      <c r="A28" s="77" t="b">
        <f>IF(('Stress Test Inputs'!$C$23)="FRM", FALSE, ISNUMBER(MATCH(C28,'Stress Test Inputs'!$M$18:$M$30,0)))</f>
        <v>0</v>
      </c>
      <c r="B28" s="103">
        <f>IF($A28, _xlfn.XLOOKUP(C28,'Stress Test Inputs'!$M$17:$M$29,'Stress Test Inputs'!$N$17:$N$29),$B27)</f>
        <v>6.0999999999999999E-2</v>
      </c>
      <c r="C28" s="101">
        <f t="shared" si="2"/>
        <v>26</v>
      </c>
      <c r="D28" s="99">
        <f t="shared" si="4"/>
        <v>9139860.0314333066</v>
      </c>
      <c r="E28" s="99">
        <f>IF(OR(D28&lt;=0,C28&gt;'Stress Test Inputs'!$B$23*12),0,IF(AND(C28='Stress Test Inputs'!$B$23*12,'Stress Test Inputs'!$E$23&gt;'Stress Test Inputs'!$B$23),D28+D28*B28/12,IF('Stress Test Inputs'!$C$23="FRM",-PMT($B$3/12,'Stress Test Inputs'!$E$23*12,$D$3),IF($A28,-PMT(B28/12,('Stress Test Inputs'!$E$23*12)-C28+1,D28),E27))))</f>
        <v>85359.078440742815</v>
      </c>
      <c r="F28" s="99">
        <f t="shared" si="1"/>
        <v>9054500.9529925641</v>
      </c>
      <c r="G28" s="99">
        <f>IF(C28&gt;'Stress Test Inputs'!$B$23*12,0,D28*B28/12)</f>
        <v>46460.955159785975</v>
      </c>
      <c r="H28" s="99">
        <f t="shared" si="0"/>
        <v>38898.123280956839</v>
      </c>
      <c r="I28" s="99">
        <f t="shared" si="3"/>
        <v>9100961.9081523493</v>
      </c>
      <c r="J28" s="98"/>
    </row>
    <row r="29" spans="1:10" x14ac:dyDescent="0.25">
      <c r="A29" s="77" t="b">
        <f>IF(('Stress Test Inputs'!$C$23)="FRM", FALSE, ISNUMBER(MATCH(C29,'Stress Test Inputs'!$M$18:$M$30,0)))</f>
        <v>0</v>
      </c>
      <c r="B29" s="103">
        <f>IF($A29, _xlfn.XLOOKUP(C29,'Stress Test Inputs'!$M$17:$M$29,'Stress Test Inputs'!$N$17:$N$29),$B28)</f>
        <v>6.0999999999999999E-2</v>
      </c>
      <c r="C29" s="101">
        <f t="shared" si="2"/>
        <v>27</v>
      </c>
      <c r="D29" s="99">
        <f t="shared" si="4"/>
        <v>9100961.9081523493</v>
      </c>
      <c r="E29" s="99">
        <f>IF(OR(D29&lt;=0,C29&gt;'Stress Test Inputs'!$B$23*12),0,IF(AND(C29='Stress Test Inputs'!$B$23*12,'Stress Test Inputs'!$E$23&gt;'Stress Test Inputs'!$B$23),D29+D29*B29/12,IF('Stress Test Inputs'!$C$23="FRM",-PMT($B$3/12,'Stress Test Inputs'!$E$23*12,$D$3),IF($A29,-PMT(B29/12,('Stress Test Inputs'!$E$23*12)-C29+1,D29),E28))))</f>
        <v>85359.078440742815</v>
      </c>
      <c r="F29" s="99">
        <f t="shared" si="1"/>
        <v>9015602.8297116067</v>
      </c>
      <c r="G29" s="99">
        <f>IF(C29&gt;'Stress Test Inputs'!$B$23*12,0,D29*B29/12)</f>
        <v>46263.223033107781</v>
      </c>
      <c r="H29" s="99">
        <f t="shared" si="0"/>
        <v>39095.855407635034</v>
      </c>
      <c r="I29" s="99">
        <f t="shared" si="3"/>
        <v>9061866.0527447145</v>
      </c>
      <c r="J29" s="98"/>
    </row>
    <row r="30" spans="1:10" x14ac:dyDescent="0.25">
      <c r="A30" s="77" t="b">
        <f>IF(('Stress Test Inputs'!$C$23)="FRM", FALSE, ISNUMBER(MATCH(C30,'Stress Test Inputs'!$M$18:$M$30,0)))</f>
        <v>0</v>
      </c>
      <c r="B30" s="103">
        <f>IF($A30, _xlfn.XLOOKUP(C30,'Stress Test Inputs'!$M$17:$M$29,'Stress Test Inputs'!$N$17:$N$29),$B29)</f>
        <v>6.0999999999999999E-2</v>
      </c>
      <c r="C30" s="101">
        <f t="shared" si="2"/>
        <v>28</v>
      </c>
      <c r="D30" s="99">
        <f t="shared" si="4"/>
        <v>9061866.0527447145</v>
      </c>
      <c r="E30" s="99">
        <f>IF(OR(D30&lt;=0,C30&gt;'Stress Test Inputs'!$B$23*12),0,IF(AND(C30='Stress Test Inputs'!$B$23*12,'Stress Test Inputs'!$E$23&gt;'Stress Test Inputs'!$B$23),D30+D30*B30/12,IF('Stress Test Inputs'!$C$23="FRM",-PMT($B$3/12,'Stress Test Inputs'!$E$23*12,$D$3),IF($A30,-PMT(B30/12,('Stress Test Inputs'!$E$23*12)-C30+1,D30),E29))))</f>
        <v>85359.078440742815</v>
      </c>
      <c r="F30" s="99">
        <f t="shared" si="1"/>
        <v>8976506.974303972</v>
      </c>
      <c r="G30" s="99">
        <f>IF(C30&gt;'Stress Test Inputs'!$B$23*12,0,D30*B30/12)</f>
        <v>46064.485768118961</v>
      </c>
      <c r="H30" s="99">
        <f t="shared" si="0"/>
        <v>39294.592672623854</v>
      </c>
      <c r="I30" s="99">
        <f t="shared" si="3"/>
        <v>9022571.4600720908</v>
      </c>
      <c r="J30" s="98"/>
    </row>
    <row r="31" spans="1:10" x14ac:dyDescent="0.25">
      <c r="A31" s="77" t="b">
        <f>IF(('Stress Test Inputs'!$C$23)="FRM", FALSE, ISNUMBER(MATCH(C31,'Stress Test Inputs'!$M$18:$M$30,0)))</f>
        <v>0</v>
      </c>
      <c r="B31" s="103">
        <f>IF($A31, _xlfn.XLOOKUP(C31,'Stress Test Inputs'!$M$17:$M$29,'Stress Test Inputs'!$N$17:$N$29),$B30)</f>
        <v>6.0999999999999999E-2</v>
      </c>
      <c r="C31" s="101">
        <f t="shared" si="2"/>
        <v>29</v>
      </c>
      <c r="D31" s="99">
        <f t="shared" si="4"/>
        <v>9022571.4600720908</v>
      </c>
      <c r="E31" s="99">
        <f>IF(OR(D31&lt;=0,C31&gt;'Stress Test Inputs'!$B$23*12),0,IF(AND(C31='Stress Test Inputs'!$B$23*12,'Stress Test Inputs'!$E$23&gt;'Stress Test Inputs'!$B$23),D31+D31*B31/12,IF('Stress Test Inputs'!$C$23="FRM",-PMT($B$3/12,'Stress Test Inputs'!$E$23*12,$D$3),IF($A31,-PMT(B31/12,('Stress Test Inputs'!$E$23*12)-C31+1,D31),E30))))</f>
        <v>85359.078440742815</v>
      </c>
      <c r="F31" s="99">
        <f t="shared" si="1"/>
        <v>8937212.3816313483</v>
      </c>
      <c r="G31" s="99">
        <f>IF(C31&gt;'Stress Test Inputs'!$B$23*12,0,D31*B31/12)</f>
        <v>45864.738255366457</v>
      </c>
      <c r="H31" s="99">
        <f t="shared" si="0"/>
        <v>39494.340185376357</v>
      </c>
      <c r="I31" s="99">
        <f t="shared" si="3"/>
        <v>8983077.119886715</v>
      </c>
      <c r="J31" s="98"/>
    </row>
    <row r="32" spans="1:10" x14ac:dyDescent="0.25">
      <c r="A32" s="77" t="b">
        <f>IF(('Stress Test Inputs'!$C$23)="FRM", FALSE, ISNUMBER(MATCH(C32,'Stress Test Inputs'!$M$18:$M$30,0)))</f>
        <v>1</v>
      </c>
      <c r="B32" s="103">
        <f>IF($A32, _xlfn.XLOOKUP(C32,'Stress Test Inputs'!$M$17:$M$29,'Stress Test Inputs'!$N$17:$N$29),$B31)</f>
        <v>0.05</v>
      </c>
      <c r="C32" s="101">
        <f t="shared" si="2"/>
        <v>30</v>
      </c>
      <c r="D32" s="99">
        <f t="shared" si="4"/>
        <v>8983077.119886715</v>
      </c>
      <c r="E32" s="99">
        <f>IF(OR(D32&lt;=0,C32&gt;'Stress Test Inputs'!$B$23*12),0,IF(AND(C32='Stress Test Inputs'!$B$23*12,'Stress Test Inputs'!$E$23&gt;'Stress Test Inputs'!$B$23),D32+D32*B32/12,IF('Stress Test Inputs'!$C$23="FRM",-PMT($B$3/12,'Stress Test Inputs'!$E$23*12,$D$3),IF($A32,-PMT(B32/12,('Stress Test Inputs'!$E$23*12)-C32+1,D32),E31))))</f>
        <v>80274.798338602559</v>
      </c>
      <c r="F32" s="99">
        <f t="shared" si="1"/>
        <v>8902802.3215481117</v>
      </c>
      <c r="G32" s="99">
        <f>IF(C32&gt;'Stress Test Inputs'!$B$23*12,0,D32*B32/12)</f>
        <v>37429.487999527984</v>
      </c>
      <c r="H32" s="99">
        <f t="shared" si="0"/>
        <v>42845.310339074575</v>
      </c>
      <c r="I32" s="99">
        <f t="shared" si="3"/>
        <v>8940231.8095476404</v>
      </c>
      <c r="J32" s="98"/>
    </row>
    <row r="33" spans="1:10" x14ac:dyDescent="0.25">
      <c r="A33" s="77" t="b">
        <f>IF(('Stress Test Inputs'!$C$23)="FRM", FALSE, ISNUMBER(MATCH(C33,'Stress Test Inputs'!$M$18:$M$30,0)))</f>
        <v>0</v>
      </c>
      <c r="B33" s="103">
        <f>IF($A33, _xlfn.XLOOKUP(C33,'Stress Test Inputs'!$M$17:$M$29,'Stress Test Inputs'!$N$17:$N$29),$B32)</f>
        <v>0.05</v>
      </c>
      <c r="C33" s="101">
        <f t="shared" si="2"/>
        <v>31</v>
      </c>
      <c r="D33" s="99">
        <f t="shared" si="4"/>
        <v>8940231.8095476404</v>
      </c>
      <c r="E33" s="99">
        <f>IF(OR(D33&lt;=0,C33&gt;'Stress Test Inputs'!$B$23*12),0,IF(AND(C33='Stress Test Inputs'!$B$23*12,'Stress Test Inputs'!$E$23&gt;'Stress Test Inputs'!$B$23),D33+D33*B33/12,IF('Stress Test Inputs'!$C$23="FRM",-PMT($B$3/12,'Stress Test Inputs'!$E$23*12,$D$3),IF($A33,-PMT(B33/12,('Stress Test Inputs'!$E$23*12)-C33+1,D33),E32))))</f>
        <v>80274.798338602559</v>
      </c>
      <c r="F33" s="99">
        <f t="shared" si="1"/>
        <v>8859957.0112090372</v>
      </c>
      <c r="G33" s="99">
        <f>IF(C33&gt;'Stress Test Inputs'!$B$23*12,0,D33*B33/12)</f>
        <v>37250.965873115172</v>
      </c>
      <c r="H33" s="99">
        <f t="shared" si="0"/>
        <v>43023.832465487387</v>
      </c>
      <c r="I33" s="99">
        <f t="shared" si="3"/>
        <v>8897207.9770821538</v>
      </c>
      <c r="J33" s="98"/>
    </row>
    <row r="34" spans="1:10" x14ac:dyDescent="0.25">
      <c r="A34" s="77" t="b">
        <f>IF(('Stress Test Inputs'!$C$23)="FRM", FALSE, ISNUMBER(MATCH(C34,'Stress Test Inputs'!$M$18:$M$30,0)))</f>
        <v>0</v>
      </c>
      <c r="B34" s="103">
        <f>IF($A34, _xlfn.XLOOKUP(C34,'Stress Test Inputs'!$M$17:$M$29,'Stress Test Inputs'!$N$17:$N$29),$B33)</f>
        <v>0.05</v>
      </c>
      <c r="C34" s="101">
        <f t="shared" si="2"/>
        <v>32</v>
      </c>
      <c r="D34" s="99">
        <f t="shared" si="4"/>
        <v>8897207.9770821538</v>
      </c>
      <c r="E34" s="99">
        <f>IF(OR(D34&lt;=0,C34&gt;'Stress Test Inputs'!$B$23*12),0,IF(AND(C34='Stress Test Inputs'!$B$23*12,'Stress Test Inputs'!$E$23&gt;'Stress Test Inputs'!$B$23),D34+D34*B34/12,IF('Stress Test Inputs'!$C$23="FRM",-PMT($B$3/12,'Stress Test Inputs'!$E$23*12,$D$3),IF($A34,-PMT(B34/12,('Stress Test Inputs'!$E$23*12)-C34+1,D34),E33))))</f>
        <v>80274.798338602559</v>
      </c>
      <c r="F34" s="99">
        <f t="shared" si="1"/>
        <v>8816933.1787435506</v>
      </c>
      <c r="G34" s="99">
        <f>IF(C34&gt;'Stress Test Inputs'!$B$23*12,0,D34*B34/12)</f>
        <v>37071.699904508976</v>
      </c>
      <c r="H34" s="99">
        <f t="shared" si="0"/>
        <v>43203.098434093583</v>
      </c>
      <c r="I34" s="99">
        <f t="shared" si="3"/>
        <v>8854004.8786480594</v>
      </c>
      <c r="J34" s="98"/>
    </row>
    <row r="35" spans="1:10" x14ac:dyDescent="0.25">
      <c r="A35" s="77" t="b">
        <f>IF(('Stress Test Inputs'!$C$23)="FRM", FALSE, ISNUMBER(MATCH(C35,'Stress Test Inputs'!$M$18:$M$30,0)))</f>
        <v>0</v>
      </c>
      <c r="B35" s="103">
        <f>IF($A35, _xlfn.XLOOKUP(C35,'Stress Test Inputs'!$M$17:$M$29,'Stress Test Inputs'!$N$17:$N$29),$B34)</f>
        <v>0.05</v>
      </c>
      <c r="C35" s="101">
        <f t="shared" si="2"/>
        <v>33</v>
      </c>
      <c r="D35" s="99">
        <f t="shared" si="4"/>
        <v>8854004.8786480594</v>
      </c>
      <c r="E35" s="99">
        <f>IF(OR(D35&lt;=0,C35&gt;'Stress Test Inputs'!$B$23*12),0,IF(AND(C35='Stress Test Inputs'!$B$23*12,'Stress Test Inputs'!$E$23&gt;'Stress Test Inputs'!$B$23),D35+D35*B35/12,IF('Stress Test Inputs'!$C$23="FRM",-PMT($B$3/12,'Stress Test Inputs'!$E$23*12,$D$3),IF($A35,-PMT(B35/12,('Stress Test Inputs'!$E$23*12)-C35+1,D35),E34))))</f>
        <v>80274.798338602559</v>
      </c>
      <c r="F35" s="99">
        <f t="shared" si="1"/>
        <v>8773730.0803094562</v>
      </c>
      <c r="G35" s="99">
        <f>IF(C35&gt;'Stress Test Inputs'!$B$23*12,0,D35*B35/12)</f>
        <v>36891.686994366915</v>
      </c>
      <c r="H35" s="99">
        <f t="shared" si="0"/>
        <v>43383.111344235644</v>
      </c>
      <c r="I35" s="99">
        <f t="shared" si="3"/>
        <v>8810621.7673038244</v>
      </c>
      <c r="J35" s="98"/>
    </row>
    <row r="36" spans="1:10" x14ac:dyDescent="0.25">
      <c r="A36" s="77" t="b">
        <f>IF(('Stress Test Inputs'!$C$23)="FRM", FALSE, ISNUMBER(MATCH(C36,'Stress Test Inputs'!$M$18:$M$30,0)))</f>
        <v>0</v>
      </c>
      <c r="B36" s="103">
        <f>IF($A36, _xlfn.XLOOKUP(C36,'Stress Test Inputs'!$M$17:$M$29,'Stress Test Inputs'!$N$17:$N$29),$B35)</f>
        <v>0.05</v>
      </c>
      <c r="C36" s="101">
        <f t="shared" si="2"/>
        <v>34</v>
      </c>
      <c r="D36" s="99">
        <f t="shared" si="4"/>
        <v>8810621.7673038244</v>
      </c>
      <c r="E36" s="99">
        <f>IF(OR(D36&lt;=0,C36&gt;'Stress Test Inputs'!$B$23*12),0,IF(AND(C36='Stress Test Inputs'!$B$23*12,'Stress Test Inputs'!$E$23&gt;'Stress Test Inputs'!$B$23),D36+D36*B36/12,IF('Stress Test Inputs'!$C$23="FRM",-PMT($B$3/12,'Stress Test Inputs'!$E$23*12,$D$3),IF($A36,-PMT(B36/12,('Stress Test Inputs'!$E$23*12)-C36+1,D36),E35))))</f>
        <v>80274.798338602559</v>
      </c>
      <c r="F36" s="99">
        <f t="shared" si="1"/>
        <v>8730346.9689652212</v>
      </c>
      <c r="G36" s="99">
        <f>IF(C36&gt;'Stress Test Inputs'!$B$23*12,0,D36*B36/12)</f>
        <v>36710.924030432601</v>
      </c>
      <c r="H36" s="99">
        <f t="shared" si="0"/>
        <v>43563.874308169958</v>
      </c>
      <c r="I36" s="99">
        <f t="shared" si="3"/>
        <v>8767057.8929956537</v>
      </c>
      <c r="J36" s="98"/>
    </row>
    <row r="37" spans="1:10" x14ac:dyDescent="0.25">
      <c r="A37" s="77" t="b">
        <f>IF(('Stress Test Inputs'!$C$23)="FRM", FALSE, ISNUMBER(MATCH(C37,'Stress Test Inputs'!$M$18:$M$30,0)))</f>
        <v>0</v>
      </c>
      <c r="B37" s="103">
        <f>IF($A37, _xlfn.XLOOKUP(C37,'Stress Test Inputs'!$M$17:$M$29,'Stress Test Inputs'!$N$17:$N$29),$B36)</f>
        <v>0.05</v>
      </c>
      <c r="C37" s="101">
        <f t="shared" si="2"/>
        <v>35</v>
      </c>
      <c r="D37" s="99">
        <f t="shared" si="4"/>
        <v>8767057.8929956537</v>
      </c>
      <c r="E37" s="99">
        <f>IF(OR(D37&lt;=0,C37&gt;'Stress Test Inputs'!$B$23*12),0,IF(AND(C37='Stress Test Inputs'!$B$23*12,'Stress Test Inputs'!$E$23&gt;'Stress Test Inputs'!$B$23),D37+D37*B37/12,IF('Stress Test Inputs'!$C$23="FRM",-PMT($B$3/12,'Stress Test Inputs'!$E$23*12,$D$3),IF($A37,-PMT(B37/12,('Stress Test Inputs'!$E$23*12)-C37+1,D37),E36))))</f>
        <v>80274.798338602559</v>
      </c>
      <c r="F37" s="99">
        <f t="shared" si="1"/>
        <v>8686783.0946570504</v>
      </c>
      <c r="G37" s="99">
        <f>IF(C37&gt;'Stress Test Inputs'!$B$23*12,0,D37*B37/12)</f>
        <v>36529.407887481888</v>
      </c>
      <c r="H37" s="99">
        <f t="shared" si="0"/>
        <v>43745.390451120671</v>
      </c>
      <c r="I37" s="99">
        <f t="shared" si="3"/>
        <v>8723312.5025445335</v>
      </c>
      <c r="J37" s="98"/>
    </row>
    <row r="38" spans="1:10" x14ac:dyDescent="0.25">
      <c r="A38" s="77" t="b">
        <f>IF(('Stress Test Inputs'!$C$23)="FRM", FALSE, ISNUMBER(MATCH(C38,'Stress Test Inputs'!$M$18:$M$30,0)))</f>
        <v>0</v>
      </c>
      <c r="B38" s="103">
        <f>IF($A38, _xlfn.XLOOKUP(C38,'Stress Test Inputs'!$M$17:$M$29,'Stress Test Inputs'!$N$17:$N$29),$B37)</f>
        <v>0.05</v>
      </c>
      <c r="C38" s="101">
        <f t="shared" si="2"/>
        <v>36</v>
      </c>
      <c r="D38" s="99">
        <f t="shared" si="4"/>
        <v>8723312.5025445335</v>
      </c>
      <c r="E38" s="99">
        <f>IF(OR(D38&lt;=0,C38&gt;'Stress Test Inputs'!$B$23*12),0,IF(AND(C38='Stress Test Inputs'!$B$23*12,'Stress Test Inputs'!$E$23&gt;'Stress Test Inputs'!$B$23),D38+D38*B38/12,IF('Stress Test Inputs'!$C$23="FRM",-PMT($B$3/12,'Stress Test Inputs'!$E$23*12,$D$3),IF($A38,-PMT(B38/12,('Stress Test Inputs'!$E$23*12)-C38+1,D38),E37))))</f>
        <v>80274.798338602559</v>
      </c>
      <c r="F38" s="99">
        <f t="shared" si="1"/>
        <v>8643037.7042059302</v>
      </c>
      <c r="G38" s="99">
        <f>IF(C38&gt;'Stress Test Inputs'!$B$23*12,0,D38*B38/12)</f>
        <v>36347.135427268891</v>
      </c>
      <c r="H38" s="99">
        <f t="shared" si="0"/>
        <v>43927.662911333668</v>
      </c>
      <c r="I38" s="99">
        <f t="shared" si="3"/>
        <v>8679384.8396332003</v>
      </c>
      <c r="J38" s="98"/>
    </row>
    <row r="39" spans="1:10" x14ac:dyDescent="0.25">
      <c r="A39" s="77" t="b">
        <f>IF(('Stress Test Inputs'!$C$23)="FRM", FALSE, ISNUMBER(MATCH(C39,'Stress Test Inputs'!$M$18:$M$30,0)))</f>
        <v>0</v>
      </c>
      <c r="B39" s="103">
        <f>IF($A39, _xlfn.XLOOKUP(C39,'Stress Test Inputs'!$M$17:$M$29,'Stress Test Inputs'!$N$17:$N$29),$B38)</f>
        <v>0.05</v>
      </c>
      <c r="C39" s="101">
        <f t="shared" si="2"/>
        <v>37</v>
      </c>
      <c r="D39" s="99">
        <f t="shared" si="4"/>
        <v>8679384.8396332003</v>
      </c>
      <c r="E39" s="99">
        <f>IF(OR(D39&lt;=0,C39&gt;'Stress Test Inputs'!$B$23*12),0,IF(AND(C39='Stress Test Inputs'!$B$23*12,'Stress Test Inputs'!$E$23&gt;'Stress Test Inputs'!$B$23),D39+D39*B39/12,IF('Stress Test Inputs'!$C$23="FRM",-PMT($B$3/12,'Stress Test Inputs'!$E$23*12,$D$3),IF($A39,-PMT(B39/12,('Stress Test Inputs'!$E$23*12)-C39+1,D39),E38))))</f>
        <v>80274.798338602559</v>
      </c>
      <c r="F39" s="99">
        <f t="shared" si="1"/>
        <v>8599110.0412945971</v>
      </c>
      <c r="G39" s="99">
        <f>IF(C39&gt;'Stress Test Inputs'!$B$23*12,0,D39*B39/12)</f>
        <v>36164.103498471668</v>
      </c>
      <c r="H39" s="99">
        <f t="shared" si="0"/>
        <v>44110.694840130891</v>
      </c>
      <c r="I39" s="99">
        <f t="shared" si="3"/>
        <v>8635274.144793069</v>
      </c>
      <c r="J39" s="98"/>
    </row>
    <row r="40" spans="1:10" x14ac:dyDescent="0.25">
      <c r="A40" s="77" t="b">
        <f>IF(('Stress Test Inputs'!$C$23)="FRM", FALSE, ISNUMBER(MATCH(C40,'Stress Test Inputs'!$M$18:$M$30,0)))</f>
        <v>0</v>
      </c>
      <c r="B40" s="103">
        <f>IF($A40, _xlfn.XLOOKUP(C40,'Stress Test Inputs'!$M$17:$M$29,'Stress Test Inputs'!$N$17:$N$29),$B39)</f>
        <v>0.05</v>
      </c>
      <c r="C40" s="101">
        <f t="shared" si="2"/>
        <v>38</v>
      </c>
      <c r="D40" s="99">
        <f t="shared" si="4"/>
        <v>8635274.144793069</v>
      </c>
      <c r="E40" s="99">
        <f>IF(OR(D40&lt;=0,C40&gt;'Stress Test Inputs'!$B$23*12),0,IF(AND(C40='Stress Test Inputs'!$B$23*12,'Stress Test Inputs'!$E$23&gt;'Stress Test Inputs'!$B$23),D40+D40*B40/12,IF('Stress Test Inputs'!$C$23="FRM",-PMT($B$3/12,'Stress Test Inputs'!$E$23*12,$D$3),IF($A40,-PMT(B40/12,('Stress Test Inputs'!$E$23*12)-C40+1,D40),E39))))</f>
        <v>80274.798338602559</v>
      </c>
      <c r="F40" s="99">
        <f t="shared" si="1"/>
        <v>8554999.3464544658</v>
      </c>
      <c r="G40" s="99">
        <f>IF(C40&gt;'Stress Test Inputs'!$B$23*12,0,D40*B40/12)</f>
        <v>35980.30893663779</v>
      </c>
      <c r="H40" s="99">
        <f t="shared" si="0"/>
        <v>44294.489401964769</v>
      </c>
      <c r="I40" s="99">
        <f t="shared" si="3"/>
        <v>8590979.6553911045</v>
      </c>
      <c r="J40" s="98"/>
    </row>
    <row r="41" spans="1:10" x14ac:dyDescent="0.25">
      <c r="A41" s="77" t="b">
        <f>IF(('Stress Test Inputs'!$C$23)="FRM", FALSE, ISNUMBER(MATCH(C41,'Stress Test Inputs'!$M$18:$M$30,0)))</f>
        <v>0</v>
      </c>
      <c r="B41" s="103">
        <f>IF($A41, _xlfn.XLOOKUP(C41,'Stress Test Inputs'!$M$17:$M$29,'Stress Test Inputs'!$N$17:$N$29),$B40)</f>
        <v>0.05</v>
      </c>
      <c r="C41" s="101">
        <f t="shared" si="2"/>
        <v>39</v>
      </c>
      <c r="D41" s="99">
        <f t="shared" si="4"/>
        <v>8590979.6553911045</v>
      </c>
      <c r="E41" s="99">
        <f>IF(OR(D41&lt;=0,C41&gt;'Stress Test Inputs'!$B$23*12),0,IF(AND(C41='Stress Test Inputs'!$B$23*12,'Stress Test Inputs'!$E$23&gt;'Stress Test Inputs'!$B$23),D41+D41*B41/12,IF('Stress Test Inputs'!$C$23="FRM",-PMT($B$3/12,'Stress Test Inputs'!$E$23*12,$D$3),IF($A41,-PMT(B41/12,('Stress Test Inputs'!$E$23*12)-C41+1,D41),E40))))</f>
        <v>80274.798338602559</v>
      </c>
      <c r="F41" s="99">
        <f t="shared" si="1"/>
        <v>8510704.8570525013</v>
      </c>
      <c r="G41" s="99">
        <f>IF(C41&gt;'Stress Test Inputs'!$B$23*12,0,D41*B41/12)</f>
        <v>35795.748564129601</v>
      </c>
      <c r="H41" s="99">
        <f t="shared" si="0"/>
        <v>44479.049774472958</v>
      </c>
      <c r="I41" s="99">
        <f t="shared" si="3"/>
        <v>8546500.605616631</v>
      </c>
      <c r="J41" s="98"/>
    </row>
    <row r="42" spans="1:10" x14ac:dyDescent="0.25">
      <c r="A42" s="77" t="b">
        <f>IF(('Stress Test Inputs'!$C$23)="FRM", FALSE, ISNUMBER(MATCH(C42,'Stress Test Inputs'!$M$18:$M$30,0)))</f>
        <v>0</v>
      </c>
      <c r="B42" s="103">
        <f>IF($A42, _xlfn.XLOOKUP(C42,'Stress Test Inputs'!$M$17:$M$29,'Stress Test Inputs'!$N$17:$N$29),$B41)</f>
        <v>0.05</v>
      </c>
      <c r="C42" s="101">
        <f t="shared" si="2"/>
        <v>40</v>
      </c>
      <c r="D42" s="99">
        <f t="shared" si="4"/>
        <v>8546500.605616631</v>
      </c>
      <c r="E42" s="99">
        <f>IF(OR(D42&lt;=0,C42&gt;'Stress Test Inputs'!$B$23*12),0,IF(AND(C42='Stress Test Inputs'!$B$23*12,'Stress Test Inputs'!$E$23&gt;'Stress Test Inputs'!$B$23),D42+D42*B42/12,IF('Stress Test Inputs'!$C$23="FRM",-PMT($B$3/12,'Stress Test Inputs'!$E$23*12,$D$3),IF($A42,-PMT(B42/12,('Stress Test Inputs'!$E$23*12)-C42+1,D42),E41))))</f>
        <v>80274.798338602559</v>
      </c>
      <c r="F42" s="99">
        <f t="shared" si="1"/>
        <v>8466225.8072780278</v>
      </c>
      <c r="G42" s="99">
        <f>IF(C42&gt;'Stress Test Inputs'!$B$23*12,0,D42*B42/12)</f>
        <v>35610.419190069297</v>
      </c>
      <c r="H42" s="99">
        <f t="shared" si="0"/>
        <v>44664.379148533262</v>
      </c>
      <c r="I42" s="99">
        <f t="shared" si="3"/>
        <v>8501836.2264680974</v>
      </c>
      <c r="J42" s="98"/>
    </row>
    <row r="43" spans="1:10" x14ac:dyDescent="0.25">
      <c r="A43" s="77" t="b">
        <f>IF(('Stress Test Inputs'!$C$23)="FRM", FALSE, ISNUMBER(MATCH(C43,'Stress Test Inputs'!$M$18:$M$30,0)))</f>
        <v>0</v>
      </c>
      <c r="B43" s="103">
        <f>IF($A43, _xlfn.XLOOKUP(C43,'Stress Test Inputs'!$M$17:$M$29,'Stress Test Inputs'!$N$17:$N$29),$B42)</f>
        <v>0.05</v>
      </c>
      <c r="C43" s="101">
        <f t="shared" si="2"/>
        <v>41</v>
      </c>
      <c r="D43" s="99">
        <f t="shared" si="4"/>
        <v>8501836.2264680974</v>
      </c>
      <c r="E43" s="99">
        <f>IF(OR(D43&lt;=0,C43&gt;'Stress Test Inputs'!$B$23*12),0,IF(AND(C43='Stress Test Inputs'!$B$23*12,'Stress Test Inputs'!$E$23&gt;'Stress Test Inputs'!$B$23),D43+D43*B43/12,IF('Stress Test Inputs'!$C$23="FRM",-PMT($B$3/12,'Stress Test Inputs'!$E$23*12,$D$3),IF($A43,-PMT(B43/12,('Stress Test Inputs'!$E$23*12)-C43+1,D43),E42))))</f>
        <v>80274.798338602559</v>
      </c>
      <c r="F43" s="99">
        <f t="shared" si="1"/>
        <v>8421561.4281294942</v>
      </c>
      <c r="G43" s="99">
        <f>IF(C43&gt;'Stress Test Inputs'!$B$23*12,0,D43*B43/12)</f>
        <v>35424.317610283739</v>
      </c>
      <c r="H43" s="99">
        <f t="shared" si="0"/>
        <v>44850.48072831882</v>
      </c>
      <c r="I43" s="99">
        <f t="shared" si="3"/>
        <v>8456985.7457397785</v>
      </c>
      <c r="J43" s="98"/>
    </row>
    <row r="44" spans="1:10" x14ac:dyDescent="0.25">
      <c r="A44" s="77" t="b">
        <f>IF(('Stress Test Inputs'!$C$23)="FRM", FALSE, ISNUMBER(MATCH(C44,'Stress Test Inputs'!$M$18:$M$30,0)))</f>
        <v>0</v>
      </c>
      <c r="B44" s="103">
        <f>IF($A44, _xlfn.XLOOKUP(C44,'Stress Test Inputs'!$M$17:$M$29,'Stress Test Inputs'!$N$17:$N$29),$B43)</f>
        <v>0.05</v>
      </c>
      <c r="C44" s="101">
        <f t="shared" si="2"/>
        <v>42</v>
      </c>
      <c r="D44" s="99">
        <f t="shared" si="4"/>
        <v>8456985.7457397785</v>
      </c>
      <c r="E44" s="99">
        <f>IF(OR(D44&lt;=0,C44&gt;'Stress Test Inputs'!$B$23*12),0,IF(AND(C44='Stress Test Inputs'!$B$23*12,'Stress Test Inputs'!$E$23&gt;'Stress Test Inputs'!$B$23),D44+D44*B44/12,IF('Stress Test Inputs'!$C$23="FRM",-PMT($B$3/12,'Stress Test Inputs'!$E$23*12,$D$3),IF($A44,-PMT(B44/12,('Stress Test Inputs'!$E$23*12)-C44+1,D44),E43))))</f>
        <v>80274.798338602559</v>
      </c>
      <c r="F44" s="99">
        <f t="shared" si="1"/>
        <v>8376710.9474011762</v>
      </c>
      <c r="G44" s="99">
        <f>IF(C44&gt;'Stress Test Inputs'!$B$23*12,0,D44*B44/12)</f>
        <v>35237.440607249075</v>
      </c>
      <c r="H44" s="99">
        <f t="shared" si="0"/>
        <v>45037.357731353484</v>
      </c>
      <c r="I44" s="99">
        <f t="shared" si="3"/>
        <v>8411948.388008425</v>
      </c>
      <c r="J44" s="98"/>
    </row>
    <row r="45" spans="1:10" x14ac:dyDescent="0.25">
      <c r="A45" s="77" t="b">
        <f>IF(('Stress Test Inputs'!$C$23)="FRM", FALSE, ISNUMBER(MATCH(C45,'Stress Test Inputs'!$M$18:$M$30,0)))</f>
        <v>0</v>
      </c>
      <c r="B45" s="103">
        <f>IF($A45, _xlfn.XLOOKUP(C45,'Stress Test Inputs'!$M$17:$M$29,'Stress Test Inputs'!$N$17:$N$29),$B44)</f>
        <v>0.05</v>
      </c>
      <c r="C45" s="101">
        <f t="shared" si="2"/>
        <v>43</v>
      </c>
      <c r="D45" s="99">
        <f t="shared" si="4"/>
        <v>8411948.388008425</v>
      </c>
      <c r="E45" s="99">
        <f>IF(OR(D45&lt;=0,C45&gt;'Stress Test Inputs'!$B$23*12),0,IF(AND(C45='Stress Test Inputs'!$B$23*12,'Stress Test Inputs'!$E$23&gt;'Stress Test Inputs'!$B$23),D45+D45*B45/12,IF('Stress Test Inputs'!$C$23="FRM",-PMT($B$3/12,'Stress Test Inputs'!$E$23*12,$D$3),IF($A45,-PMT(B45/12,('Stress Test Inputs'!$E$23*12)-C45+1,D45),E44))))</f>
        <v>80274.798338602559</v>
      </c>
      <c r="F45" s="99">
        <f t="shared" si="1"/>
        <v>8331673.5896698227</v>
      </c>
      <c r="G45" s="99">
        <f>IF(C45&gt;'Stress Test Inputs'!$B$23*12,0,D45*B45/12)</f>
        <v>35049.784950035108</v>
      </c>
      <c r="H45" s="99">
        <f t="shared" si="0"/>
        <v>45225.013388567451</v>
      </c>
      <c r="I45" s="99">
        <f t="shared" si="3"/>
        <v>8366723.3746198574</v>
      </c>
      <c r="J45" s="98"/>
    </row>
    <row r="46" spans="1:10" x14ac:dyDescent="0.25">
      <c r="A46" s="77" t="b">
        <f>IF(('Stress Test Inputs'!$C$23)="FRM", FALSE, ISNUMBER(MATCH(C46,'Stress Test Inputs'!$M$18:$M$30,0)))</f>
        <v>0</v>
      </c>
      <c r="B46" s="103">
        <f>IF($A46, _xlfn.XLOOKUP(C46,'Stress Test Inputs'!$M$17:$M$29,'Stress Test Inputs'!$N$17:$N$29),$B45)</f>
        <v>0.05</v>
      </c>
      <c r="C46" s="101">
        <f t="shared" si="2"/>
        <v>44</v>
      </c>
      <c r="D46" s="99">
        <f t="shared" si="4"/>
        <v>8366723.3746198574</v>
      </c>
      <c r="E46" s="99">
        <f>IF(OR(D46&lt;=0,C46&gt;'Stress Test Inputs'!$B$23*12),0,IF(AND(C46='Stress Test Inputs'!$B$23*12,'Stress Test Inputs'!$E$23&gt;'Stress Test Inputs'!$B$23),D46+D46*B46/12,IF('Stress Test Inputs'!$C$23="FRM",-PMT($B$3/12,'Stress Test Inputs'!$E$23*12,$D$3),IF($A46,-PMT(B46/12,('Stress Test Inputs'!$E$23*12)-C46+1,D46),E45))))</f>
        <v>80274.798338602559</v>
      </c>
      <c r="F46" s="99">
        <f t="shared" si="1"/>
        <v>8286448.5762812551</v>
      </c>
      <c r="G46" s="99">
        <f>IF(C46&gt;'Stress Test Inputs'!$B$23*12,0,D46*B46/12)</f>
        <v>34861.347394249409</v>
      </c>
      <c r="H46" s="99">
        <f t="shared" si="0"/>
        <v>45413.45094435315</v>
      </c>
      <c r="I46" s="99">
        <f t="shared" si="3"/>
        <v>8321309.9236755045</v>
      </c>
      <c r="J46" s="98"/>
    </row>
    <row r="47" spans="1:10" x14ac:dyDescent="0.25">
      <c r="A47" s="77" t="b">
        <f>IF(('Stress Test Inputs'!$C$23)="FRM", FALSE, ISNUMBER(MATCH(C47,'Stress Test Inputs'!$M$18:$M$30,0)))</f>
        <v>0</v>
      </c>
      <c r="B47" s="103">
        <f>IF($A47, _xlfn.XLOOKUP(C47,'Stress Test Inputs'!$M$17:$M$29,'Stress Test Inputs'!$N$17:$N$29),$B46)</f>
        <v>0.05</v>
      </c>
      <c r="C47" s="101">
        <f t="shared" si="2"/>
        <v>45</v>
      </c>
      <c r="D47" s="99">
        <f t="shared" si="4"/>
        <v>8321309.9236755045</v>
      </c>
      <c r="E47" s="99">
        <f>IF(OR(D47&lt;=0,C47&gt;'Stress Test Inputs'!$B$23*12),0,IF(AND(C47='Stress Test Inputs'!$B$23*12,'Stress Test Inputs'!$E$23&gt;'Stress Test Inputs'!$B$23),D47+D47*B47/12,IF('Stress Test Inputs'!$C$23="FRM",-PMT($B$3/12,'Stress Test Inputs'!$E$23*12,$D$3),IF($A47,-PMT(B47/12,('Stress Test Inputs'!$E$23*12)-C47+1,D47),E46))))</f>
        <v>80274.798338602559</v>
      </c>
      <c r="F47" s="99">
        <f t="shared" si="1"/>
        <v>8241035.1253369022</v>
      </c>
      <c r="G47" s="99">
        <f>IF(C47&gt;'Stress Test Inputs'!$B$23*12,0,D47*B47/12)</f>
        <v>34672.124681981273</v>
      </c>
      <c r="H47" s="99">
        <f t="shared" si="0"/>
        <v>45602.673656621286</v>
      </c>
      <c r="I47" s="99">
        <f t="shared" si="3"/>
        <v>8275707.2500188835</v>
      </c>
      <c r="J47" s="98"/>
    </row>
    <row r="48" spans="1:10" x14ac:dyDescent="0.25">
      <c r="A48" s="77" t="b">
        <f>IF(('Stress Test Inputs'!$C$23)="FRM", FALSE, ISNUMBER(MATCH(C48,'Stress Test Inputs'!$M$18:$M$30,0)))</f>
        <v>0</v>
      </c>
      <c r="B48" s="103">
        <f>IF($A48, _xlfn.XLOOKUP(C48,'Stress Test Inputs'!$M$17:$M$29,'Stress Test Inputs'!$N$17:$N$29),$B47)</f>
        <v>0.05</v>
      </c>
      <c r="C48" s="101">
        <f t="shared" si="2"/>
        <v>46</v>
      </c>
      <c r="D48" s="99">
        <f t="shared" si="4"/>
        <v>8275707.2500188835</v>
      </c>
      <c r="E48" s="99">
        <f>IF(OR(D48&lt;=0,C48&gt;'Stress Test Inputs'!$B$23*12),0,IF(AND(C48='Stress Test Inputs'!$B$23*12,'Stress Test Inputs'!$E$23&gt;'Stress Test Inputs'!$B$23),D48+D48*B48/12,IF('Stress Test Inputs'!$C$23="FRM",-PMT($B$3/12,'Stress Test Inputs'!$E$23*12,$D$3),IF($A48,-PMT(B48/12,('Stress Test Inputs'!$E$23*12)-C48+1,D48),E47))))</f>
        <v>80274.798338602559</v>
      </c>
      <c r="F48" s="99">
        <f t="shared" si="1"/>
        <v>8195432.4516802812</v>
      </c>
      <c r="G48" s="99">
        <f>IF(C48&gt;'Stress Test Inputs'!$B$23*12,0,D48*B48/12)</f>
        <v>34482.113541745348</v>
      </c>
      <c r="H48" s="99">
        <f t="shared" si="0"/>
        <v>45792.684796857211</v>
      </c>
      <c r="I48" s="99">
        <f t="shared" si="3"/>
        <v>8229914.5652220258</v>
      </c>
      <c r="J48" s="98"/>
    </row>
    <row r="49" spans="1:10" x14ac:dyDescent="0.25">
      <c r="A49" s="77" t="b">
        <f>IF(('Stress Test Inputs'!$C$23)="FRM", FALSE, ISNUMBER(MATCH(C49,'Stress Test Inputs'!$M$18:$M$30,0)))</f>
        <v>0</v>
      </c>
      <c r="B49" s="103">
        <f>IF($A49, _xlfn.XLOOKUP(C49,'Stress Test Inputs'!$M$17:$M$29,'Stress Test Inputs'!$N$17:$N$29),$B48)</f>
        <v>0.05</v>
      </c>
      <c r="C49" s="101">
        <f t="shared" si="2"/>
        <v>47</v>
      </c>
      <c r="D49" s="99">
        <f t="shared" si="4"/>
        <v>8229914.5652220258</v>
      </c>
      <c r="E49" s="99">
        <f>IF(OR(D49&lt;=0,C49&gt;'Stress Test Inputs'!$B$23*12),0,IF(AND(C49='Stress Test Inputs'!$B$23*12,'Stress Test Inputs'!$E$23&gt;'Stress Test Inputs'!$B$23),D49+D49*B49/12,IF('Stress Test Inputs'!$C$23="FRM",-PMT($B$3/12,'Stress Test Inputs'!$E$23*12,$D$3),IF($A49,-PMT(B49/12,('Stress Test Inputs'!$E$23*12)-C49+1,D49),E48))))</f>
        <v>80274.798338602559</v>
      </c>
      <c r="F49" s="99">
        <f t="shared" si="1"/>
        <v>8149639.7668834236</v>
      </c>
      <c r="G49" s="99">
        <f>IF(C49&gt;'Stress Test Inputs'!$B$23*12,0,D49*B49/12)</f>
        <v>34291.31068842511</v>
      </c>
      <c r="H49" s="99">
        <f t="shared" si="0"/>
        <v>45983.487650177449</v>
      </c>
      <c r="I49" s="99">
        <f t="shared" si="3"/>
        <v>8183931.0775718484</v>
      </c>
      <c r="J49" s="98"/>
    </row>
    <row r="50" spans="1:10" x14ac:dyDescent="0.25">
      <c r="A50" s="77" t="b">
        <f>IF(('Stress Test Inputs'!$C$23)="FRM", FALSE, ISNUMBER(MATCH(C50,'Stress Test Inputs'!$M$18:$M$30,0)))</f>
        <v>0</v>
      </c>
      <c r="B50" s="103">
        <f>IF($A50, _xlfn.XLOOKUP(C50,'Stress Test Inputs'!$M$17:$M$29,'Stress Test Inputs'!$N$17:$N$29),$B49)</f>
        <v>0.05</v>
      </c>
      <c r="C50" s="101">
        <f t="shared" si="2"/>
        <v>48</v>
      </c>
      <c r="D50" s="99">
        <f t="shared" si="4"/>
        <v>8183931.0775718484</v>
      </c>
      <c r="E50" s="99">
        <f>IF(OR(D50&lt;=0,C50&gt;'Stress Test Inputs'!$B$23*12),0,IF(AND(C50='Stress Test Inputs'!$B$23*12,'Stress Test Inputs'!$E$23&gt;'Stress Test Inputs'!$B$23),D50+D50*B50/12,IF('Stress Test Inputs'!$C$23="FRM",-PMT($B$3/12,'Stress Test Inputs'!$E$23*12,$D$3),IF($A50,-PMT(B50/12,('Stress Test Inputs'!$E$23*12)-C50+1,D50),E49))))</f>
        <v>80274.798338602559</v>
      </c>
      <c r="F50" s="99">
        <f t="shared" si="1"/>
        <v>8103656.2792332461</v>
      </c>
      <c r="G50" s="99">
        <f>IF(C50&gt;'Stress Test Inputs'!$B$23*12,0,D50*B50/12)</f>
        <v>34099.712823216039</v>
      </c>
      <c r="H50" s="99">
        <f t="shared" si="0"/>
        <v>46175.08551538652</v>
      </c>
      <c r="I50" s="99">
        <f t="shared" si="3"/>
        <v>8137755.992056462</v>
      </c>
      <c r="J50" s="98"/>
    </row>
    <row r="51" spans="1:10" x14ac:dyDescent="0.25">
      <c r="A51" s="77" t="b">
        <f>IF(('Stress Test Inputs'!$C$23)="FRM", FALSE, ISNUMBER(MATCH(C51,'Stress Test Inputs'!$M$18:$M$30,0)))</f>
        <v>0</v>
      </c>
      <c r="B51" s="103">
        <f>IF($A51, _xlfn.XLOOKUP(C51,'Stress Test Inputs'!$M$17:$M$29,'Stress Test Inputs'!$N$17:$N$29),$B50)</f>
        <v>0.05</v>
      </c>
      <c r="C51" s="101">
        <f t="shared" si="2"/>
        <v>49</v>
      </c>
      <c r="D51" s="99">
        <f t="shared" si="4"/>
        <v>8137755.992056462</v>
      </c>
      <c r="E51" s="99">
        <f>IF(OR(D51&lt;=0,C51&gt;'Stress Test Inputs'!$B$23*12),0,IF(AND(C51='Stress Test Inputs'!$B$23*12,'Stress Test Inputs'!$E$23&gt;'Stress Test Inputs'!$B$23),D51+D51*B51/12,IF('Stress Test Inputs'!$C$23="FRM",-PMT($B$3/12,'Stress Test Inputs'!$E$23*12,$D$3),IF($A51,-PMT(B51/12,('Stress Test Inputs'!$E$23*12)-C51+1,D51),E50))))</f>
        <v>80274.798338602559</v>
      </c>
      <c r="F51" s="99">
        <f t="shared" si="1"/>
        <v>8057481.1937178597</v>
      </c>
      <c r="G51" s="99">
        <f>IF(C51&gt;'Stress Test Inputs'!$B$23*12,0,D51*B51/12)</f>
        <v>33907.316633568589</v>
      </c>
      <c r="H51" s="99">
        <f t="shared" si="0"/>
        <v>46367.48170503397</v>
      </c>
      <c r="I51" s="99">
        <f t="shared" si="3"/>
        <v>8091388.5103514278</v>
      </c>
      <c r="J51" s="98"/>
    </row>
    <row r="52" spans="1:10" x14ac:dyDescent="0.25">
      <c r="A52" s="77" t="b">
        <f>IF(('Stress Test Inputs'!$C$23)="FRM", FALSE, ISNUMBER(MATCH(C52,'Stress Test Inputs'!$M$18:$M$30,0)))</f>
        <v>0</v>
      </c>
      <c r="B52" s="103">
        <f>IF($A52, _xlfn.XLOOKUP(C52,'Stress Test Inputs'!$M$17:$M$29,'Stress Test Inputs'!$N$17:$N$29),$B51)</f>
        <v>0.05</v>
      </c>
      <c r="C52" s="101">
        <f t="shared" si="2"/>
        <v>50</v>
      </c>
      <c r="D52" s="99">
        <f t="shared" si="4"/>
        <v>8091388.5103514278</v>
      </c>
      <c r="E52" s="99">
        <f>IF(OR(D52&lt;=0,C52&gt;'Stress Test Inputs'!$B$23*12),0,IF(AND(C52='Stress Test Inputs'!$B$23*12,'Stress Test Inputs'!$E$23&gt;'Stress Test Inputs'!$B$23),D52+D52*B52/12,IF('Stress Test Inputs'!$C$23="FRM",-PMT($B$3/12,'Stress Test Inputs'!$E$23*12,$D$3),IF($A52,-PMT(B52/12,('Stress Test Inputs'!$E$23*12)-C52+1,D52),E51))))</f>
        <v>80274.798338602559</v>
      </c>
      <c r="F52" s="99">
        <f t="shared" si="1"/>
        <v>8011113.7120128255</v>
      </c>
      <c r="G52" s="99">
        <f>IF(C52&gt;'Stress Test Inputs'!$B$23*12,0,D52*B52/12)</f>
        <v>33714.118793130947</v>
      </c>
      <c r="H52" s="99">
        <f t="shared" si="0"/>
        <v>46560.679545471612</v>
      </c>
      <c r="I52" s="99">
        <f t="shared" si="3"/>
        <v>8044827.8308059564</v>
      </c>
      <c r="J52" s="98"/>
    </row>
    <row r="53" spans="1:10" x14ac:dyDescent="0.25">
      <c r="A53" s="77" t="b">
        <f>IF(('Stress Test Inputs'!$C$23)="FRM", FALSE, ISNUMBER(MATCH(C53,'Stress Test Inputs'!$M$18:$M$30,0)))</f>
        <v>0</v>
      </c>
      <c r="B53" s="103">
        <f>IF($A53, _xlfn.XLOOKUP(C53,'Stress Test Inputs'!$M$17:$M$29,'Stress Test Inputs'!$N$17:$N$29),$B52)</f>
        <v>0.05</v>
      </c>
      <c r="C53" s="101">
        <f t="shared" si="2"/>
        <v>51</v>
      </c>
      <c r="D53" s="99">
        <f t="shared" si="4"/>
        <v>8044827.8308059564</v>
      </c>
      <c r="E53" s="99">
        <f>IF(OR(D53&lt;=0,C53&gt;'Stress Test Inputs'!$B$23*12),0,IF(AND(C53='Stress Test Inputs'!$B$23*12,'Stress Test Inputs'!$E$23&gt;'Stress Test Inputs'!$B$23),D53+D53*B53/12,IF('Stress Test Inputs'!$C$23="FRM",-PMT($B$3/12,'Stress Test Inputs'!$E$23*12,$D$3),IF($A53,-PMT(B53/12,('Stress Test Inputs'!$E$23*12)-C53+1,D53),E52))))</f>
        <v>80274.798338602559</v>
      </c>
      <c r="F53" s="99">
        <f t="shared" si="1"/>
        <v>7964553.0324673541</v>
      </c>
      <c r="G53" s="99">
        <f>IF(C53&gt;'Stress Test Inputs'!$B$23*12,0,D53*B53/12)</f>
        <v>33520.115961691488</v>
      </c>
      <c r="H53" s="99">
        <f t="shared" si="0"/>
        <v>46754.682376911071</v>
      </c>
      <c r="I53" s="99">
        <f t="shared" si="3"/>
        <v>7998073.1484290455</v>
      </c>
      <c r="J53" s="98"/>
    </row>
    <row r="54" spans="1:10" x14ac:dyDescent="0.25">
      <c r="A54" s="77" t="b">
        <f>IF(('Stress Test Inputs'!$C$23)="FRM", FALSE, ISNUMBER(MATCH(C54,'Stress Test Inputs'!$M$18:$M$30,0)))</f>
        <v>0</v>
      </c>
      <c r="B54" s="103">
        <f>IF($A54, _xlfn.XLOOKUP(C54,'Stress Test Inputs'!$M$17:$M$29,'Stress Test Inputs'!$N$17:$N$29),$B53)</f>
        <v>0.05</v>
      </c>
      <c r="C54" s="101">
        <f t="shared" si="2"/>
        <v>52</v>
      </c>
      <c r="D54" s="99">
        <f t="shared" si="4"/>
        <v>7998073.1484290455</v>
      </c>
      <c r="E54" s="99">
        <f>IF(OR(D54&lt;=0,C54&gt;'Stress Test Inputs'!$B$23*12),0,IF(AND(C54='Stress Test Inputs'!$B$23*12,'Stress Test Inputs'!$E$23&gt;'Stress Test Inputs'!$B$23),D54+D54*B54/12,IF('Stress Test Inputs'!$C$23="FRM",-PMT($B$3/12,'Stress Test Inputs'!$E$23*12,$D$3),IF($A54,-PMT(B54/12,('Stress Test Inputs'!$E$23*12)-C54+1,D54),E53))))</f>
        <v>80274.798338602559</v>
      </c>
      <c r="F54" s="99">
        <f t="shared" si="1"/>
        <v>7917798.3500904432</v>
      </c>
      <c r="G54" s="99">
        <f>IF(C54&gt;'Stress Test Inputs'!$B$23*12,0,D54*B54/12)</f>
        <v>33325.304785121021</v>
      </c>
      <c r="H54" s="99">
        <f t="shared" si="0"/>
        <v>46949.493553481538</v>
      </c>
      <c r="I54" s="99">
        <f t="shared" si="3"/>
        <v>7951123.6548755635</v>
      </c>
      <c r="J54" s="98"/>
    </row>
    <row r="55" spans="1:10" x14ac:dyDescent="0.25">
      <c r="A55" s="77" t="b">
        <f>IF(('Stress Test Inputs'!$C$23)="FRM", FALSE, ISNUMBER(MATCH(C55,'Stress Test Inputs'!$M$18:$M$30,0)))</f>
        <v>0</v>
      </c>
      <c r="B55" s="103">
        <f>IF($A55, _xlfn.XLOOKUP(C55,'Stress Test Inputs'!$M$17:$M$29,'Stress Test Inputs'!$N$17:$N$29),$B54)</f>
        <v>0.05</v>
      </c>
      <c r="C55" s="101">
        <f t="shared" si="2"/>
        <v>53</v>
      </c>
      <c r="D55" s="99">
        <f t="shared" si="4"/>
        <v>7951123.6548755635</v>
      </c>
      <c r="E55" s="99">
        <f>IF(OR(D55&lt;=0,C55&gt;'Stress Test Inputs'!$B$23*12),0,IF(AND(C55='Stress Test Inputs'!$B$23*12,'Stress Test Inputs'!$E$23&gt;'Stress Test Inputs'!$B$23),D55+D55*B55/12,IF('Stress Test Inputs'!$C$23="FRM",-PMT($B$3/12,'Stress Test Inputs'!$E$23*12,$D$3),IF($A55,-PMT(B55/12,('Stress Test Inputs'!$E$23*12)-C55+1,D55),E54))))</f>
        <v>80274.798338602559</v>
      </c>
      <c r="F55" s="99">
        <f t="shared" si="1"/>
        <v>7870848.8565369612</v>
      </c>
      <c r="G55" s="99">
        <f>IF(C55&gt;'Stress Test Inputs'!$B$23*12,0,D55*B55/12)</f>
        <v>33129.681895314854</v>
      </c>
      <c r="H55" s="99">
        <f t="shared" si="0"/>
        <v>47145.116443287705</v>
      </c>
      <c r="I55" s="99">
        <f t="shared" si="3"/>
        <v>7903978.5384322759</v>
      </c>
      <c r="J55" s="98"/>
    </row>
    <row r="56" spans="1:10" x14ac:dyDescent="0.25">
      <c r="A56" s="77" t="b">
        <f>IF(('Stress Test Inputs'!$C$23)="FRM", FALSE, ISNUMBER(MATCH(C56,'Stress Test Inputs'!$M$18:$M$30,0)))</f>
        <v>0</v>
      </c>
      <c r="B56" s="103">
        <f>IF($A56, _xlfn.XLOOKUP(C56,'Stress Test Inputs'!$M$17:$M$29,'Stress Test Inputs'!$N$17:$N$29),$B55)</f>
        <v>0.05</v>
      </c>
      <c r="C56" s="101">
        <f t="shared" si="2"/>
        <v>54</v>
      </c>
      <c r="D56" s="99">
        <f t="shared" si="4"/>
        <v>7903978.5384322759</v>
      </c>
      <c r="E56" s="99">
        <f>IF(OR(D56&lt;=0,C56&gt;'Stress Test Inputs'!$B$23*12),0,IF(AND(C56='Stress Test Inputs'!$B$23*12,'Stress Test Inputs'!$E$23&gt;'Stress Test Inputs'!$B$23),D56+D56*B56/12,IF('Stress Test Inputs'!$C$23="FRM",-PMT($B$3/12,'Stress Test Inputs'!$E$23*12,$D$3),IF($A56,-PMT(B56/12,('Stress Test Inputs'!$E$23*12)-C56+1,D56),E55))))</f>
        <v>80274.798338602559</v>
      </c>
      <c r="F56" s="99">
        <f t="shared" si="1"/>
        <v>7823703.7400936736</v>
      </c>
      <c r="G56" s="99">
        <f>IF(C56&gt;'Stress Test Inputs'!$B$23*12,0,D56*B56/12)</f>
        <v>32933.243910134486</v>
      </c>
      <c r="H56" s="99">
        <f t="shared" si="0"/>
        <v>47341.554428468073</v>
      </c>
      <c r="I56" s="99">
        <f t="shared" si="3"/>
        <v>7856636.9840038074</v>
      </c>
      <c r="J56" s="98"/>
    </row>
    <row r="57" spans="1:10" x14ac:dyDescent="0.25">
      <c r="A57" s="77" t="b">
        <f>IF(('Stress Test Inputs'!$C$23)="FRM", FALSE, ISNUMBER(MATCH(C57,'Stress Test Inputs'!$M$18:$M$30,0)))</f>
        <v>0</v>
      </c>
      <c r="B57" s="103">
        <f>IF($A57, _xlfn.XLOOKUP(C57,'Stress Test Inputs'!$M$17:$M$29,'Stress Test Inputs'!$N$17:$N$29),$B56)</f>
        <v>0.05</v>
      </c>
      <c r="C57" s="101">
        <f t="shared" si="2"/>
        <v>55</v>
      </c>
      <c r="D57" s="99">
        <f t="shared" si="4"/>
        <v>7856636.9840038074</v>
      </c>
      <c r="E57" s="99">
        <f>IF(OR(D57&lt;=0,C57&gt;'Stress Test Inputs'!$B$23*12),0,IF(AND(C57='Stress Test Inputs'!$B$23*12,'Stress Test Inputs'!$E$23&gt;'Stress Test Inputs'!$B$23),D57+D57*B57/12,IF('Stress Test Inputs'!$C$23="FRM",-PMT($B$3/12,'Stress Test Inputs'!$E$23*12,$D$3),IF($A57,-PMT(B57/12,('Stress Test Inputs'!$E$23*12)-C57+1,D57),E56))))</f>
        <v>80274.798338602559</v>
      </c>
      <c r="F57" s="99">
        <f t="shared" si="1"/>
        <v>7776362.1856652051</v>
      </c>
      <c r="G57" s="99">
        <f>IF(C57&gt;'Stress Test Inputs'!$B$23*12,0,D57*B57/12)</f>
        <v>32735.987433349201</v>
      </c>
      <c r="H57" s="99">
        <f t="shared" si="0"/>
        <v>47538.810905253355</v>
      </c>
      <c r="I57" s="99">
        <f t="shared" si="3"/>
        <v>7809098.1730985539</v>
      </c>
      <c r="J57" s="98"/>
    </row>
    <row r="58" spans="1:10" x14ac:dyDescent="0.25">
      <c r="A58" s="77" t="b">
        <f>IF(('Stress Test Inputs'!$C$23)="FRM", FALSE, ISNUMBER(MATCH(C58,'Stress Test Inputs'!$M$18:$M$30,0)))</f>
        <v>0</v>
      </c>
      <c r="B58" s="103">
        <f>IF($A58, _xlfn.XLOOKUP(C58,'Stress Test Inputs'!$M$17:$M$29,'Stress Test Inputs'!$N$17:$N$29),$B57)</f>
        <v>0.05</v>
      </c>
      <c r="C58" s="101">
        <f t="shared" si="2"/>
        <v>56</v>
      </c>
      <c r="D58" s="99">
        <f t="shared" si="4"/>
        <v>7809098.1730985539</v>
      </c>
      <c r="E58" s="99">
        <f>IF(OR(D58&lt;=0,C58&gt;'Stress Test Inputs'!$B$23*12),0,IF(AND(C58='Stress Test Inputs'!$B$23*12,'Stress Test Inputs'!$E$23&gt;'Stress Test Inputs'!$B$23),D58+D58*B58/12,IF('Stress Test Inputs'!$C$23="FRM",-PMT($B$3/12,'Stress Test Inputs'!$E$23*12,$D$3),IF($A58,-PMT(B58/12,('Stress Test Inputs'!$E$23*12)-C58+1,D58),E57))))</f>
        <v>80274.798338602559</v>
      </c>
      <c r="F58" s="99">
        <f t="shared" si="1"/>
        <v>7728823.3747599516</v>
      </c>
      <c r="G58" s="99">
        <f>IF(C58&gt;'Stress Test Inputs'!$B$23*12,0,D58*B58/12)</f>
        <v>32537.909054577311</v>
      </c>
      <c r="H58" s="99">
        <f t="shared" si="0"/>
        <v>47736.889284025252</v>
      </c>
      <c r="I58" s="99">
        <f t="shared" si="3"/>
        <v>7761361.283814529</v>
      </c>
      <c r="J58" s="98"/>
    </row>
    <row r="59" spans="1:10" x14ac:dyDescent="0.25">
      <c r="A59" s="77" t="b">
        <f>IF(('Stress Test Inputs'!$C$23)="FRM", FALSE, ISNUMBER(MATCH(C59,'Stress Test Inputs'!$M$18:$M$30,0)))</f>
        <v>0</v>
      </c>
      <c r="B59" s="103">
        <f>IF($A59, _xlfn.XLOOKUP(C59,'Stress Test Inputs'!$M$17:$M$29,'Stress Test Inputs'!$N$17:$N$29),$B58)</f>
        <v>0.05</v>
      </c>
      <c r="C59" s="101">
        <f t="shared" si="2"/>
        <v>57</v>
      </c>
      <c r="D59" s="99">
        <f t="shared" si="4"/>
        <v>7761361.283814529</v>
      </c>
      <c r="E59" s="99">
        <f>IF(OR(D59&lt;=0,C59&gt;'Stress Test Inputs'!$B$23*12),0,IF(AND(C59='Stress Test Inputs'!$B$23*12,'Stress Test Inputs'!$E$23&gt;'Stress Test Inputs'!$B$23),D59+D59*B59/12,IF('Stress Test Inputs'!$C$23="FRM",-PMT($B$3/12,'Stress Test Inputs'!$E$23*12,$D$3),IF($A59,-PMT(B59/12,('Stress Test Inputs'!$E$23*12)-C59+1,D59),E58))))</f>
        <v>80274.798338602559</v>
      </c>
      <c r="F59" s="99">
        <f t="shared" si="1"/>
        <v>7681086.4854759267</v>
      </c>
      <c r="G59" s="99">
        <f>IF(C59&gt;'Stress Test Inputs'!$B$23*12,0,D59*B59/12)</f>
        <v>32339.005349227209</v>
      </c>
      <c r="H59" s="99">
        <f t="shared" si="0"/>
        <v>47935.792989375346</v>
      </c>
      <c r="I59" s="99">
        <f t="shared" si="3"/>
        <v>7713425.4908251539</v>
      </c>
      <c r="J59" s="98"/>
    </row>
    <row r="60" spans="1:10" x14ac:dyDescent="0.25">
      <c r="A60" s="77" t="b">
        <f>IF(('Stress Test Inputs'!$C$23)="FRM", FALSE, ISNUMBER(MATCH(C60,'Stress Test Inputs'!$M$18:$M$30,0)))</f>
        <v>0</v>
      </c>
      <c r="B60" s="103">
        <f>IF($A60, _xlfn.XLOOKUP(C60,'Stress Test Inputs'!$M$17:$M$29,'Stress Test Inputs'!$N$17:$N$29),$B59)</f>
        <v>0.05</v>
      </c>
      <c r="C60" s="101">
        <f t="shared" si="2"/>
        <v>58</v>
      </c>
      <c r="D60" s="99">
        <f t="shared" si="4"/>
        <v>7713425.4908251539</v>
      </c>
      <c r="E60" s="99">
        <f>IF(OR(D60&lt;=0,C60&gt;'Stress Test Inputs'!$B$23*12),0,IF(AND(C60='Stress Test Inputs'!$B$23*12,'Stress Test Inputs'!$E$23&gt;'Stress Test Inputs'!$B$23),D60+D60*B60/12,IF('Stress Test Inputs'!$C$23="FRM",-PMT($B$3/12,'Stress Test Inputs'!$E$23*12,$D$3),IF($A60,-PMT(B60/12,('Stress Test Inputs'!$E$23*12)-C60+1,D60),E59))))</f>
        <v>80274.798338602559</v>
      </c>
      <c r="F60" s="99">
        <f t="shared" si="1"/>
        <v>7633150.6924865516</v>
      </c>
      <c r="G60" s="99">
        <f>IF(C60&gt;'Stress Test Inputs'!$B$23*12,0,D60*B60/12)</f>
        <v>32139.272878438143</v>
      </c>
      <c r="H60" s="99">
        <f t="shared" si="0"/>
        <v>48135.525460164412</v>
      </c>
      <c r="I60" s="99">
        <f t="shared" si="3"/>
        <v>7665289.9653649898</v>
      </c>
      <c r="J60" s="98"/>
    </row>
    <row r="61" spans="1:10" x14ac:dyDescent="0.25">
      <c r="A61" s="77" t="b">
        <f>IF(('Stress Test Inputs'!$C$23)="FRM", FALSE, ISNUMBER(MATCH(C61,'Stress Test Inputs'!$M$18:$M$30,0)))</f>
        <v>0</v>
      </c>
      <c r="B61" s="103">
        <f>IF($A61, _xlfn.XLOOKUP(C61,'Stress Test Inputs'!$M$17:$M$29,'Stress Test Inputs'!$N$17:$N$29),$B60)</f>
        <v>0.05</v>
      </c>
      <c r="C61" s="101">
        <f t="shared" si="2"/>
        <v>59</v>
      </c>
      <c r="D61" s="99">
        <f t="shared" si="4"/>
        <v>7665289.9653649898</v>
      </c>
      <c r="E61" s="99">
        <f>IF(OR(D61&lt;=0,C61&gt;'Stress Test Inputs'!$B$23*12),0,IF(AND(C61='Stress Test Inputs'!$B$23*12,'Stress Test Inputs'!$E$23&gt;'Stress Test Inputs'!$B$23),D61+D61*B61/12,IF('Stress Test Inputs'!$C$23="FRM",-PMT($B$3/12,'Stress Test Inputs'!$E$23*12,$D$3),IF($A61,-PMT(B61/12,('Stress Test Inputs'!$E$23*12)-C61+1,D61),E60))))</f>
        <v>80274.798338602559</v>
      </c>
      <c r="F61" s="99">
        <f t="shared" si="1"/>
        <v>7585015.1670263875</v>
      </c>
      <c r="G61" s="99">
        <f>IF(C61&gt;'Stress Test Inputs'!$B$23*12,0,D61*B61/12)</f>
        <v>31938.708189020792</v>
      </c>
      <c r="H61" s="99">
        <f t="shared" si="0"/>
        <v>48336.090149581767</v>
      </c>
      <c r="I61" s="99">
        <f t="shared" si="3"/>
        <v>7616953.8752154084</v>
      </c>
      <c r="J61" s="98"/>
    </row>
    <row r="62" spans="1:10" x14ac:dyDescent="0.25">
      <c r="A62" s="77" t="b">
        <f>IF(('Stress Test Inputs'!$C$23)="FRM", FALSE, ISNUMBER(MATCH(C62,'Stress Test Inputs'!$M$18:$M$30,0)))</f>
        <v>0</v>
      </c>
      <c r="B62" s="103">
        <f>IF($A62, _xlfn.XLOOKUP(C62,'Stress Test Inputs'!$M$17:$M$29,'Stress Test Inputs'!$N$17:$N$29),$B61)</f>
        <v>0.05</v>
      </c>
      <c r="C62" s="101">
        <f t="shared" si="2"/>
        <v>60</v>
      </c>
      <c r="D62" s="99">
        <f t="shared" si="4"/>
        <v>7616953.8752154084</v>
      </c>
      <c r="E62" s="99">
        <f>IF(OR(D62&lt;=0,C62&gt;'Stress Test Inputs'!$B$23*12),0,IF(AND(C62='Stress Test Inputs'!$B$23*12,'Stress Test Inputs'!$E$23&gt;'Stress Test Inputs'!$B$23),D62+D62*B62/12,IF('Stress Test Inputs'!$C$23="FRM",-PMT($B$3/12,'Stress Test Inputs'!$E$23*12,$D$3),IF($A62,-PMT(B62/12,('Stress Test Inputs'!$E$23*12)-C62+1,D62),E61))))</f>
        <v>80274.798338602559</v>
      </c>
      <c r="F62" s="99">
        <f t="shared" si="1"/>
        <v>7536679.0768768061</v>
      </c>
      <c r="G62" s="99">
        <f>IF(C62&gt;'Stress Test Inputs'!$B$23*12,0,D62*B62/12)</f>
        <v>31737.307813397536</v>
      </c>
      <c r="H62" s="99">
        <f t="shared" si="0"/>
        <v>48537.490525205023</v>
      </c>
      <c r="I62" s="99">
        <f t="shared" si="3"/>
        <v>7568416.3846902037</v>
      </c>
      <c r="J62" s="98"/>
    </row>
    <row r="63" spans="1:10" x14ac:dyDescent="0.25">
      <c r="A63" s="77" t="b">
        <f>IF(('Stress Test Inputs'!$C$23)="FRM", FALSE, ISNUMBER(MATCH(C63,'Stress Test Inputs'!$M$18:$M$30,0)))</f>
        <v>0</v>
      </c>
      <c r="B63" s="103">
        <f>IF($A63, _xlfn.XLOOKUP(C63,'Stress Test Inputs'!$M$17:$M$29,'Stress Test Inputs'!$N$17:$N$29),$B62)</f>
        <v>0.05</v>
      </c>
      <c r="C63" s="101">
        <f t="shared" si="2"/>
        <v>61</v>
      </c>
      <c r="D63" s="99">
        <f t="shared" si="4"/>
        <v>7568416.3846902037</v>
      </c>
      <c r="E63" s="99">
        <f>IF(OR(D63&lt;=0,C63&gt;'Stress Test Inputs'!$B$23*12),0,IF(AND(C63='Stress Test Inputs'!$B$23*12,'Stress Test Inputs'!$E$23&gt;'Stress Test Inputs'!$B$23),D63+D63*B63/12,IF('Stress Test Inputs'!$C$23="FRM",-PMT($B$3/12,'Stress Test Inputs'!$E$23*12,$D$3),IF($A63,-PMT(B63/12,('Stress Test Inputs'!$E$23*12)-C63+1,D63),E62))))</f>
        <v>80274.798338602559</v>
      </c>
      <c r="F63" s="99">
        <f t="shared" si="1"/>
        <v>7488141.5863516014</v>
      </c>
      <c r="G63" s="99">
        <f>IF(C63&gt;'Stress Test Inputs'!$B$23*12,0,D63*B63/12)</f>
        <v>31535.068269542517</v>
      </c>
      <c r="H63" s="99">
        <f t="shared" si="0"/>
        <v>48739.730069060039</v>
      </c>
      <c r="I63" s="99">
        <f t="shared" si="3"/>
        <v>7519676.6546211438</v>
      </c>
      <c r="J63" s="98"/>
    </row>
    <row r="64" spans="1:10" x14ac:dyDescent="0.25">
      <c r="A64" s="77" t="b">
        <f>IF(('Stress Test Inputs'!$C$23)="FRM", FALSE, ISNUMBER(MATCH(C64,'Stress Test Inputs'!$M$18:$M$30,0)))</f>
        <v>0</v>
      </c>
      <c r="B64" s="103">
        <f>IF($A64, _xlfn.XLOOKUP(C64,'Stress Test Inputs'!$M$17:$M$29,'Stress Test Inputs'!$N$17:$N$29),$B63)</f>
        <v>0.05</v>
      </c>
      <c r="C64" s="101">
        <f t="shared" si="2"/>
        <v>62</v>
      </c>
      <c r="D64" s="99">
        <f t="shared" si="4"/>
        <v>7519676.6546211438</v>
      </c>
      <c r="E64" s="99">
        <f>IF(OR(D64&lt;=0,C64&gt;'Stress Test Inputs'!$B$23*12),0,IF(AND(C64='Stress Test Inputs'!$B$23*12,'Stress Test Inputs'!$E$23&gt;'Stress Test Inputs'!$B$23),D64+D64*B64/12,IF('Stress Test Inputs'!$C$23="FRM",-PMT($B$3/12,'Stress Test Inputs'!$E$23*12,$D$3),IF($A64,-PMT(B64/12,('Stress Test Inputs'!$E$23*12)-C64+1,D64),E63))))</f>
        <v>80274.798338602559</v>
      </c>
      <c r="F64" s="99">
        <f t="shared" si="1"/>
        <v>7439401.8562825415</v>
      </c>
      <c r="G64" s="99">
        <f>IF(C64&gt;'Stress Test Inputs'!$B$23*12,0,D64*B64/12)</f>
        <v>31331.986060921434</v>
      </c>
      <c r="H64" s="99">
        <f t="shared" si="0"/>
        <v>48942.812277681121</v>
      </c>
      <c r="I64" s="99">
        <f t="shared" si="3"/>
        <v>7470733.8423434626</v>
      </c>
      <c r="J64" s="98"/>
    </row>
    <row r="65" spans="1:10" x14ac:dyDescent="0.25">
      <c r="A65" s="77" t="b">
        <f>IF(('Stress Test Inputs'!$C$23)="FRM", FALSE, ISNUMBER(MATCH(C65,'Stress Test Inputs'!$M$18:$M$30,0)))</f>
        <v>0</v>
      </c>
      <c r="B65" s="103">
        <f>IF($A65, _xlfn.XLOOKUP(C65,'Stress Test Inputs'!$M$17:$M$29,'Stress Test Inputs'!$N$17:$N$29),$B64)</f>
        <v>0.05</v>
      </c>
      <c r="C65" s="101">
        <f t="shared" si="2"/>
        <v>63</v>
      </c>
      <c r="D65" s="99">
        <f t="shared" si="4"/>
        <v>7470733.8423434626</v>
      </c>
      <c r="E65" s="99">
        <f>IF(OR(D65&lt;=0,C65&gt;'Stress Test Inputs'!$B$23*12),0,IF(AND(C65='Stress Test Inputs'!$B$23*12,'Stress Test Inputs'!$E$23&gt;'Stress Test Inputs'!$B$23),D65+D65*B65/12,IF('Stress Test Inputs'!$C$23="FRM",-PMT($B$3/12,'Stress Test Inputs'!$E$23*12,$D$3),IF($A65,-PMT(B65/12,('Stress Test Inputs'!$E$23*12)-C65+1,D65),E64))))</f>
        <v>80274.798338602559</v>
      </c>
      <c r="F65" s="99">
        <f t="shared" si="1"/>
        <v>7390459.0440048603</v>
      </c>
      <c r="G65" s="99">
        <f>IF(C65&gt;'Stress Test Inputs'!$B$23*12,0,D65*B65/12)</f>
        <v>31128.057676431097</v>
      </c>
      <c r="H65" s="99">
        <f t="shared" si="0"/>
        <v>49146.740662171462</v>
      </c>
      <c r="I65" s="99">
        <f t="shared" si="3"/>
        <v>7421587.1016812911</v>
      </c>
      <c r="J65" s="98"/>
    </row>
    <row r="66" spans="1:10" x14ac:dyDescent="0.25">
      <c r="A66" s="77" t="b">
        <f>IF(('Stress Test Inputs'!$C$23)="FRM", FALSE, ISNUMBER(MATCH(C66,'Stress Test Inputs'!$M$18:$M$30,0)))</f>
        <v>0</v>
      </c>
      <c r="B66" s="103">
        <f>IF($A66, _xlfn.XLOOKUP(C66,'Stress Test Inputs'!$M$17:$M$29,'Stress Test Inputs'!$N$17:$N$29),$B65)</f>
        <v>0.05</v>
      </c>
      <c r="C66" s="101">
        <f t="shared" si="2"/>
        <v>64</v>
      </c>
      <c r="D66" s="99">
        <f t="shared" si="4"/>
        <v>7421587.1016812911</v>
      </c>
      <c r="E66" s="99">
        <f>IF(OR(D66&lt;=0,C66&gt;'Stress Test Inputs'!$B$23*12),0,IF(AND(C66='Stress Test Inputs'!$B$23*12,'Stress Test Inputs'!$E$23&gt;'Stress Test Inputs'!$B$23),D66+D66*B66/12,IF('Stress Test Inputs'!$C$23="FRM",-PMT($B$3/12,'Stress Test Inputs'!$E$23*12,$D$3),IF($A66,-PMT(B66/12,('Stress Test Inputs'!$E$23*12)-C66+1,D66),E65))))</f>
        <v>80274.798338602559</v>
      </c>
      <c r="F66" s="99">
        <f t="shared" si="1"/>
        <v>7341312.3033426888</v>
      </c>
      <c r="G66" s="99">
        <f>IF(C66&gt;'Stress Test Inputs'!$B$23*12,0,D66*B66/12)</f>
        <v>30923.279590338716</v>
      </c>
      <c r="H66" s="99">
        <f t="shared" si="0"/>
        <v>49351.518748263843</v>
      </c>
      <c r="I66" s="99">
        <f t="shared" si="3"/>
        <v>7372235.5829330273</v>
      </c>
      <c r="J66" s="98"/>
    </row>
    <row r="67" spans="1:10" x14ac:dyDescent="0.25">
      <c r="A67" s="77" t="b">
        <f>IF(('Stress Test Inputs'!$C$23)="FRM", FALSE, ISNUMBER(MATCH(C67,'Stress Test Inputs'!$M$18:$M$30,0)))</f>
        <v>0</v>
      </c>
      <c r="B67" s="103">
        <f>IF($A67, _xlfn.XLOOKUP(C67,'Stress Test Inputs'!$M$17:$M$29,'Stress Test Inputs'!$N$17:$N$29),$B66)</f>
        <v>0.05</v>
      </c>
      <c r="C67" s="101">
        <f t="shared" si="2"/>
        <v>65</v>
      </c>
      <c r="D67" s="99">
        <f t="shared" si="4"/>
        <v>7372235.5829330273</v>
      </c>
      <c r="E67" s="99">
        <f>IF(OR(D67&lt;=0,C67&gt;'Stress Test Inputs'!$B$23*12),0,IF(AND(C67='Stress Test Inputs'!$B$23*12,'Stress Test Inputs'!$E$23&gt;'Stress Test Inputs'!$B$23),D67+D67*B67/12,IF('Stress Test Inputs'!$C$23="FRM",-PMT($B$3/12,'Stress Test Inputs'!$E$23*12,$D$3),IF($A67,-PMT(B67/12,('Stress Test Inputs'!$E$23*12)-C67+1,D67),E66))))</f>
        <v>80274.798338602559</v>
      </c>
      <c r="F67" s="99">
        <f t="shared" si="1"/>
        <v>7291960.784594425</v>
      </c>
      <c r="G67" s="99">
        <f>IF(C67&gt;'Stress Test Inputs'!$B$23*12,0,D67*B67/12)</f>
        <v>30717.648262220948</v>
      </c>
      <c r="H67" s="99">
        <f t="shared" ref="H67:H130" si="5">MIN(E67-G67,D67)</f>
        <v>49557.150076381615</v>
      </c>
      <c r="I67" s="99">
        <f t="shared" si="3"/>
        <v>7322678.4328566454</v>
      </c>
      <c r="J67" s="98"/>
    </row>
    <row r="68" spans="1:10" x14ac:dyDescent="0.25">
      <c r="A68" s="77" t="b">
        <f>IF(('Stress Test Inputs'!$C$23)="FRM", FALSE, ISNUMBER(MATCH(C68,'Stress Test Inputs'!$M$18:$M$30,0)))</f>
        <v>0</v>
      </c>
      <c r="B68" s="103">
        <f>IF($A68, _xlfn.XLOOKUP(C68,'Stress Test Inputs'!$M$17:$M$29,'Stress Test Inputs'!$N$17:$N$29),$B67)</f>
        <v>0.05</v>
      </c>
      <c r="C68" s="101">
        <f t="shared" si="2"/>
        <v>66</v>
      </c>
      <c r="D68" s="99">
        <f t="shared" si="4"/>
        <v>7322678.4328566454</v>
      </c>
      <c r="E68" s="99">
        <f>IF(OR(D68&lt;=0,C68&gt;'Stress Test Inputs'!$B$23*12),0,IF(AND(C68='Stress Test Inputs'!$B$23*12,'Stress Test Inputs'!$E$23&gt;'Stress Test Inputs'!$B$23),D68+D68*B68/12,IF('Stress Test Inputs'!$C$23="FRM",-PMT($B$3/12,'Stress Test Inputs'!$E$23*12,$D$3),IF($A68,-PMT(B68/12,('Stress Test Inputs'!$E$23*12)-C68+1,D68),E67))))</f>
        <v>80274.798338602559</v>
      </c>
      <c r="F68" s="99">
        <f t="shared" ref="F68:F131" si="6">IF(D68-E68&lt;0,0,D68-E68)</f>
        <v>7242403.6345180431</v>
      </c>
      <c r="G68" s="99">
        <f>IF(C68&gt;'Stress Test Inputs'!$B$23*12,0,D68*B68/12)</f>
        <v>30511.16013690269</v>
      </c>
      <c r="H68" s="99">
        <f t="shared" si="5"/>
        <v>49763.638201699869</v>
      </c>
      <c r="I68" s="99">
        <f t="shared" si="3"/>
        <v>7272914.7946549458</v>
      </c>
      <c r="J68" s="98"/>
    </row>
    <row r="69" spans="1:10" x14ac:dyDescent="0.25">
      <c r="A69" s="77" t="b">
        <f>IF(('Stress Test Inputs'!$C$23)="FRM", FALSE, ISNUMBER(MATCH(C69,'Stress Test Inputs'!$M$18:$M$30,0)))</f>
        <v>0</v>
      </c>
      <c r="B69" s="103">
        <f>IF($A69, _xlfn.XLOOKUP(C69,'Stress Test Inputs'!$M$17:$M$29,'Stress Test Inputs'!$N$17:$N$29),$B68)</f>
        <v>0.05</v>
      </c>
      <c r="C69" s="101">
        <f t="shared" ref="C69:C132" si="7">C68+1</f>
        <v>67</v>
      </c>
      <c r="D69" s="99">
        <f t="shared" si="4"/>
        <v>7272914.7946549458</v>
      </c>
      <c r="E69" s="99">
        <f>IF(OR(D69&lt;=0,C69&gt;'Stress Test Inputs'!$B$23*12),0,IF(AND(C69='Stress Test Inputs'!$B$23*12,'Stress Test Inputs'!$E$23&gt;'Stress Test Inputs'!$B$23),D69+D69*B69/12,IF('Stress Test Inputs'!$C$23="FRM",-PMT($B$3/12,'Stress Test Inputs'!$E$23*12,$D$3),IF($A69,-PMT(B69/12,('Stress Test Inputs'!$E$23*12)-C69+1,D69),E68))))</f>
        <v>80274.798338602559</v>
      </c>
      <c r="F69" s="99">
        <f t="shared" si="6"/>
        <v>7192639.9963163435</v>
      </c>
      <c r="G69" s="99">
        <f>IF(C69&gt;'Stress Test Inputs'!$B$23*12,0,D69*B69/12)</f>
        <v>30303.81164439561</v>
      </c>
      <c r="H69" s="99">
        <f t="shared" si="5"/>
        <v>49970.986694206949</v>
      </c>
      <c r="I69" s="99">
        <f t="shared" ref="I69:I132" si="8">IF(ROUND(D69-H69,2)=0,0,D69-H69)</f>
        <v>7222943.8079607394</v>
      </c>
      <c r="J69" s="98"/>
    </row>
    <row r="70" spans="1:10" x14ac:dyDescent="0.25">
      <c r="A70" s="77" t="b">
        <f>IF(('Stress Test Inputs'!$C$23)="FRM", FALSE, ISNUMBER(MATCH(C70,'Stress Test Inputs'!$M$18:$M$30,0)))</f>
        <v>0</v>
      </c>
      <c r="B70" s="103">
        <f>IF($A70, _xlfn.XLOOKUP(C70,'Stress Test Inputs'!$M$17:$M$29,'Stress Test Inputs'!$N$17:$N$29),$B69)</f>
        <v>0.05</v>
      </c>
      <c r="C70" s="101">
        <f t="shared" si="7"/>
        <v>68</v>
      </c>
      <c r="D70" s="99">
        <f t="shared" si="4"/>
        <v>7222943.8079607394</v>
      </c>
      <c r="E70" s="99">
        <f>IF(OR(D70&lt;=0,C70&gt;'Stress Test Inputs'!$B$23*12),0,IF(AND(C70='Stress Test Inputs'!$B$23*12,'Stress Test Inputs'!$E$23&gt;'Stress Test Inputs'!$B$23),D70+D70*B70/12,IF('Stress Test Inputs'!$C$23="FRM",-PMT($B$3/12,'Stress Test Inputs'!$E$23*12,$D$3),IF($A70,-PMT(B70/12,('Stress Test Inputs'!$E$23*12)-C70+1,D70),E69))))</f>
        <v>80274.798338602559</v>
      </c>
      <c r="F70" s="99">
        <f t="shared" si="6"/>
        <v>7142669.0096221371</v>
      </c>
      <c r="G70" s="99">
        <f>IF(C70&gt;'Stress Test Inputs'!$B$23*12,0,D70*B70/12)</f>
        <v>30095.599199836415</v>
      </c>
      <c r="H70" s="99">
        <f t="shared" si="5"/>
        <v>50179.19913876614</v>
      </c>
      <c r="I70" s="99">
        <f t="shared" si="8"/>
        <v>7172764.6088219732</v>
      </c>
      <c r="J70" s="98"/>
    </row>
    <row r="71" spans="1:10" x14ac:dyDescent="0.25">
      <c r="A71" s="77" t="b">
        <f>IF(('Stress Test Inputs'!$C$23)="FRM", FALSE, ISNUMBER(MATCH(C71,'Stress Test Inputs'!$M$18:$M$30,0)))</f>
        <v>0</v>
      </c>
      <c r="B71" s="103">
        <f>IF($A71, _xlfn.XLOOKUP(C71,'Stress Test Inputs'!$M$17:$M$29,'Stress Test Inputs'!$N$17:$N$29),$B70)</f>
        <v>0.05</v>
      </c>
      <c r="C71" s="101">
        <f t="shared" si="7"/>
        <v>69</v>
      </c>
      <c r="D71" s="99">
        <f t="shared" ref="D71:D134" si="9">IF(I70&gt;0,I70-J70,0)</f>
        <v>7172764.6088219732</v>
      </c>
      <c r="E71" s="99">
        <f>IF(OR(D71&lt;=0,C71&gt;'Stress Test Inputs'!$B$23*12),0,IF(AND(C71='Stress Test Inputs'!$B$23*12,'Stress Test Inputs'!$E$23&gt;'Stress Test Inputs'!$B$23),D71+D71*B71/12,IF('Stress Test Inputs'!$C$23="FRM",-PMT($B$3/12,'Stress Test Inputs'!$E$23*12,$D$3),IF($A71,-PMT(B71/12,('Stress Test Inputs'!$E$23*12)-C71+1,D71),E70))))</f>
        <v>80274.798338602559</v>
      </c>
      <c r="F71" s="99">
        <f t="shared" si="6"/>
        <v>7092489.8104833709</v>
      </c>
      <c r="G71" s="99">
        <f>IF(C71&gt;'Stress Test Inputs'!$B$23*12,0,D71*B71/12)</f>
        <v>29886.51920342489</v>
      </c>
      <c r="H71" s="99">
        <f t="shared" si="5"/>
        <v>50388.279135177669</v>
      </c>
      <c r="I71" s="99">
        <f t="shared" si="8"/>
        <v>7122376.3296867954</v>
      </c>
      <c r="J71" s="98"/>
    </row>
    <row r="72" spans="1:10" x14ac:dyDescent="0.25">
      <c r="A72" s="77" t="b">
        <f>IF(('Stress Test Inputs'!$C$23)="FRM", FALSE, ISNUMBER(MATCH(C72,'Stress Test Inputs'!$M$18:$M$30,0)))</f>
        <v>0</v>
      </c>
      <c r="B72" s="103">
        <f>IF($A72, _xlfn.XLOOKUP(C72,'Stress Test Inputs'!$M$17:$M$29,'Stress Test Inputs'!$N$17:$N$29),$B71)</f>
        <v>0.05</v>
      </c>
      <c r="C72" s="101">
        <f t="shared" si="7"/>
        <v>70</v>
      </c>
      <c r="D72" s="99">
        <f t="shared" si="9"/>
        <v>7122376.3296867954</v>
      </c>
      <c r="E72" s="99">
        <f>IF(OR(D72&lt;=0,C72&gt;'Stress Test Inputs'!$B$23*12),0,IF(AND(C72='Stress Test Inputs'!$B$23*12,'Stress Test Inputs'!$E$23&gt;'Stress Test Inputs'!$B$23),D72+D72*B72/12,IF('Stress Test Inputs'!$C$23="FRM",-PMT($B$3/12,'Stress Test Inputs'!$E$23*12,$D$3),IF($A72,-PMT(B72/12,('Stress Test Inputs'!$E$23*12)-C72+1,D72),E71))))</f>
        <v>80274.798338602559</v>
      </c>
      <c r="F72" s="99">
        <f t="shared" si="6"/>
        <v>7042101.5313481931</v>
      </c>
      <c r="G72" s="99">
        <f>IF(C72&gt;'Stress Test Inputs'!$B$23*12,0,D72*B72/12)</f>
        <v>29676.568040361646</v>
      </c>
      <c r="H72" s="99">
        <f t="shared" si="5"/>
        <v>50598.230298240916</v>
      </c>
      <c r="I72" s="99">
        <f t="shared" si="8"/>
        <v>7071778.0993885547</v>
      </c>
      <c r="J72" s="98"/>
    </row>
    <row r="73" spans="1:10" x14ac:dyDescent="0.25">
      <c r="A73" s="77" t="b">
        <f>IF(('Stress Test Inputs'!$C$23)="FRM", FALSE, ISNUMBER(MATCH(C73,'Stress Test Inputs'!$M$18:$M$30,0)))</f>
        <v>0</v>
      </c>
      <c r="B73" s="103">
        <f>IF($A73, _xlfn.XLOOKUP(C73,'Stress Test Inputs'!$M$17:$M$29,'Stress Test Inputs'!$N$17:$N$29),$B72)</f>
        <v>0.05</v>
      </c>
      <c r="C73" s="101">
        <f t="shared" si="7"/>
        <v>71</v>
      </c>
      <c r="D73" s="99">
        <f t="shared" si="9"/>
        <v>7071778.0993885547</v>
      </c>
      <c r="E73" s="99">
        <f>IF(OR(D73&lt;=0,C73&gt;'Stress Test Inputs'!$B$23*12),0,IF(AND(C73='Stress Test Inputs'!$B$23*12,'Stress Test Inputs'!$E$23&gt;'Stress Test Inputs'!$B$23),D73+D73*B73/12,IF('Stress Test Inputs'!$C$23="FRM",-PMT($B$3/12,'Stress Test Inputs'!$E$23*12,$D$3),IF($A73,-PMT(B73/12,('Stress Test Inputs'!$E$23*12)-C73+1,D73),E72))))</f>
        <v>80274.798338602559</v>
      </c>
      <c r="F73" s="99">
        <f t="shared" si="6"/>
        <v>6991503.3010499524</v>
      </c>
      <c r="G73" s="99">
        <f>IF(C73&gt;'Stress Test Inputs'!$B$23*12,0,D73*B73/12)</f>
        <v>29465.742080785643</v>
      </c>
      <c r="H73" s="99">
        <f t="shared" si="5"/>
        <v>50809.056257816919</v>
      </c>
      <c r="I73" s="99">
        <f t="shared" si="8"/>
        <v>7020969.0431307377</v>
      </c>
      <c r="J73" s="98"/>
    </row>
    <row r="74" spans="1:10" x14ac:dyDescent="0.25">
      <c r="A74" s="77" t="b">
        <f>IF(('Stress Test Inputs'!$C$23)="FRM", FALSE, ISNUMBER(MATCH(C74,'Stress Test Inputs'!$M$18:$M$30,0)))</f>
        <v>0</v>
      </c>
      <c r="B74" s="103">
        <f>IF($A74, _xlfn.XLOOKUP(C74,'Stress Test Inputs'!$M$17:$M$29,'Stress Test Inputs'!$N$17:$N$29),$B73)</f>
        <v>0.05</v>
      </c>
      <c r="C74" s="101">
        <f t="shared" si="7"/>
        <v>72</v>
      </c>
      <c r="D74" s="99">
        <f t="shared" si="9"/>
        <v>7020969.0431307377</v>
      </c>
      <c r="E74" s="99">
        <f>IF(OR(D74&lt;=0,C74&gt;'Stress Test Inputs'!$B$23*12),0,IF(AND(C74='Stress Test Inputs'!$B$23*12,'Stress Test Inputs'!$E$23&gt;'Stress Test Inputs'!$B$23),D74+D74*B74/12,IF('Stress Test Inputs'!$C$23="FRM",-PMT($B$3/12,'Stress Test Inputs'!$E$23*12,$D$3),IF($A74,-PMT(B74/12,('Stress Test Inputs'!$E$23*12)-C74+1,D74),E73))))</f>
        <v>80274.798338602559</v>
      </c>
      <c r="F74" s="99">
        <f t="shared" si="6"/>
        <v>6940694.2447921354</v>
      </c>
      <c r="G74" s="99">
        <f>IF(C74&gt;'Stress Test Inputs'!$B$23*12,0,D74*B74/12)</f>
        <v>29254.037679711411</v>
      </c>
      <c r="H74" s="99">
        <f t="shared" si="5"/>
        <v>51020.760658891144</v>
      </c>
      <c r="I74" s="99">
        <f t="shared" si="8"/>
        <v>6969948.2824718468</v>
      </c>
      <c r="J74" s="98"/>
    </row>
    <row r="75" spans="1:10" x14ac:dyDescent="0.25">
      <c r="A75" s="77" t="b">
        <f>IF(('Stress Test Inputs'!$C$23)="FRM", FALSE, ISNUMBER(MATCH(C75,'Stress Test Inputs'!$M$18:$M$30,0)))</f>
        <v>0</v>
      </c>
      <c r="B75" s="103">
        <f>IF($A75, _xlfn.XLOOKUP(C75,'Stress Test Inputs'!$M$17:$M$29,'Stress Test Inputs'!$N$17:$N$29),$B74)</f>
        <v>0.05</v>
      </c>
      <c r="C75" s="101">
        <f t="shared" si="7"/>
        <v>73</v>
      </c>
      <c r="D75" s="99">
        <f t="shared" si="9"/>
        <v>6969948.2824718468</v>
      </c>
      <c r="E75" s="99">
        <f>IF(OR(D75&lt;=0,C75&gt;'Stress Test Inputs'!$B$23*12),0,IF(AND(C75='Stress Test Inputs'!$B$23*12,'Stress Test Inputs'!$E$23&gt;'Stress Test Inputs'!$B$23),D75+D75*B75/12,IF('Stress Test Inputs'!$C$23="FRM",-PMT($B$3/12,'Stress Test Inputs'!$E$23*12,$D$3),IF($A75,-PMT(B75/12,('Stress Test Inputs'!$E$23*12)-C75+1,D75),E74))))</f>
        <v>80274.798338602559</v>
      </c>
      <c r="F75" s="99">
        <f t="shared" si="6"/>
        <v>6889673.4841332445</v>
      </c>
      <c r="G75" s="99">
        <f>IF(C75&gt;'Stress Test Inputs'!$B$23*12,0,D75*B75/12)</f>
        <v>29041.451176966031</v>
      </c>
      <c r="H75" s="99">
        <f t="shared" si="5"/>
        <v>51233.347161636528</v>
      </c>
      <c r="I75" s="99">
        <f t="shared" si="8"/>
        <v>6918714.9353102101</v>
      </c>
      <c r="J75" s="98"/>
    </row>
    <row r="76" spans="1:10" x14ac:dyDescent="0.25">
      <c r="A76" s="77" t="b">
        <f>IF(('Stress Test Inputs'!$C$23)="FRM", FALSE, ISNUMBER(MATCH(C76,'Stress Test Inputs'!$M$18:$M$30,0)))</f>
        <v>0</v>
      </c>
      <c r="B76" s="103">
        <f>IF($A76, _xlfn.XLOOKUP(C76,'Stress Test Inputs'!$M$17:$M$29,'Stress Test Inputs'!$N$17:$N$29),$B75)</f>
        <v>0.05</v>
      </c>
      <c r="C76" s="101">
        <f t="shared" si="7"/>
        <v>74</v>
      </c>
      <c r="D76" s="99">
        <f t="shared" si="9"/>
        <v>6918714.9353102101</v>
      </c>
      <c r="E76" s="99">
        <f>IF(OR(D76&lt;=0,C76&gt;'Stress Test Inputs'!$B$23*12),0,IF(AND(C76='Stress Test Inputs'!$B$23*12,'Stress Test Inputs'!$E$23&gt;'Stress Test Inputs'!$B$23),D76+D76*B76/12,IF('Stress Test Inputs'!$C$23="FRM",-PMT($B$3/12,'Stress Test Inputs'!$E$23*12,$D$3),IF($A76,-PMT(B76/12,('Stress Test Inputs'!$E$23*12)-C76+1,D76),E75))))</f>
        <v>80274.798338602559</v>
      </c>
      <c r="F76" s="99">
        <f t="shared" si="6"/>
        <v>6838440.1369716078</v>
      </c>
      <c r="G76" s="99">
        <f>IF(C76&gt;'Stress Test Inputs'!$B$23*12,0,D76*B76/12)</f>
        <v>28827.978897125879</v>
      </c>
      <c r="H76" s="99">
        <f t="shared" si="5"/>
        <v>51446.819441476677</v>
      </c>
      <c r="I76" s="99">
        <f t="shared" si="8"/>
        <v>6867268.1158687333</v>
      </c>
      <c r="J76" s="98"/>
    </row>
    <row r="77" spans="1:10" x14ac:dyDescent="0.25">
      <c r="A77" s="77" t="b">
        <f>IF(('Stress Test Inputs'!$C$23)="FRM", FALSE, ISNUMBER(MATCH(C77,'Stress Test Inputs'!$M$18:$M$30,0)))</f>
        <v>0</v>
      </c>
      <c r="B77" s="103">
        <f>IF($A77, _xlfn.XLOOKUP(C77,'Stress Test Inputs'!$M$17:$M$29,'Stress Test Inputs'!$N$17:$N$29),$B76)</f>
        <v>0.05</v>
      </c>
      <c r="C77" s="101">
        <f t="shared" si="7"/>
        <v>75</v>
      </c>
      <c r="D77" s="99">
        <f t="shared" si="9"/>
        <v>6867268.1158687333</v>
      </c>
      <c r="E77" s="99">
        <f>IF(OR(D77&lt;=0,C77&gt;'Stress Test Inputs'!$B$23*12),0,IF(AND(C77='Stress Test Inputs'!$B$23*12,'Stress Test Inputs'!$E$23&gt;'Stress Test Inputs'!$B$23),D77+D77*B77/12,IF('Stress Test Inputs'!$C$23="FRM",-PMT($B$3/12,'Stress Test Inputs'!$E$23*12,$D$3),IF($A77,-PMT(B77/12,('Stress Test Inputs'!$E$23*12)-C77+1,D77),E76))))</f>
        <v>80274.798338602559</v>
      </c>
      <c r="F77" s="99">
        <f t="shared" si="6"/>
        <v>6786993.317530131</v>
      </c>
      <c r="G77" s="99">
        <f>IF(C77&gt;'Stress Test Inputs'!$B$23*12,0,D77*B77/12)</f>
        <v>28613.617149453057</v>
      </c>
      <c r="H77" s="99">
        <f t="shared" si="5"/>
        <v>51661.181189149502</v>
      </c>
      <c r="I77" s="99">
        <f t="shared" si="8"/>
        <v>6815606.9346795836</v>
      </c>
      <c r="J77" s="98"/>
    </row>
    <row r="78" spans="1:10" x14ac:dyDescent="0.25">
      <c r="A78" s="77" t="b">
        <f>IF(('Stress Test Inputs'!$C$23)="FRM", FALSE, ISNUMBER(MATCH(C78,'Stress Test Inputs'!$M$18:$M$30,0)))</f>
        <v>0</v>
      </c>
      <c r="B78" s="103">
        <f>IF($A78, _xlfn.XLOOKUP(C78,'Stress Test Inputs'!$M$17:$M$29,'Stress Test Inputs'!$N$17:$N$29),$B77)</f>
        <v>0.05</v>
      </c>
      <c r="C78" s="101">
        <f t="shared" si="7"/>
        <v>76</v>
      </c>
      <c r="D78" s="99">
        <f t="shared" si="9"/>
        <v>6815606.9346795836</v>
      </c>
      <c r="E78" s="99">
        <f>IF(OR(D78&lt;=0,C78&gt;'Stress Test Inputs'!$B$23*12),0,IF(AND(C78='Stress Test Inputs'!$B$23*12,'Stress Test Inputs'!$E$23&gt;'Stress Test Inputs'!$B$23),D78+D78*B78/12,IF('Stress Test Inputs'!$C$23="FRM",-PMT($B$3/12,'Stress Test Inputs'!$E$23*12,$D$3),IF($A78,-PMT(B78/12,('Stress Test Inputs'!$E$23*12)-C78+1,D78),E77))))</f>
        <v>80274.798338602559</v>
      </c>
      <c r="F78" s="99">
        <f t="shared" si="6"/>
        <v>6735332.1363409813</v>
      </c>
      <c r="G78" s="99">
        <f>IF(C78&gt;'Stress Test Inputs'!$B$23*12,0,D78*B78/12)</f>
        <v>28398.3622278316</v>
      </c>
      <c r="H78" s="99">
        <f t="shared" si="5"/>
        <v>51876.436110770956</v>
      </c>
      <c r="I78" s="99">
        <f t="shared" si="8"/>
        <v>6763730.4985688124</v>
      </c>
      <c r="J78" s="98"/>
    </row>
    <row r="79" spans="1:10" x14ac:dyDescent="0.25">
      <c r="A79" s="77" t="b">
        <f>IF(('Stress Test Inputs'!$C$23)="FRM", FALSE, ISNUMBER(MATCH(C79,'Stress Test Inputs'!$M$18:$M$30,0)))</f>
        <v>0</v>
      </c>
      <c r="B79" s="103">
        <f>IF($A79, _xlfn.XLOOKUP(C79,'Stress Test Inputs'!$M$17:$M$29,'Stress Test Inputs'!$N$17:$N$29),$B78)</f>
        <v>0.05</v>
      </c>
      <c r="C79" s="101">
        <f t="shared" si="7"/>
        <v>77</v>
      </c>
      <c r="D79" s="99">
        <f t="shared" si="9"/>
        <v>6763730.4985688124</v>
      </c>
      <c r="E79" s="99">
        <f>IF(OR(D79&lt;=0,C79&gt;'Stress Test Inputs'!$B$23*12),0,IF(AND(C79='Stress Test Inputs'!$B$23*12,'Stress Test Inputs'!$E$23&gt;'Stress Test Inputs'!$B$23),D79+D79*B79/12,IF('Stress Test Inputs'!$C$23="FRM",-PMT($B$3/12,'Stress Test Inputs'!$E$23*12,$D$3),IF($A79,-PMT(B79/12,('Stress Test Inputs'!$E$23*12)-C79+1,D79),E78))))</f>
        <v>80274.798338602559</v>
      </c>
      <c r="F79" s="99">
        <f t="shared" si="6"/>
        <v>6683455.7002302101</v>
      </c>
      <c r="G79" s="99">
        <f>IF(C79&gt;'Stress Test Inputs'!$B$23*12,0,D79*B79/12)</f>
        <v>28182.210410703385</v>
      </c>
      <c r="H79" s="99">
        <f t="shared" si="5"/>
        <v>52092.587927899178</v>
      </c>
      <c r="I79" s="99">
        <f t="shared" si="8"/>
        <v>6711637.9106409131</v>
      </c>
      <c r="J79" s="98"/>
    </row>
    <row r="80" spans="1:10" x14ac:dyDescent="0.25">
      <c r="A80" s="77" t="b">
        <f>IF(('Stress Test Inputs'!$C$23)="FRM", FALSE, ISNUMBER(MATCH(C80,'Stress Test Inputs'!$M$18:$M$30,0)))</f>
        <v>0</v>
      </c>
      <c r="B80" s="103">
        <f>IF($A80, _xlfn.XLOOKUP(C80,'Stress Test Inputs'!$M$17:$M$29,'Stress Test Inputs'!$N$17:$N$29),$B79)</f>
        <v>0.05</v>
      </c>
      <c r="C80" s="101">
        <f t="shared" si="7"/>
        <v>78</v>
      </c>
      <c r="D80" s="99">
        <f t="shared" si="9"/>
        <v>6711637.9106409131</v>
      </c>
      <c r="E80" s="99">
        <f>IF(OR(D80&lt;=0,C80&gt;'Stress Test Inputs'!$B$23*12),0,IF(AND(C80='Stress Test Inputs'!$B$23*12,'Stress Test Inputs'!$E$23&gt;'Stress Test Inputs'!$B$23),D80+D80*B80/12,IF('Stress Test Inputs'!$C$23="FRM",-PMT($B$3/12,'Stress Test Inputs'!$E$23*12,$D$3),IF($A80,-PMT(B80/12,('Stress Test Inputs'!$E$23*12)-C80+1,D80),E79))))</f>
        <v>80274.798338602559</v>
      </c>
      <c r="F80" s="99">
        <f t="shared" si="6"/>
        <v>6631363.1123023108</v>
      </c>
      <c r="G80" s="99">
        <f>IF(C80&gt;'Stress Test Inputs'!$B$23*12,0,D80*B80/12)</f>
        <v>27965.157961003806</v>
      </c>
      <c r="H80" s="99">
        <f t="shared" si="5"/>
        <v>52309.640377598756</v>
      </c>
      <c r="I80" s="99">
        <f t="shared" si="8"/>
        <v>6659328.2702633142</v>
      </c>
      <c r="J80" s="98"/>
    </row>
    <row r="81" spans="1:10" x14ac:dyDescent="0.25">
      <c r="A81" s="77" t="b">
        <f>IF(('Stress Test Inputs'!$C$23)="FRM", FALSE, ISNUMBER(MATCH(C81,'Stress Test Inputs'!$M$18:$M$30,0)))</f>
        <v>0</v>
      </c>
      <c r="B81" s="103">
        <f>IF($A81, _xlfn.XLOOKUP(C81,'Stress Test Inputs'!$M$17:$M$29,'Stress Test Inputs'!$N$17:$N$29),$B80)</f>
        <v>0.05</v>
      </c>
      <c r="C81" s="101">
        <f t="shared" si="7"/>
        <v>79</v>
      </c>
      <c r="D81" s="99">
        <f t="shared" si="9"/>
        <v>6659328.2702633142</v>
      </c>
      <c r="E81" s="99">
        <f>IF(OR(D81&lt;=0,C81&gt;'Stress Test Inputs'!$B$23*12),0,IF(AND(C81='Stress Test Inputs'!$B$23*12,'Stress Test Inputs'!$E$23&gt;'Stress Test Inputs'!$B$23),D81+D81*B81/12,IF('Stress Test Inputs'!$C$23="FRM",-PMT($B$3/12,'Stress Test Inputs'!$E$23*12,$D$3),IF($A81,-PMT(B81/12,('Stress Test Inputs'!$E$23*12)-C81+1,D81),E80))))</f>
        <v>80274.798338602559</v>
      </c>
      <c r="F81" s="99">
        <f t="shared" si="6"/>
        <v>6579053.471924712</v>
      </c>
      <c r="G81" s="99">
        <f>IF(C81&gt;'Stress Test Inputs'!$B$23*12,0,D81*B81/12)</f>
        <v>27747.201126097145</v>
      </c>
      <c r="H81" s="99">
        <f t="shared" si="5"/>
        <v>52527.59721250541</v>
      </c>
      <c r="I81" s="99">
        <f t="shared" si="8"/>
        <v>6606800.6730508087</v>
      </c>
      <c r="J81" s="98"/>
    </row>
    <row r="82" spans="1:10" x14ac:dyDescent="0.25">
      <c r="A82" s="77" t="b">
        <f>IF(('Stress Test Inputs'!$C$23)="FRM", FALSE, ISNUMBER(MATCH(C82,'Stress Test Inputs'!$M$18:$M$30,0)))</f>
        <v>0</v>
      </c>
      <c r="B82" s="103">
        <f>IF($A82, _xlfn.XLOOKUP(C82,'Stress Test Inputs'!$M$17:$M$29,'Stress Test Inputs'!$N$17:$N$29),$B81)</f>
        <v>0.05</v>
      </c>
      <c r="C82" s="101">
        <f t="shared" si="7"/>
        <v>80</v>
      </c>
      <c r="D82" s="99">
        <f t="shared" si="9"/>
        <v>6606800.6730508087</v>
      </c>
      <c r="E82" s="99">
        <f>IF(OR(D82&lt;=0,C82&gt;'Stress Test Inputs'!$B$23*12),0,IF(AND(C82='Stress Test Inputs'!$B$23*12,'Stress Test Inputs'!$E$23&gt;'Stress Test Inputs'!$B$23),D82+D82*B82/12,IF('Stress Test Inputs'!$C$23="FRM",-PMT($B$3/12,'Stress Test Inputs'!$E$23*12,$D$3),IF($A82,-PMT(B82/12,('Stress Test Inputs'!$E$23*12)-C82+1,D82),E81))))</f>
        <v>80274.798338602559</v>
      </c>
      <c r="F82" s="99">
        <f t="shared" si="6"/>
        <v>6526525.8747122064</v>
      </c>
      <c r="G82" s="99">
        <f>IF(C82&gt;'Stress Test Inputs'!$B$23*12,0,D82*B82/12)</f>
        <v>27528.336137711707</v>
      </c>
      <c r="H82" s="99">
        <f t="shared" si="5"/>
        <v>52746.462200890848</v>
      </c>
      <c r="I82" s="99">
        <f t="shared" si="8"/>
        <v>6554054.2108499175</v>
      </c>
      <c r="J82" s="98"/>
    </row>
    <row r="83" spans="1:10" x14ac:dyDescent="0.25">
      <c r="A83" s="77" t="b">
        <f>IF(('Stress Test Inputs'!$C$23)="FRM", FALSE, ISNUMBER(MATCH(C83,'Stress Test Inputs'!$M$18:$M$30,0)))</f>
        <v>0</v>
      </c>
      <c r="B83" s="103">
        <f>IF($A83, _xlfn.XLOOKUP(C83,'Stress Test Inputs'!$M$17:$M$29,'Stress Test Inputs'!$N$17:$N$29),$B82)</f>
        <v>0.05</v>
      </c>
      <c r="C83" s="101">
        <f t="shared" si="7"/>
        <v>81</v>
      </c>
      <c r="D83" s="99">
        <f t="shared" si="9"/>
        <v>6554054.2108499175</v>
      </c>
      <c r="E83" s="99">
        <f>IF(OR(D83&lt;=0,C83&gt;'Stress Test Inputs'!$B$23*12),0,IF(AND(C83='Stress Test Inputs'!$B$23*12,'Stress Test Inputs'!$E$23&gt;'Stress Test Inputs'!$B$23),D83+D83*B83/12,IF('Stress Test Inputs'!$C$23="FRM",-PMT($B$3/12,'Stress Test Inputs'!$E$23*12,$D$3),IF($A83,-PMT(B83/12,('Stress Test Inputs'!$E$23*12)-C83+1,D83),E82))))</f>
        <v>80274.798338602559</v>
      </c>
      <c r="F83" s="99">
        <f t="shared" si="6"/>
        <v>6473779.4125113152</v>
      </c>
      <c r="G83" s="99">
        <f>IF(C83&gt;'Stress Test Inputs'!$B$23*12,0,D83*B83/12)</f>
        <v>27308.559211874657</v>
      </c>
      <c r="H83" s="99">
        <f t="shared" si="5"/>
        <v>52966.239126727902</v>
      </c>
      <c r="I83" s="99">
        <f t="shared" si="8"/>
        <v>6501087.9717231896</v>
      </c>
      <c r="J83" s="98"/>
    </row>
    <row r="84" spans="1:10" x14ac:dyDescent="0.25">
      <c r="A84" s="77" t="b">
        <f>IF(('Stress Test Inputs'!$C$23)="FRM", FALSE, ISNUMBER(MATCH(C84,'Stress Test Inputs'!$M$18:$M$30,0)))</f>
        <v>0</v>
      </c>
      <c r="B84" s="103">
        <f>IF($A84, _xlfn.XLOOKUP(C84,'Stress Test Inputs'!$M$17:$M$29,'Stress Test Inputs'!$N$17:$N$29),$B83)</f>
        <v>0.05</v>
      </c>
      <c r="C84" s="101">
        <f t="shared" si="7"/>
        <v>82</v>
      </c>
      <c r="D84" s="99">
        <f t="shared" si="9"/>
        <v>6501087.9717231896</v>
      </c>
      <c r="E84" s="99">
        <f>IF(OR(D84&lt;=0,C84&gt;'Stress Test Inputs'!$B$23*12),0,IF(AND(C84='Stress Test Inputs'!$B$23*12,'Stress Test Inputs'!$E$23&gt;'Stress Test Inputs'!$B$23),D84+D84*B84/12,IF('Stress Test Inputs'!$C$23="FRM",-PMT($B$3/12,'Stress Test Inputs'!$E$23*12,$D$3),IF($A84,-PMT(B84/12,('Stress Test Inputs'!$E$23*12)-C84+1,D84),E83))))</f>
        <v>80274.798338602559</v>
      </c>
      <c r="F84" s="99">
        <f t="shared" si="6"/>
        <v>6420813.1733845873</v>
      </c>
      <c r="G84" s="99">
        <f>IF(C84&gt;'Stress Test Inputs'!$B$23*12,0,D84*B84/12)</f>
        <v>27087.866548846625</v>
      </c>
      <c r="H84" s="99">
        <f t="shared" si="5"/>
        <v>53186.931789755938</v>
      </c>
      <c r="I84" s="99">
        <f t="shared" si="8"/>
        <v>6447901.0399334338</v>
      </c>
      <c r="J84" s="98"/>
    </row>
    <row r="85" spans="1:10" x14ac:dyDescent="0.25">
      <c r="A85" s="77" t="b">
        <f>IF(('Stress Test Inputs'!$C$23)="FRM", FALSE, ISNUMBER(MATCH(C85,'Stress Test Inputs'!$M$18:$M$30,0)))</f>
        <v>0</v>
      </c>
      <c r="B85" s="103">
        <f>IF($A85, _xlfn.XLOOKUP(C85,'Stress Test Inputs'!$M$17:$M$29,'Stress Test Inputs'!$N$17:$N$29),$B84)</f>
        <v>0.05</v>
      </c>
      <c r="C85" s="101">
        <f t="shared" si="7"/>
        <v>83</v>
      </c>
      <c r="D85" s="99">
        <f t="shared" si="9"/>
        <v>6447901.0399334338</v>
      </c>
      <c r="E85" s="99">
        <f>IF(OR(D85&lt;=0,C85&gt;'Stress Test Inputs'!$B$23*12),0,IF(AND(C85='Stress Test Inputs'!$B$23*12,'Stress Test Inputs'!$E$23&gt;'Stress Test Inputs'!$B$23),D85+D85*B85/12,IF('Stress Test Inputs'!$C$23="FRM",-PMT($B$3/12,'Stress Test Inputs'!$E$23*12,$D$3),IF($A85,-PMT(B85/12,('Stress Test Inputs'!$E$23*12)-C85+1,D85),E84))))</f>
        <v>80274.798338602559</v>
      </c>
      <c r="F85" s="99">
        <f t="shared" si="6"/>
        <v>6367626.2415948315</v>
      </c>
      <c r="G85" s="99">
        <f>IF(C85&gt;'Stress Test Inputs'!$B$23*12,0,D85*B85/12)</f>
        <v>26866.254333055975</v>
      </c>
      <c r="H85" s="99">
        <f t="shared" si="5"/>
        <v>53408.544005546588</v>
      </c>
      <c r="I85" s="99">
        <f t="shared" si="8"/>
        <v>6394492.495927887</v>
      </c>
      <c r="J85" s="98"/>
    </row>
    <row r="86" spans="1:10" x14ac:dyDescent="0.25">
      <c r="A86" s="77" t="b">
        <f>IF(('Stress Test Inputs'!$C$23)="FRM", FALSE, ISNUMBER(MATCH(C86,'Stress Test Inputs'!$M$18:$M$30,0)))</f>
        <v>0</v>
      </c>
      <c r="B86" s="103">
        <f>IF($A86, _xlfn.XLOOKUP(C86,'Stress Test Inputs'!$M$17:$M$29,'Stress Test Inputs'!$N$17:$N$29),$B85)</f>
        <v>0.05</v>
      </c>
      <c r="C86" s="101">
        <f t="shared" si="7"/>
        <v>84</v>
      </c>
      <c r="D86" s="99">
        <f t="shared" si="9"/>
        <v>6394492.495927887</v>
      </c>
      <c r="E86" s="99">
        <f>IF(OR(D86&lt;=0,C86&gt;'Stress Test Inputs'!$B$23*12),0,IF(AND(C86='Stress Test Inputs'!$B$23*12,'Stress Test Inputs'!$E$23&gt;'Stress Test Inputs'!$B$23),D86+D86*B86/12,IF('Stress Test Inputs'!$C$23="FRM",-PMT($B$3/12,'Stress Test Inputs'!$E$23*12,$D$3),IF($A86,-PMT(B86/12,('Stress Test Inputs'!$E$23*12)-C86+1,D86),E85))))</f>
        <v>80274.798338602559</v>
      </c>
      <c r="F86" s="99">
        <f t="shared" si="6"/>
        <v>6314217.6975892847</v>
      </c>
      <c r="G86" s="99">
        <f>IF(C86&gt;'Stress Test Inputs'!$B$23*12,0,D86*B86/12)</f>
        <v>26643.718733032863</v>
      </c>
      <c r="H86" s="99">
        <f t="shared" si="5"/>
        <v>53631.079605569699</v>
      </c>
      <c r="I86" s="99">
        <f t="shared" si="8"/>
        <v>6340861.416322317</v>
      </c>
      <c r="J86" s="98"/>
    </row>
    <row r="87" spans="1:10" x14ac:dyDescent="0.25">
      <c r="A87" s="77" t="b">
        <f>IF(('Stress Test Inputs'!$C$23)="FRM", FALSE, ISNUMBER(MATCH(C87,'Stress Test Inputs'!$M$18:$M$30,0)))</f>
        <v>0</v>
      </c>
      <c r="B87" s="103">
        <f>IF($A87, _xlfn.XLOOKUP(C87,'Stress Test Inputs'!$M$17:$M$29,'Stress Test Inputs'!$N$17:$N$29),$B86)</f>
        <v>0.05</v>
      </c>
      <c r="C87" s="101">
        <f t="shared" si="7"/>
        <v>85</v>
      </c>
      <c r="D87" s="99">
        <f t="shared" si="9"/>
        <v>6340861.416322317</v>
      </c>
      <c r="E87" s="99">
        <f>IF(OR(D87&lt;=0,C87&gt;'Stress Test Inputs'!$B$23*12),0,IF(AND(C87='Stress Test Inputs'!$B$23*12,'Stress Test Inputs'!$E$23&gt;'Stress Test Inputs'!$B$23),D87+D87*B87/12,IF('Stress Test Inputs'!$C$23="FRM",-PMT($B$3/12,'Stress Test Inputs'!$E$23*12,$D$3),IF($A87,-PMT(B87/12,('Stress Test Inputs'!$E$23*12)-C87+1,D87),E86))))</f>
        <v>80274.798338602559</v>
      </c>
      <c r="F87" s="99">
        <f t="shared" si="6"/>
        <v>6260586.6179837147</v>
      </c>
      <c r="G87" s="99">
        <f>IF(C87&gt;'Stress Test Inputs'!$B$23*12,0,D87*B87/12)</f>
        <v>26420.255901342989</v>
      </c>
      <c r="H87" s="99">
        <f t="shared" si="5"/>
        <v>53854.542437259573</v>
      </c>
      <c r="I87" s="99">
        <f t="shared" si="8"/>
        <v>6287006.8738850579</v>
      </c>
      <c r="J87" s="98"/>
    </row>
    <row r="88" spans="1:10" x14ac:dyDescent="0.25">
      <c r="A88" s="77" t="b">
        <f>IF(('Stress Test Inputs'!$C$23)="FRM", FALSE, ISNUMBER(MATCH(C88,'Stress Test Inputs'!$M$18:$M$30,0)))</f>
        <v>0</v>
      </c>
      <c r="B88" s="103">
        <f>IF($A88, _xlfn.XLOOKUP(C88,'Stress Test Inputs'!$M$17:$M$29,'Stress Test Inputs'!$N$17:$N$29),$B87)</f>
        <v>0.05</v>
      </c>
      <c r="C88" s="101">
        <f t="shared" si="7"/>
        <v>86</v>
      </c>
      <c r="D88" s="99">
        <f t="shared" si="9"/>
        <v>6287006.8738850579</v>
      </c>
      <c r="E88" s="99">
        <f>IF(OR(D88&lt;=0,C88&gt;'Stress Test Inputs'!$B$23*12),0,IF(AND(C88='Stress Test Inputs'!$B$23*12,'Stress Test Inputs'!$E$23&gt;'Stress Test Inputs'!$B$23),D88+D88*B88/12,IF('Stress Test Inputs'!$C$23="FRM",-PMT($B$3/12,'Stress Test Inputs'!$E$23*12,$D$3),IF($A88,-PMT(B88/12,('Stress Test Inputs'!$E$23*12)-C88+1,D88),E87))))</f>
        <v>80274.798338602559</v>
      </c>
      <c r="F88" s="99">
        <f t="shared" si="6"/>
        <v>6206732.0755464556</v>
      </c>
      <c r="G88" s="99">
        <f>IF(C88&gt;'Stress Test Inputs'!$B$23*12,0,D88*B88/12)</f>
        <v>26195.861974521074</v>
      </c>
      <c r="H88" s="99">
        <f t="shared" si="5"/>
        <v>54078.936364081484</v>
      </c>
      <c r="I88" s="99">
        <f t="shared" si="8"/>
        <v>6232927.9375209762</v>
      </c>
      <c r="J88" s="98"/>
    </row>
    <row r="89" spans="1:10" x14ac:dyDescent="0.25">
      <c r="A89" s="77" t="b">
        <f>IF(('Stress Test Inputs'!$C$23)="FRM", FALSE, ISNUMBER(MATCH(C89,'Stress Test Inputs'!$M$18:$M$30,0)))</f>
        <v>0</v>
      </c>
      <c r="B89" s="103">
        <f>IF($A89, _xlfn.XLOOKUP(C89,'Stress Test Inputs'!$M$17:$M$29,'Stress Test Inputs'!$N$17:$N$29),$B88)</f>
        <v>0.05</v>
      </c>
      <c r="C89" s="101">
        <f t="shared" si="7"/>
        <v>87</v>
      </c>
      <c r="D89" s="99">
        <f t="shared" si="9"/>
        <v>6232927.9375209762</v>
      </c>
      <c r="E89" s="99">
        <f>IF(OR(D89&lt;=0,C89&gt;'Stress Test Inputs'!$B$23*12),0,IF(AND(C89='Stress Test Inputs'!$B$23*12,'Stress Test Inputs'!$E$23&gt;'Stress Test Inputs'!$B$23),D89+D89*B89/12,IF('Stress Test Inputs'!$C$23="FRM",-PMT($B$3/12,'Stress Test Inputs'!$E$23*12,$D$3),IF($A89,-PMT(B89/12,('Stress Test Inputs'!$E$23*12)-C89+1,D89),E88))))</f>
        <v>80274.798338602559</v>
      </c>
      <c r="F89" s="99">
        <f t="shared" si="6"/>
        <v>6152653.1391823739</v>
      </c>
      <c r="G89" s="99">
        <f>IF(C89&gt;'Stress Test Inputs'!$B$23*12,0,D89*B89/12)</f>
        <v>25970.53307300407</v>
      </c>
      <c r="H89" s="99">
        <f t="shared" si="5"/>
        <v>54304.265265598486</v>
      </c>
      <c r="I89" s="99">
        <f t="shared" si="8"/>
        <v>6178623.6722553773</v>
      </c>
      <c r="J89" s="98"/>
    </row>
    <row r="90" spans="1:10" x14ac:dyDescent="0.25">
      <c r="A90" s="77" t="b">
        <f>IF(('Stress Test Inputs'!$C$23)="FRM", FALSE, ISNUMBER(MATCH(C90,'Stress Test Inputs'!$M$18:$M$30,0)))</f>
        <v>0</v>
      </c>
      <c r="B90" s="103">
        <f>IF($A90, _xlfn.XLOOKUP(C90,'Stress Test Inputs'!$M$17:$M$29,'Stress Test Inputs'!$N$17:$N$29),$B89)</f>
        <v>0.05</v>
      </c>
      <c r="C90" s="101">
        <f t="shared" si="7"/>
        <v>88</v>
      </c>
      <c r="D90" s="99">
        <f t="shared" si="9"/>
        <v>6178623.6722553773</v>
      </c>
      <c r="E90" s="99">
        <f>IF(OR(D90&lt;=0,C90&gt;'Stress Test Inputs'!$B$23*12),0,IF(AND(C90='Stress Test Inputs'!$B$23*12,'Stress Test Inputs'!$E$23&gt;'Stress Test Inputs'!$B$23),D90+D90*B90/12,IF('Stress Test Inputs'!$C$23="FRM",-PMT($B$3/12,'Stress Test Inputs'!$E$23*12,$D$3),IF($A90,-PMT(B90/12,('Stress Test Inputs'!$E$23*12)-C90+1,D90),E89))))</f>
        <v>80274.798338602559</v>
      </c>
      <c r="F90" s="99">
        <f t="shared" si="6"/>
        <v>6098348.873916775</v>
      </c>
      <c r="G90" s="99">
        <f>IF(C90&gt;'Stress Test Inputs'!$B$23*12,0,D90*B90/12)</f>
        <v>25744.265301064075</v>
      </c>
      <c r="H90" s="99">
        <f t="shared" si="5"/>
        <v>54530.53303753848</v>
      </c>
      <c r="I90" s="99">
        <f t="shared" si="8"/>
        <v>6124093.1392178386</v>
      </c>
      <c r="J90" s="98"/>
    </row>
    <row r="91" spans="1:10" x14ac:dyDescent="0.25">
      <c r="A91" s="77" t="b">
        <f>IF(('Stress Test Inputs'!$C$23)="FRM", FALSE, ISNUMBER(MATCH(C91,'Stress Test Inputs'!$M$18:$M$30,0)))</f>
        <v>0</v>
      </c>
      <c r="B91" s="103">
        <f>IF($A91, _xlfn.XLOOKUP(C91,'Stress Test Inputs'!$M$17:$M$29,'Stress Test Inputs'!$N$17:$N$29),$B90)</f>
        <v>0.05</v>
      </c>
      <c r="C91" s="101">
        <f t="shared" si="7"/>
        <v>89</v>
      </c>
      <c r="D91" s="99">
        <f t="shared" si="9"/>
        <v>6124093.1392178386</v>
      </c>
      <c r="E91" s="99">
        <f>IF(OR(D91&lt;=0,C91&gt;'Stress Test Inputs'!$B$23*12),0,IF(AND(C91='Stress Test Inputs'!$B$23*12,'Stress Test Inputs'!$E$23&gt;'Stress Test Inputs'!$B$23),D91+D91*B91/12,IF('Stress Test Inputs'!$C$23="FRM",-PMT($B$3/12,'Stress Test Inputs'!$E$23*12,$D$3),IF($A91,-PMT(B91/12,('Stress Test Inputs'!$E$23*12)-C91+1,D91),E90))))</f>
        <v>80274.798338602559</v>
      </c>
      <c r="F91" s="99">
        <f t="shared" si="6"/>
        <v>6043818.3408792363</v>
      </c>
      <c r="G91" s="99">
        <f>IF(C91&gt;'Stress Test Inputs'!$B$23*12,0,D91*B91/12)</f>
        <v>25517.054746740996</v>
      </c>
      <c r="H91" s="99">
        <f t="shared" si="5"/>
        <v>54757.743591861567</v>
      </c>
      <c r="I91" s="99">
        <f t="shared" si="8"/>
        <v>6069335.3956259768</v>
      </c>
      <c r="J91" s="98"/>
    </row>
    <row r="92" spans="1:10" x14ac:dyDescent="0.25">
      <c r="A92" s="77" t="b">
        <f>IF(('Stress Test Inputs'!$C$23)="FRM", FALSE, ISNUMBER(MATCH(C92,'Stress Test Inputs'!$M$18:$M$30,0)))</f>
        <v>0</v>
      </c>
      <c r="B92" s="103">
        <f>IF($A92, _xlfn.XLOOKUP(C92,'Stress Test Inputs'!$M$17:$M$29,'Stress Test Inputs'!$N$17:$N$29),$B91)</f>
        <v>0.05</v>
      </c>
      <c r="C92" s="101">
        <f t="shared" si="7"/>
        <v>90</v>
      </c>
      <c r="D92" s="99">
        <f t="shared" si="9"/>
        <v>6069335.3956259768</v>
      </c>
      <c r="E92" s="99">
        <f>IF(OR(D92&lt;=0,C92&gt;'Stress Test Inputs'!$B$23*12),0,IF(AND(C92='Stress Test Inputs'!$B$23*12,'Stress Test Inputs'!$E$23&gt;'Stress Test Inputs'!$B$23),D92+D92*B92/12,IF('Stress Test Inputs'!$C$23="FRM",-PMT($B$3/12,'Stress Test Inputs'!$E$23*12,$D$3),IF($A92,-PMT(B92/12,('Stress Test Inputs'!$E$23*12)-C92+1,D92),E91))))</f>
        <v>80274.798338602559</v>
      </c>
      <c r="F92" s="99">
        <f t="shared" si="6"/>
        <v>5989060.5972873745</v>
      </c>
      <c r="G92" s="99">
        <f>IF(C92&gt;'Stress Test Inputs'!$B$23*12,0,D92*B92/12)</f>
        <v>25288.897481774908</v>
      </c>
      <c r="H92" s="99">
        <f t="shared" si="5"/>
        <v>54985.900856827648</v>
      </c>
      <c r="I92" s="99">
        <f t="shared" si="8"/>
        <v>6014349.4947691495</v>
      </c>
      <c r="J92" s="98"/>
    </row>
    <row r="93" spans="1:10" x14ac:dyDescent="0.25">
      <c r="A93" s="77" t="b">
        <f>IF(('Stress Test Inputs'!$C$23)="FRM", FALSE, ISNUMBER(MATCH(C93,'Stress Test Inputs'!$M$18:$M$30,0)))</f>
        <v>0</v>
      </c>
      <c r="B93" s="103">
        <f>IF($A93, _xlfn.XLOOKUP(C93,'Stress Test Inputs'!$M$17:$M$29,'Stress Test Inputs'!$N$17:$N$29),$B92)</f>
        <v>0.05</v>
      </c>
      <c r="C93" s="101">
        <f t="shared" si="7"/>
        <v>91</v>
      </c>
      <c r="D93" s="99">
        <f t="shared" si="9"/>
        <v>6014349.4947691495</v>
      </c>
      <c r="E93" s="99">
        <f>IF(OR(D93&lt;=0,C93&gt;'Stress Test Inputs'!$B$23*12),0,IF(AND(C93='Stress Test Inputs'!$B$23*12,'Stress Test Inputs'!$E$23&gt;'Stress Test Inputs'!$B$23),D93+D93*B93/12,IF('Stress Test Inputs'!$C$23="FRM",-PMT($B$3/12,'Stress Test Inputs'!$E$23*12,$D$3),IF($A93,-PMT(B93/12,('Stress Test Inputs'!$E$23*12)-C93+1,D93),E92))))</f>
        <v>80274.798338602559</v>
      </c>
      <c r="F93" s="99">
        <f t="shared" si="6"/>
        <v>5934074.6964305472</v>
      </c>
      <c r="G93" s="99">
        <f>IF(C93&gt;'Stress Test Inputs'!$B$23*12,0,D93*B93/12)</f>
        <v>25059.789561538124</v>
      </c>
      <c r="H93" s="99">
        <f t="shared" si="5"/>
        <v>55215.008777064431</v>
      </c>
      <c r="I93" s="99">
        <f t="shared" si="8"/>
        <v>5959134.4859920852</v>
      </c>
      <c r="J93" s="98"/>
    </row>
    <row r="94" spans="1:10" x14ac:dyDescent="0.25">
      <c r="A94" s="77" t="b">
        <f>IF(('Stress Test Inputs'!$C$23)="FRM", FALSE, ISNUMBER(MATCH(C94,'Stress Test Inputs'!$M$18:$M$30,0)))</f>
        <v>0</v>
      </c>
      <c r="B94" s="103">
        <f>IF($A94, _xlfn.XLOOKUP(C94,'Stress Test Inputs'!$M$17:$M$29,'Stress Test Inputs'!$N$17:$N$29),$B93)</f>
        <v>0.05</v>
      </c>
      <c r="C94" s="101">
        <f t="shared" si="7"/>
        <v>92</v>
      </c>
      <c r="D94" s="99">
        <f t="shared" si="9"/>
        <v>5959134.4859920852</v>
      </c>
      <c r="E94" s="99">
        <f>IF(OR(D94&lt;=0,C94&gt;'Stress Test Inputs'!$B$23*12),0,IF(AND(C94='Stress Test Inputs'!$B$23*12,'Stress Test Inputs'!$E$23&gt;'Stress Test Inputs'!$B$23),D94+D94*B94/12,IF('Stress Test Inputs'!$C$23="FRM",-PMT($B$3/12,'Stress Test Inputs'!$E$23*12,$D$3),IF($A94,-PMT(B94/12,('Stress Test Inputs'!$E$23*12)-C94+1,D94),E93))))</f>
        <v>80274.798338602559</v>
      </c>
      <c r="F94" s="99">
        <f t="shared" si="6"/>
        <v>5878859.6876534829</v>
      </c>
      <c r="G94" s="99">
        <f>IF(C94&gt;'Stress Test Inputs'!$B$23*12,0,D94*B94/12)</f>
        <v>24829.727024967022</v>
      </c>
      <c r="H94" s="99">
        <f t="shared" si="5"/>
        <v>55445.071313635533</v>
      </c>
      <c r="I94" s="99">
        <f t="shared" si="8"/>
        <v>5903689.4146784497</v>
      </c>
      <c r="J94" s="98"/>
    </row>
    <row r="95" spans="1:10" x14ac:dyDescent="0.25">
      <c r="A95" s="77" t="b">
        <f>IF(('Stress Test Inputs'!$C$23)="FRM", FALSE, ISNUMBER(MATCH(C95,'Stress Test Inputs'!$M$18:$M$30,0)))</f>
        <v>0</v>
      </c>
      <c r="B95" s="103">
        <f>IF($A95, _xlfn.XLOOKUP(C95,'Stress Test Inputs'!$M$17:$M$29,'Stress Test Inputs'!$N$17:$N$29),$B94)</f>
        <v>0.05</v>
      </c>
      <c r="C95" s="101">
        <f t="shared" si="7"/>
        <v>93</v>
      </c>
      <c r="D95" s="99">
        <f t="shared" si="9"/>
        <v>5903689.4146784497</v>
      </c>
      <c r="E95" s="99">
        <f>IF(OR(D95&lt;=0,C95&gt;'Stress Test Inputs'!$B$23*12),0,IF(AND(C95='Stress Test Inputs'!$B$23*12,'Stress Test Inputs'!$E$23&gt;'Stress Test Inputs'!$B$23),D95+D95*B95/12,IF('Stress Test Inputs'!$C$23="FRM",-PMT($B$3/12,'Stress Test Inputs'!$E$23*12,$D$3),IF($A95,-PMT(B95/12,('Stress Test Inputs'!$E$23*12)-C95+1,D95),E94))))</f>
        <v>80274.798338602559</v>
      </c>
      <c r="F95" s="99">
        <f t="shared" si="6"/>
        <v>5823414.6163398474</v>
      </c>
      <c r="G95" s="99">
        <f>IF(C95&gt;'Stress Test Inputs'!$B$23*12,0,D95*B95/12)</f>
        <v>24598.705894493542</v>
      </c>
      <c r="H95" s="99">
        <f t="shared" si="5"/>
        <v>55676.092444109017</v>
      </c>
      <c r="I95" s="99">
        <f t="shared" si="8"/>
        <v>5848013.3222343409</v>
      </c>
      <c r="J95" s="98"/>
    </row>
    <row r="96" spans="1:10" x14ac:dyDescent="0.25">
      <c r="A96" s="77" t="b">
        <f>IF(('Stress Test Inputs'!$C$23)="FRM", FALSE, ISNUMBER(MATCH(C96,'Stress Test Inputs'!$M$18:$M$30,0)))</f>
        <v>0</v>
      </c>
      <c r="B96" s="103">
        <f>IF($A96, _xlfn.XLOOKUP(C96,'Stress Test Inputs'!$M$17:$M$29,'Stress Test Inputs'!$N$17:$N$29),$B95)</f>
        <v>0.05</v>
      </c>
      <c r="C96" s="101">
        <f t="shared" si="7"/>
        <v>94</v>
      </c>
      <c r="D96" s="99">
        <f t="shared" si="9"/>
        <v>5848013.3222343409</v>
      </c>
      <c r="E96" s="99">
        <f>IF(OR(D96&lt;=0,C96&gt;'Stress Test Inputs'!$B$23*12),0,IF(AND(C96='Stress Test Inputs'!$B$23*12,'Stress Test Inputs'!$E$23&gt;'Stress Test Inputs'!$B$23),D96+D96*B96/12,IF('Stress Test Inputs'!$C$23="FRM",-PMT($B$3/12,'Stress Test Inputs'!$E$23*12,$D$3),IF($A96,-PMT(B96/12,('Stress Test Inputs'!$E$23*12)-C96+1,D96),E95))))</f>
        <v>80274.798338602559</v>
      </c>
      <c r="F96" s="99">
        <f t="shared" si="6"/>
        <v>5767738.5238957386</v>
      </c>
      <c r="G96" s="99">
        <f>IF(C96&gt;'Stress Test Inputs'!$B$23*12,0,D96*B96/12)</f>
        <v>24366.722175976422</v>
      </c>
      <c r="H96" s="99">
        <f t="shared" si="5"/>
        <v>55908.076162626137</v>
      </c>
      <c r="I96" s="99">
        <f t="shared" si="8"/>
        <v>5792105.2460717149</v>
      </c>
      <c r="J96" s="98"/>
    </row>
    <row r="97" spans="1:10" x14ac:dyDescent="0.25">
      <c r="A97" s="77" t="b">
        <f>IF(('Stress Test Inputs'!$C$23)="FRM", FALSE, ISNUMBER(MATCH(C97,'Stress Test Inputs'!$M$18:$M$30,0)))</f>
        <v>0</v>
      </c>
      <c r="B97" s="103">
        <f>IF($A97, _xlfn.XLOOKUP(C97,'Stress Test Inputs'!$M$17:$M$29,'Stress Test Inputs'!$N$17:$N$29),$B96)</f>
        <v>0.05</v>
      </c>
      <c r="C97" s="101">
        <f t="shared" si="7"/>
        <v>95</v>
      </c>
      <c r="D97" s="99">
        <f t="shared" si="9"/>
        <v>5792105.2460717149</v>
      </c>
      <c r="E97" s="99">
        <f>IF(OR(D97&lt;=0,C97&gt;'Stress Test Inputs'!$B$23*12),0,IF(AND(C97='Stress Test Inputs'!$B$23*12,'Stress Test Inputs'!$E$23&gt;'Stress Test Inputs'!$B$23),D97+D97*B97/12,IF('Stress Test Inputs'!$C$23="FRM",-PMT($B$3/12,'Stress Test Inputs'!$E$23*12,$D$3),IF($A97,-PMT(B97/12,('Stress Test Inputs'!$E$23*12)-C97+1,D97),E96))))</f>
        <v>80274.798338602559</v>
      </c>
      <c r="F97" s="99">
        <f t="shared" si="6"/>
        <v>5711830.4477331126</v>
      </c>
      <c r="G97" s="99">
        <f>IF(C97&gt;'Stress Test Inputs'!$B$23*12,0,D97*B97/12)</f>
        <v>24133.771858632146</v>
      </c>
      <c r="H97" s="99">
        <f t="shared" si="5"/>
        <v>56141.026479970416</v>
      </c>
      <c r="I97" s="99">
        <f t="shared" si="8"/>
        <v>5735964.2195917442</v>
      </c>
      <c r="J97" s="98"/>
    </row>
    <row r="98" spans="1:10" x14ac:dyDescent="0.25">
      <c r="A98" s="77" t="b">
        <f>IF(('Stress Test Inputs'!$C$23)="FRM", FALSE, ISNUMBER(MATCH(C98,'Stress Test Inputs'!$M$18:$M$30,0)))</f>
        <v>0</v>
      </c>
      <c r="B98" s="103">
        <f>IF($A98, _xlfn.XLOOKUP(C98,'Stress Test Inputs'!$M$17:$M$29,'Stress Test Inputs'!$N$17:$N$29),$B97)</f>
        <v>0.05</v>
      </c>
      <c r="C98" s="101">
        <f t="shared" si="7"/>
        <v>96</v>
      </c>
      <c r="D98" s="99">
        <f t="shared" si="9"/>
        <v>5735964.2195917442</v>
      </c>
      <c r="E98" s="99">
        <f>IF(OR(D98&lt;=0,C98&gt;'Stress Test Inputs'!$B$23*12),0,IF(AND(C98='Stress Test Inputs'!$B$23*12,'Stress Test Inputs'!$E$23&gt;'Stress Test Inputs'!$B$23),D98+D98*B98/12,IF('Stress Test Inputs'!$C$23="FRM",-PMT($B$3/12,'Stress Test Inputs'!$E$23*12,$D$3),IF($A98,-PMT(B98/12,('Stress Test Inputs'!$E$23*12)-C98+1,D98),E97))))</f>
        <v>80274.798338602559</v>
      </c>
      <c r="F98" s="99">
        <f t="shared" si="6"/>
        <v>5655689.4212531419</v>
      </c>
      <c r="G98" s="99">
        <f>IF(C98&gt;'Stress Test Inputs'!$B$23*12,0,D98*B98/12)</f>
        <v>23899.850914965602</v>
      </c>
      <c r="H98" s="99">
        <f t="shared" si="5"/>
        <v>56374.947423636957</v>
      </c>
      <c r="I98" s="99">
        <f t="shared" si="8"/>
        <v>5679589.2721681073</v>
      </c>
      <c r="J98" s="98"/>
    </row>
    <row r="99" spans="1:10" x14ac:dyDescent="0.25">
      <c r="A99" s="77" t="b">
        <f>IF(('Stress Test Inputs'!$C$23)="FRM", FALSE, ISNUMBER(MATCH(C99,'Stress Test Inputs'!$M$18:$M$30,0)))</f>
        <v>0</v>
      </c>
      <c r="B99" s="103">
        <f>IF($A99, _xlfn.XLOOKUP(C99,'Stress Test Inputs'!$M$17:$M$29,'Stress Test Inputs'!$N$17:$N$29),$B98)</f>
        <v>0.05</v>
      </c>
      <c r="C99" s="101">
        <f t="shared" si="7"/>
        <v>97</v>
      </c>
      <c r="D99" s="99">
        <f t="shared" si="9"/>
        <v>5679589.2721681073</v>
      </c>
      <c r="E99" s="99">
        <f>IF(OR(D99&lt;=0,C99&gt;'Stress Test Inputs'!$B$23*12),0,IF(AND(C99='Stress Test Inputs'!$B$23*12,'Stress Test Inputs'!$E$23&gt;'Stress Test Inputs'!$B$23),D99+D99*B99/12,IF('Stress Test Inputs'!$C$23="FRM",-PMT($B$3/12,'Stress Test Inputs'!$E$23*12,$D$3),IF($A99,-PMT(B99/12,('Stress Test Inputs'!$E$23*12)-C99+1,D99),E98))))</f>
        <v>80274.798338602559</v>
      </c>
      <c r="F99" s="99">
        <f t="shared" si="6"/>
        <v>5599314.473829505</v>
      </c>
      <c r="G99" s="99">
        <f>IF(C99&gt;'Stress Test Inputs'!$B$23*12,0,D99*B99/12)</f>
        <v>23664.955300700447</v>
      </c>
      <c r="H99" s="99">
        <f t="shared" si="5"/>
        <v>56609.843037902116</v>
      </c>
      <c r="I99" s="99">
        <f t="shared" si="8"/>
        <v>5622979.429130205</v>
      </c>
      <c r="J99" s="98"/>
    </row>
    <row r="100" spans="1:10" x14ac:dyDescent="0.25">
      <c r="A100" s="77" t="b">
        <f>IF(('Stress Test Inputs'!$C$23)="FRM", FALSE, ISNUMBER(MATCH(C100,'Stress Test Inputs'!$M$18:$M$30,0)))</f>
        <v>0</v>
      </c>
      <c r="B100" s="103">
        <f>IF($A100, _xlfn.XLOOKUP(C100,'Stress Test Inputs'!$M$17:$M$29,'Stress Test Inputs'!$N$17:$N$29),$B99)</f>
        <v>0.05</v>
      </c>
      <c r="C100" s="101">
        <f t="shared" si="7"/>
        <v>98</v>
      </c>
      <c r="D100" s="99">
        <f t="shared" si="9"/>
        <v>5622979.429130205</v>
      </c>
      <c r="E100" s="99">
        <f>IF(OR(D100&lt;=0,C100&gt;'Stress Test Inputs'!$B$23*12),0,IF(AND(C100='Stress Test Inputs'!$B$23*12,'Stress Test Inputs'!$E$23&gt;'Stress Test Inputs'!$B$23),D100+D100*B100/12,IF('Stress Test Inputs'!$C$23="FRM",-PMT($B$3/12,'Stress Test Inputs'!$E$23*12,$D$3),IF($A100,-PMT(B100/12,('Stress Test Inputs'!$E$23*12)-C100+1,D100),E99))))</f>
        <v>80274.798338602559</v>
      </c>
      <c r="F100" s="99">
        <f t="shared" si="6"/>
        <v>5542704.6307916027</v>
      </c>
      <c r="G100" s="99">
        <f>IF(C100&gt;'Stress Test Inputs'!$B$23*12,0,D100*B100/12)</f>
        <v>23429.080954709189</v>
      </c>
      <c r="H100" s="99">
        <f t="shared" si="5"/>
        <v>56845.717383893367</v>
      </c>
      <c r="I100" s="99">
        <f t="shared" si="8"/>
        <v>5566133.7117463117</v>
      </c>
      <c r="J100" s="98"/>
    </row>
    <row r="101" spans="1:10" x14ac:dyDescent="0.25">
      <c r="A101" s="77" t="b">
        <f>IF(('Stress Test Inputs'!$C$23)="FRM", FALSE, ISNUMBER(MATCH(C101,'Stress Test Inputs'!$M$18:$M$30,0)))</f>
        <v>0</v>
      </c>
      <c r="B101" s="103">
        <f>IF($A101, _xlfn.XLOOKUP(C101,'Stress Test Inputs'!$M$17:$M$29,'Stress Test Inputs'!$N$17:$N$29),$B100)</f>
        <v>0.05</v>
      </c>
      <c r="C101" s="101">
        <f t="shared" si="7"/>
        <v>99</v>
      </c>
      <c r="D101" s="99">
        <f t="shared" si="9"/>
        <v>5566133.7117463117</v>
      </c>
      <c r="E101" s="99">
        <f>IF(OR(D101&lt;=0,C101&gt;'Stress Test Inputs'!$B$23*12),0,IF(AND(C101='Stress Test Inputs'!$B$23*12,'Stress Test Inputs'!$E$23&gt;'Stress Test Inputs'!$B$23),D101+D101*B101/12,IF('Stress Test Inputs'!$C$23="FRM",-PMT($B$3/12,'Stress Test Inputs'!$E$23*12,$D$3),IF($A101,-PMT(B101/12,('Stress Test Inputs'!$E$23*12)-C101+1,D101),E100))))</f>
        <v>80274.798338602559</v>
      </c>
      <c r="F101" s="99">
        <f t="shared" si="6"/>
        <v>5485858.9134077094</v>
      </c>
      <c r="G101" s="99">
        <f>IF(C101&gt;'Stress Test Inputs'!$B$23*12,0,D101*B101/12)</f>
        <v>23192.223798942967</v>
      </c>
      <c r="H101" s="99">
        <f t="shared" si="5"/>
        <v>57082.574539659588</v>
      </c>
      <c r="I101" s="99">
        <f t="shared" si="8"/>
        <v>5509051.1372066522</v>
      </c>
      <c r="J101" s="98"/>
    </row>
    <row r="102" spans="1:10" x14ac:dyDescent="0.25">
      <c r="A102" s="77" t="b">
        <f>IF(('Stress Test Inputs'!$C$23)="FRM", FALSE, ISNUMBER(MATCH(C102,'Stress Test Inputs'!$M$18:$M$30,0)))</f>
        <v>1</v>
      </c>
      <c r="B102" s="103">
        <f>IF($A102, _xlfn.XLOOKUP(C102,'Stress Test Inputs'!$M$17:$M$29,'Stress Test Inputs'!$N$17:$N$29),$B101)</f>
        <v>6.5000000000000002E-2</v>
      </c>
      <c r="C102" s="101">
        <f t="shared" si="7"/>
        <v>100</v>
      </c>
      <c r="D102" s="99">
        <f t="shared" si="9"/>
        <v>5509051.1372066522</v>
      </c>
      <c r="E102" s="99">
        <f>IF(OR(D102&lt;=0,C102&gt;'Stress Test Inputs'!$B$23*12),0,IF(AND(C102='Stress Test Inputs'!$B$23*12,'Stress Test Inputs'!$E$23&gt;'Stress Test Inputs'!$B$23),D102+D102*B102/12,IF('Stress Test Inputs'!$C$23="FRM",-PMT($B$3/12,'Stress Test Inputs'!$E$23*12,$D$3),IF($A102,-PMT(B102/12,('Stress Test Inputs'!$E$23*12)-C102+1,D102),E101))))</f>
        <v>84202.009396370384</v>
      </c>
      <c r="F102" s="99">
        <f t="shared" si="6"/>
        <v>5424849.1278102817</v>
      </c>
      <c r="G102" s="99">
        <f>IF(C102&gt;'Stress Test Inputs'!$B$23*12,0,D102*B102/12)</f>
        <v>29840.693659869368</v>
      </c>
      <c r="H102" s="99">
        <f t="shared" si="5"/>
        <v>54361.315736501012</v>
      </c>
      <c r="I102" s="99">
        <f t="shared" si="8"/>
        <v>5454689.8214701507</v>
      </c>
      <c r="J102" s="98"/>
    </row>
    <row r="103" spans="1:10" x14ac:dyDescent="0.25">
      <c r="A103" s="77" t="b">
        <f>IF(('Stress Test Inputs'!$C$23)="FRM", FALSE, ISNUMBER(MATCH(C103,'Stress Test Inputs'!$M$18:$M$30,0)))</f>
        <v>0</v>
      </c>
      <c r="B103" s="103">
        <f>IF($A103, _xlfn.XLOOKUP(C103,'Stress Test Inputs'!$M$17:$M$29,'Stress Test Inputs'!$N$17:$N$29),$B102)</f>
        <v>6.5000000000000002E-2</v>
      </c>
      <c r="C103" s="101">
        <f t="shared" si="7"/>
        <v>101</v>
      </c>
      <c r="D103" s="99">
        <f t="shared" si="9"/>
        <v>5454689.8214701507</v>
      </c>
      <c r="E103" s="99">
        <f>IF(OR(D103&lt;=0,C103&gt;'Stress Test Inputs'!$B$23*12),0,IF(AND(C103='Stress Test Inputs'!$B$23*12,'Stress Test Inputs'!$E$23&gt;'Stress Test Inputs'!$B$23),D103+D103*B103/12,IF('Stress Test Inputs'!$C$23="FRM",-PMT($B$3/12,'Stress Test Inputs'!$E$23*12,$D$3),IF($A103,-PMT(B103/12,('Stress Test Inputs'!$E$23*12)-C103+1,D103),E102))))</f>
        <v>84202.009396370384</v>
      </c>
      <c r="F103" s="99">
        <f t="shared" si="6"/>
        <v>5370487.8120737802</v>
      </c>
      <c r="G103" s="99">
        <f>IF(C103&gt;'Stress Test Inputs'!$B$23*12,0,D103*B103/12)</f>
        <v>29546.236532963318</v>
      </c>
      <c r="H103" s="99">
        <f t="shared" si="5"/>
        <v>54655.772863407066</v>
      </c>
      <c r="I103" s="99">
        <f t="shared" si="8"/>
        <v>5400034.048606744</v>
      </c>
      <c r="J103" s="98"/>
    </row>
    <row r="104" spans="1:10" x14ac:dyDescent="0.25">
      <c r="A104" s="77" t="b">
        <f>IF(('Stress Test Inputs'!$C$23)="FRM", FALSE, ISNUMBER(MATCH(C104,'Stress Test Inputs'!$M$18:$M$30,0)))</f>
        <v>0</v>
      </c>
      <c r="B104" s="103">
        <f>IF($A104, _xlfn.XLOOKUP(C104,'Stress Test Inputs'!$M$17:$M$29,'Stress Test Inputs'!$N$17:$N$29),$B103)</f>
        <v>6.5000000000000002E-2</v>
      </c>
      <c r="C104" s="101">
        <f t="shared" si="7"/>
        <v>102</v>
      </c>
      <c r="D104" s="99">
        <f t="shared" si="9"/>
        <v>5400034.048606744</v>
      </c>
      <c r="E104" s="99">
        <f>IF(OR(D104&lt;=0,C104&gt;'Stress Test Inputs'!$B$23*12),0,IF(AND(C104='Stress Test Inputs'!$B$23*12,'Stress Test Inputs'!$E$23&gt;'Stress Test Inputs'!$B$23),D104+D104*B104/12,IF('Stress Test Inputs'!$C$23="FRM",-PMT($B$3/12,'Stress Test Inputs'!$E$23*12,$D$3),IF($A104,-PMT(B104/12,('Stress Test Inputs'!$E$23*12)-C104+1,D104),E103))))</f>
        <v>84202.009396370384</v>
      </c>
      <c r="F104" s="99">
        <f t="shared" si="6"/>
        <v>5315832.0392103735</v>
      </c>
      <c r="G104" s="99">
        <f>IF(C104&gt;'Stress Test Inputs'!$B$23*12,0,D104*B104/12)</f>
        <v>29250.184429953199</v>
      </c>
      <c r="H104" s="99">
        <f t="shared" si="5"/>
        <v>54951.824966417189</v>
      </c>
      <c r="I104" s="99">
        <f t="shared" si="8"/>
        <v>5345082.2236403264</v>
      </c>
      <c r="J104" s="98"/>
    </row>
    <row r="105" spans="1:10" x14ac:dyDescent="0.25">
      <c r="A105" s="77" t="b">
        <f>IF(('Stress Test Inputs'!$C$23)="FRM", FALSE, ISNUMBER(MATCH(C105,'Stress Test Inputs'!$M$18:$M$30,0)))</f>
        <v>0</v>
      </c>
      <c r="B105" s="103">
        <f>IF($A105, _xlfn.XLOOKUP(C105,'Stress Test Inputs'!$M$17:$M$29,'Stress Test Inputs'!$N$17:$N$29),$B104)</f>
        <v>6.5000000000000002E-2</v>
      </c>
      <c r="C105" s="101">
        <f t="shared" si="7"/>
        <v>103</v>
      </c>
      <c r="D105" s="99">
        <f t="shared" si="9"/>
        <v>5345082.2236403264</v>
      </c>
      <c r="E105" s="99">
        <f>IF(OR(D105&lt;=0,C105&gt;'Stress Test Inputs'!$B$23*12),0,IF(AND(C105='Stress Test Inputs'!$B$23*12,'Stress Test Inputs'!$E$23&gt;'Stress Test Inputs'!$B$23),D105+D105*B105/12,IF('Stress Test Inputs'!$C$23="FRM",-PMT($B$3/12,'Stress Test Inputs'!$E$23*12,$D$3),IF($A105,-PMT(B105/12,('Stress Test Inputs'!$E$23*12)-C105+1,D105),E104))))</f>
        <v>84202.009396370384</v>
      </c>
      <c r="F105" s="99">
        <f t="shared" si="6"/>
        <v>5260880.2142439559</v>
      </c>
      <c r="G105" s="99">
        <f>IF(C105&gt;'Stress Test Inputs'!$B$23*12,0,D105*B105/12)</f>
        <v>28952.528711385105</v>
      </c>
      <c r="H105" s="99">
        <f t="shared" si="5"/>
        <v>55249.480684985276</v>
      </c>
      <c r="I105" s="99">
        <f t="shared" si="8"/>
        <v>5289832.742955341</v>
      </c>
      <c r="J105" s="98"/>
    </row>
    <row r="106" spans="1:10" x14ac:dyDescent="0.25">
      <c r="A106" s="77" t="b">
        <f>IF(('Stress Test Inputs'!$C$23)="FRM", FALSE, ISNUMBER(MATCH(C106,'Stress Test Inputs'!$M$18:$M$30,0)))</f>
        <v>0</v>
      </c>
      <c r="B106" s="103">
        <f>IF($A106, _xlfn.XLOOKUP(C106,'Stress Test Inputs'!$M$17:$M$29,'Stress Test Inputs'!$N$17:$N$29),$B105)</f>
        <v>6.5000000000000002E-2</v>
      </c>
      <c r="C106" s="101">
        <f t="shared" si="7"/>
        <v>104</v>
      </c>
      <c r="D106" s="99">
        <f t="shared" si="9"/>
        <v>5289832.742955341</v>
      </c>
      <c r="E106" s="99">
        <f>IF(OR(D106&lt;=0,C106&gt;'Stress Test Inputs'!$B$23*12),0,IF(AND(C106='Stress Test Inputs'!$B$23*12,'Stress Test Inputs'!$E$23&gt;'Stress Test Inputs'!$B$23),D106+D106*B106/12,IF('Stress Test Inputs'!$C$23="FRM",-PMT($B$3/12,'Stress Test Inputs'!$E$23*12,$D$3),IF($A106,-PMT(B106/12,('Stress Test Inputs'!$E$23*12)-C106+1,D106),E105))))</f>
        <v>84202.009396370384</v>
      </c>
      <c r="F106" s="99">
        <f t="shared" si="6"/>
        <v>5205630.7335589705</v>
      </c>
      <c r="G106" s="99">
        <f>IF(C106&gt;'Stress Test Inputs'!$B$23*12,0,D106*B106/12)</f>
        <v>28653.260691008098</v>
      </c>
      <c r="H106" s="99">
        <f t="shared" si="5"/>
        <v>55548.74870536229</v>
      </c>
      <c r="I106" s="99">
        <f t="shared" si="8"/>
        <v>5234283.994249979</v>
      </c>
      <c r="J106" s="98"/>
    </row>
    <row r="107" spans="1:10" x14ac:dyDescent="0.25">
      <c r="A107" s="77" t="b">
        <f>IF(('Stress Test Inputs'!$C$23)="FRM", FALSE, ISNUMBER(MATCH(C107,'Stress Test Inputs'!$M$18:$M$30,0)))</f>
        <v>0</v>
      </c>
      <c r="B107" s="103">
        <f>IF($A107, _xlfn.XLOOKUP(C107,'Stress Test Inputs'!$M$17:$M$29,'Stress Test Inputs'!$N$17:$N$29),$B106)</f>
        <v>6.5000000000000002E-2</v>
      </c>
      <c r="C107" s="101">
        <f t="shared" si="7"/>
        <v>105</v>
      </c>
      <c r="D107" s="99">
        <f t="shared" si="9"/>
        <v>5234283.994249979</v>
      </c>
      <c r="E107" s="99">
        <f>IF(OR(D107&lt;=0,C107&gt;'Stress Test Inputs'!$B$23*12),0,IF(AND(C107='Stress Test Inputs'!$B$23*12,'Stress Test Inputs'!$E$23&gt;'Stress Test Inputs'!$B$23),D107+D107*B107/12,IF('Stress Test Inputs'!$C$23="FRM",-PMT($B$3/12,'Stress Test Inputs'!$E$23*12,$D$3),IF($A107,-PMT(B107/12,('Stress Test Inputs'!$E$23*12)-C107+1,D107),E106))))</f>
        <v>84202.009396370384</v>
      </c>
      <c r="F107" s="99">
        <f t="shared" si="6"/>
        <v>5150081.9848536085</v>
      </c>
      <c r="G107" s="99">
        <f>IF(C107&gt;'Stress Test Inputs'!$B$23*12,0,D107*B107/12)</f>
        <v>28352.371635520718</v>
      </c>
      <c r="H107" s="99">
        <f t="shared" si="5"/>
        <v>55849.63776084967</v>
      </c>
      <c r="I107" s="99">
        <f t="shared" si="8"/>
        <v>5178434.3564891294</v>
      </c>
      <c r="J107" s="98"/>
    </row>
    <row r="108" spans="1:10" x14ac:dyDescent="0.25">
      <c r="A108" s="77" t="b">
        <f>IF(('Stress Test Inputs'!$C$23)="FRM", FALSE, ISNUMBER(MATCH(C108,'Stress Test Inputs'!$M$18:$M$30,0)))</f>
        <v>0</v>
      </c>
      <c r="B108" s="103">
        <f>IF($A108, _xlfn.XLOOKUP(C108,'Stress Test Inputs'!$M$17:$M$29,'Stress Test Inputs'!$N$17:$N$29),$B107)</f>
        <v>6.5000000000000002E-2</v>
      </c>
      <c r="C108" s="101">
        <f t="shared" si="7"/>
        <v>106</v>
      </c>
      <c r="D108" s="99">
        <f t="shared" si="9"/>
        <v>5178434.3564891294</v>
      </c>
      <c r="E108" s="99">
        <f>IF(OR(D108&lt;=0,C108&gt;'Stress Test Inputs'!$B$23*12),0,IF(AND(C108='Stress Test Inputs'!$B$23*12,'Stress Test Inputs'!$E$23&gt;'Stress Test Inputs'!$B$23),D108+D108*B108/12,IF('Stress Test Inputs'!$C$23="FRM",-PMT($B$3/12,'Stress Test Inputs'!$E$23*12,$D$3),IF($A108,-PMT(B108/12,('Stress Test Inputs'!$E$23*12)-C108+1,D108),E107))))</f>
        <v>84202.009396370384</v>
      </c>
      <c r="F108" s="99">
        <f t="shared" si="6"/>
        <v>5094232.3470927589</v>
      </c>
      <c r="G108" s="99">
        <f>IF(C108&gt;'Stress Test Inputs'!$B$23*12,0,D108*B108/12)</f>
        <v>28049.852764316118</v>
      </c>
      <c r="H108" s="99">
        <f t="shared" si="5"/>
        <v>56152.156632054262</v>
      </c>
      <c r="I108" s="99">
        <f t="shared" si="8"/>
        <v>5122282.1998570748</v>
      </c>
      <c r="J108" s="98"/>
    </row>
    <row r="109" spans="1:10" x14ac:dyDescent="0.25">
      <c r="A109" s="77" t="b">
        <f>IF(('Stress Test Inputs'!$C$23)="FRM", FALSE, ISNUMBER(MATCH(C109,'Stress Test Inputs'!$M$18:$M$30,0)))</f>
        <v>0</v>
      </c>
      <c r="B109" s="103">
        <f>IF($A109, _xlfn.XLOOKUP(C109,'Stress Test Inputs'!$M$17:$M$29,'Stress Test Inputs'!$N$17:$N$29),$B108)</f>
        <v>6.5000000000000002E-2</v>
      </c>
      <c r="C109" s="101">
        <f t="shared" si="7"/>
        <v>107</v>
      </c>
      <c r="D109" s="99">
        <f t="shared" si="9"/>
        <v>5122282.1998570748</v>
      </c>
      <c r="E109" s="99">
        <f>IF(OR(D109&lt;=0,C109&gt;'Stress Test Inputs'!$B$23*12),0,IF(AND(C109='Stress Test Inputs'!$B$23*12,'Stress Test Inputs'!$E$23&gt;'Stress Test Inputs'!$B$23),D109+D109*B109/12,IF('Stress Test Inputs'!$C$23="FRM",-PMT($B$3/12,'Stress Test Inputs'!$E$23*12,$D$3),IF($A109,-PMT(B109/12,('Stress Test Inputs'!$E$23*12)-C109+1,D109),E108))))</f>
        <v>84202.009396370384</v>
      </c>
      <c r="F109" s="99">
        <f t="shared" si="6"/>
        <v>5038080.1904607043</v>
      </c>
      <c r="G109" s="99">
        <f>IF(C109&gt;'Stress Test Inputs'!$B$23*12,0,D109*B109/12)</f>
        <v>27745.695249225824</v>
      </c>
      <c r="H109" s="99">
        <f t="shared" si="5"/>
        <v>56456.314147144556</v>
      </c>
      <c r="I109" s="99">
        <f t="shared" si="8"/>
        <v>5065825.8857099302</v>
      </c>
      <c r="J109" s="98"/>
    </row>
    <row r="110" spans="1:10" x14ac:dyDescent="0.25">
      <c r="A110" s="77" t="b">
        <f>IF(('Stress Test Inputs'!$C$23)="FRM", FALSE, ISNUMBER(MATCH(C110,'Stress Test Inputs'!$M$18:$M$30,0)))</f>
        <v>0</v>
      </c>
      <c r="B110" s="103">
        <f>IF($A110, _xlfn.XLOOKUP(C110,'Stress Test Inputs'!$M$17:$M$29,'Stress Test Inputs'!$N$17:$N$29),$B109)</f>
        <v>6.5000000000000002E-2</v>
      </c>
      <c r="C110" s="101">
        <f t="shared" si="7"/>
        <v>108</v>
      </c>
      <c r="D110" s="99">
        <f t="shared" si="9"/>
        <v>5065825.8857099302</v>
      </c>
      <c r="E110" s="99">
        <f>IF(OR(D110&lt;=0,C110&gt;'Stress Test Inputs'!$B$23*12),0,IF(AND(C110='Stress Test Inputs'!$B$23*12,'Stress Test Inputs'!$E$23&gt;'Stress Test Inputs'!$B$23),D110+D110*B110/12,IF('Stress Test Inputs'!$C$23="FRM",-PMT($B$3/12,'Stress Test Inputs'!$E$23*12,$D$3),IF($A110,-PMT(B110/12,('Stress Test Inputs'!$E$23*12)-C110+1,D110),E109))))</f>
        <v>84202.009396370384</v>
      </c>
      <c r="F110" s="99">
        <f t="shared" si="6"/>
        <v>4981623.8763135597</v>
      </c>
      <c r="G110" s="99">
        <f>IF(C110&gt;'Stress Test Inputs'!$B$23*12,0,D110*B110/12)</f>
        <v>27439.890214262123</v>
      </c>
      <c r="H110" s="99">
        <f t="shared" si="5"/>
        <v>56762.119182108261</v>
      </c>
      <c r="I110" s="99">
        <f t="shared" si="8"/>
        <v>5009063.7665278222</v>
      </c>
      <c r="J110" s="98"/>
    </row>
    <row r="111" spans="1:10" x14ac:dyDescent="0.25">
      <c r="A111" s="77" t="b">
        <f>IF(('Stress Test Inputs'!$C$23)="FRM", FALSE, ISNUMBER(MATCH(C111,'Stress Test Inputs'!$M$18:$M$30,0)))</f>
        <v>0</v>
      </c>
      <c r="B111" s="103">
        <f>IF($A111, _xlfn.XLOOKUP(C111,'Stress Test Inputs'!$M$17:$M$29,'Stress Test Inputs'!$N$17:$N$29),$B110)</f>
        <v>6.5000000000000002E-2</v>
      </c>
      <c r="C111" s="101">
        <f t="shared" si="7"/>
        <v>109</v>
      </c>
      <c r="D111" s="99">
        <f t="shared" si="9"/>
        <v>5009063.7665278222</v>
      </c>
      <c r="E111" s="99">
        <f>IF(OR(D111&lt;=0,C111&gt;'Stress Test Inputs'!$B$23*12),0,IF(AND(C111='Stress Test Inputs'!$B$23*12,'Stress Test Inputs'!$E$23&gt;'Stress Test Inputs'!$B$23),D111+D111*B111/12,IF('Stress Test Inputs'!$C$23="FRM",-PMT($B$3/12,'Stress Test Inputs'!$E$23*12,$D$3),IF($A111,-PMT(B111/12,('Stress Test Inputs'!$E$23*12)-C111+1,D111),E110))))</f>
        <v>84202.009396370384</v>
      </c>
      <c r="F111" s="99">
        <f t="shared" si="6"/>
        <v>4924861.7571314517</v>
      </c>
      <c r="G111" s="99">
        <f>IF(C111&gt;'Stress Test Inputs'!$B$23*12,0,D111*B111/12)</f>
        <v>27132.428735359037</v>
      </c>
      <c r="H111" s="99">
        <f t="shared" si="5"/>
        <v>57069.58066101135</v>
      </c>
      <c r="I111" s="99">
        <f t="shared" si="8"/>
        <v>4951994.1858668113</v>
      </c>
      <c r="J111" s="98"/>
    </row>
    <row r="112" spans="1:10" x14ac:dyDescent="0.25">
      <c r="A112" s="77" t="b">
        <f>IF(('Stress Test Inputs'!$C$23)="FRM", FALSE, ISNUMBER(MATCH(C112,'Stress Test Inputs'!$M$18:$M$30,0)))</f>
        <v>0</v>
      </c>
      <c r="B112" s="103">
        <f>IF($A112, _xlfn.XLOOKUP(C112,'Stress Test Inputs'!$M$17:$M$29,'Stress Test Inputs'!$N$17:$N$29),$B111)</f>
        <v>6.5000000000000002E-2</v>
      </c>
      <c r="C112" s="101">
        <f t="shared" si="7"/>
        <v>110</v>
      </c>
      <c r="D112" s="99">
        <f t="shared" si="9"/>
        <v>4951994.1858668113</v>
      </c>
      <c r="E112" s="99">
        <f>IF(OR(D112&lt;=0,C112&gt;'Stress Test Inputs'!$B$23*12),0,IF(AND(C112='Stress Test Inputs'!$B$23*12,'Stress Test Inputs'!$E$23&gt;'Stress Test Inputs'!$B$23),D112+D112*B112/12,IF('Stress Test Inputs'!$C$23="FRM",-PMT($B$3/12,'Stress Test Inputs'!$E$23*12,$D$3),IF($A112,-PMT(B112/12,('Stress Test Inputs'!$E$23*12)-C112+1,D112),E111))))</f>
        <v>84202.009396370384</v>
      </c>
      <c r="F112" s="99">
        <f t="shared" si="6"/>
        <v>4867792.1764704408</v>
      </c>
      <c r="G112" s="99">
        <f>IF(C112&gt;'Stress Test Inputs'!$B$23*12,0,D112*B112/12)</f>
        <v>26823.301840111893</v>
      </c>
      <c r="H112" s="99">
        <f t="shared" si="5"/>
        <v>57378.707556258494</v>
      </c>
      <c r="I112" s="99">
        <f t="shared" si="8"/>
        <v>4894615.4783105524</v>
      </c>
      <c r="J112" s="98"/>
    </row>
    <row r="113" spans="1:10" x14ac:dyDescent="0.25">
      <c r="A113" s="77" t="b">
        <f>IF(('Stress Test Inputs'!$C$23)="FRM", FALSE, ISNUMBER(MATCH(C113,'Stress Test Inputs'!$M$18:$M$30,0)))</f>
        <v>0</v>
      </c>
      <c r="B113" s="103">
        <f>IF($A113, _xlfn.XLOOKUP(C113,'Stress Test Inputs'!$M$17:$M$29,'Stress Test Inputs'!$N$17:$N$29),$B112)</f>
        <v>6.5000000000000002E-2</v>
      </c>
      <c r="C113" s="101">
        <f t="shared" si="7"/>
        <v>111</v>
      </c>
      <c r="D113" s="99">
        <f t="shared" si="9"/>
        <v>4894615.4783105524</v>
      </c>
      <c r="E113" s="99">
        <f>IF(OR(D113&lt;=0,C113&gt;'Stress Test Inputs'!$B$23*12),0,IF(AND(C113='Stress Test Inputs'!$B$23*12,'Stress Test Inputs'!$E$23&gt;'Stress Test Inputs'!$B$23),D113+D113*B113/12,IF('Stress Test Inputs'!$C$23="FRM",-PMT($B$3/12,'Stress Test Inputs'!$E$23*12,$D$3),IF($A113,-PMT(B113/12,('Stress Test Inputs'!$E$23*12)-C113+1,D113),E112))))</f>
        <v>84202.009396370384</v>
      </c>
      <c r="F113" s="99">
        <f t="shared" si="6"/>
        <v>4810413.4689141819</v>
      </c>
      <c r="G113" s="99">
        <f>IF(C113&gt;'Stress Test Inputs'!$B$23*12,0,D113*B113/12)</f>
        <v>26512.500507515491</v>
      </c>
      <c r="H113" s="99">
        <f t="shared" si="5"/>
        <v>57689.508888854893</v>
      </c>
      <c r="I113" s="99">
        <f t="shared" si="8"/>
        <v>4836925.9694216978</v>
      </c>
      <c r="J113" s="98"/>
    </row>
    <row r="114" spans="1:10" x14ac:dyDescent="0.25">
      <c r="A114" s="77" t="b">
        <f>IF(('Stress Test Inputs'!$C$23)="FRM", FALSE, ISNUMBER(MATCH(C114,'Stress Test Inputs'!$M$18:$M$30,0)))</f>
        <v>0</v>
      </c>
      <c r="B114" s="103">
        <f>IF($A114, _xlfn.XLOOKUP(C114,'Stress Test Inputs'!$M$17:$M$29,'Stress Test Inputs'!$N$17:$N$29),$B113)</f>
        <v>6.5000000000000002E-2</v>
      </c>
      <c r="C114" s="101">
        <f t="shared" si="7"/>
        <v>112</v>
      </c>
      <c r="D114" s="99">
        <f t="shared" si="9"/>
        <v>4836925.9694216978</v>
      </c>
      <c r="E114" s="99">
        <f>IF(OR(D114&lt;=0,C114&gt;'Stress Test Inputs'!$B$23*12),0,IF(AND(C114='Stress Test Inputs'!$B$23*12,'Stress Test Inputs'!$E$23&gt;'Stress Test Inputs'!$B$23),D114+D114*B114/12,IF('Stress Test Inputs'!$C$23="FRM",-PMT($B$3/12,'Stress Test Inputs'!$E$23*12,$D$3),IF($A114,-PMT(B114/12,('Stress Test Inputs'!$E$23*12)-C114+1,D114),E113))))</f>
        <v>84202.009396370384</v>
      </c>
      <c r="F114" s="99">
        <f t="shared" si="6"/>
        <v>4752723.9600253273</v>
      </c>
      <c r="G114" s="99">
        <f>IF(C114&gt;'Stress Test Inputs'!$B$23*12,0,D114*B114/12)</f>
        <v>26200.015667700864</v>
      </c>
      <c r="H114" s="99">
        <f t="shared" si="5"/>
        <v>58001.99372866952</v>
      </c>
      <c r="I114" s="99">
        <f t="shared" si="8"/>
        <v>4778923.9756930284</v>
      </c>
      <c r="J114" s="98"/>
    </row>
    <row r="115" spans="1:10" x14ac:dyDescent="0.25">
      <c r="A115" s="77" t="b">
        <f>IF(('Stress Test Inputs'!$C$23)="FRM", FALSE, ISNUMBER(MATCH(C115,'Stress Test Inputs'!$M$18:$M$30,0)))</f>
        <v>0</v>
      </c>
      <c r="B115" s="103">
        <f>IF($A115, _xlfn.XLOOKUP(C115,'Stress Test Inputs'!$M$17:$M$29,'Stress Test Inputs'!$N$17:$N$29),$B114)</f>
        <v>6.5000000000000002E-2</v>
      </c>
      <c r="C115" s="101">
        <f t="shared" si="7"/>
        <v>113</v>
      </c>
      <c r="D115" s="99">
        <f t="shared" si="9"/>
        <v>4778923.9756930284</v>
      </c>
      <c r="E115" s="99">
        <f>IF(OR(D115&lt;=0,C115&gt;'Stress Test Inputs'!$B$23*12),0,IF(AND(C115='Stress Test Inputs'!$B$23*12,'Stress Test Inputs'!$E$23&gt;'Stress Test Inputs'!$B$23),D115+D115*B115/12,IF('Stress Test Inputs'!$C$23="FRM",-PMT($B$3/12,'Stress Test Inputs'!$E$23*12,$D$3),IF($A115,-PMT(B115/12,('Stress Test Inputs'!$E$23*12)-C115+1,D115),E114))))</f>
        <v>84202.009396370384</v>
      </c>
      <c r="F115" s="99">
        <f t="shared" si="6"/>
        <v>4694721.9662966579</v>
      </c>
      <c r="G115" s="99">
        <f>IF(C115&gt;'Stress Test Inputs'!$B$23*12,0,D115*B115/12)</f>
        <v>25885.838201670573</v>
      </c>
      <c r="H115" s="99">
        <f t="shared" si="5"/>
        <v>58316.171194699811</v>
      </c>
      <c r="I115" s="99">
        <f t="shared" si="8"/>
        <v>4720607.8044983288</v>
      </c>
      <c r="J115" s="98"/>
    </row>
    <row r="116" spans="1:10" x14ac:dyDescent="0.25">
      <c r="A116" s="77" t="b">
        <f>IF(('Stress Test Inputs'!$C$23)="FRM", FALSE, ISNUMBER(MATCH(C116,'Stress Test Inputs'!$M$18:$M$30,0)))</f>
        <v>0</v>
      </c>
      <c r="B116" s="103">
        <f>IF($A116, _xlfn.XLOOKUP(C116,'Stress Test Inputs'!$M$17:$M$29,'Stress Test Inputs'!$N$17:$N$29),$B115)</f>
        <v>6.5000000000000002E-2</v>
      </c>
      <c r="C116" s="101">
        <f t="shared" si="7"/>
        <v>114</v>
      </c>
      <c r="D116" s="99">
        <f t="shared" si="9"/>
        <v>4720607.8044983288</v>
      </c>
      <c r="E116" s="99">
        <f>IF(OR(D116&lt;=0,C116&gt;'Stress Test Inputs'!$B$23*12),0,IF(AND(C116='Stress Test Inputs'!$B$23*12,'Stress Test Inputs'!$E$23&gt;'Stress Test Inputs'!$B$23),D116+D116*B116/12,IF('Stress Test Inputs'!$C$23="FRM",-PMT($B$3/12,'Stress Test Inputs'!$E$23*12,$D$3),IF($A116,-PMT(B116/12,('Stress Test Inputs'!$E$23*12)-C116+1,D116),E115))))</f>
        <v>84202.009396370384</v>
      </c>
      <c r="F116" s="99">
        <f t="shared" si="6"/>
        <v>4636405.7951019583</v>
      </c>
      <c r="G116" s="99">
        <f>IF(C116&gt;'Stress Test Inputs'!$B$23*12,0,D116*B116/12)</f>
        <v>25569.958941032615</v>
      </c>
      <c r="H116" s="99">
        <f t="shared" si="5"/>
        <v>58632.050455337769</v>
      </c>
      <c r="I116" s="99">
        <f t="shared" si="8"/>
        <v>4661975.7540429914</v>
      </c>
      <c r="J116" s="98"/>
    </row>
    <row r="117" spans="1:10" x14ac:dyDescent="0.25">
      <c r="A117" s="77" t="b">
        <f>IF(('Stress Test Inputs'!$C$23)="FRM", FALSE, ISNUMBER(MATCH(C117,'Stress Test Inputs'!$M$18:$M$30,0)))</f>
        <v>0</v>
      </c>
      <c r="B117" s="103">
        <f>IF($A117, _xlfn.XLOOKUP(C117,'Stress Test Inputs'!$M$17:$M$29,'Stress Test Inputs'!$N$17:$N$29),$B116)</f>
        <v>6.5000000000000002E-2</v>
      </c>
      <c r="C117" s="101">
        <f t="shared" si="7"/>
        <v>115</v>
      </c>
      <c r="D117" s="99">
        <f t="shared" si="9"/>
        <v>4661975.7540429914</v>
      </c>
      <c r="E117" s="99">
        <f>IF(OR(D117&lt;=0,C117&gt;'Stress Test Inputs'!$B$23*12),0,IF(AND(C117='Stress Test Inputs'!$B$23*12,'Stress Test Inputs'!$E$23&gt;'Stress Test Inputs'!$B$23),D117+D117*B117/12,IF('Stress Test Inputs'!$C$23="FRM",-PMT($B$3/12,'Stress Test Inputs'!$E$23*12,$D$3),IF($A117,-PMT(B117/12,('Stress Test Inputs'!$E$23*12)-C117+1,D117),E116))))</f>
        <v>84202.009396370384</v>
      </c>
      <c r="F117" s="99">
        <f t="shared" si="6"/>
        <v>4577773.7446466209</v>
      </c>
      <c r="G117" s="99">
        <f>IF(C117&gt;'Stress Test Inputs'!$B$23*12,0,D117*B117/12)</f>
        <v>25252.36866773287</v>
      </c>
      <c r="H117" s="99">
        <f t="shared" si="5"/>
        <v>58949.640728637518</v>
      </c>
      <c r="I117" s="99">
        <f t="shared" si="8"/>
        <v>4603026.1133143539</v>
      </c>
      <c r="J117" s="98"/>
    </row>
    <row r="118" spans="1:10" x14ac:dyDescent="0.25">
      <c r="A118" s="77" t="b">
        <f>IF(('Stress Test Inputs'!$C$23)="FRM", FALSE, ISNUMBER(MATCH(C118,'Stress Test Inputs'!$M$18:$M$30,0)))</f>
        <v>0</v>
      </c>
      <c r="B118" s="103">
        <f>IF($A118, _xlfn.XLOOKUP(C118,'Stress Test Inputs'!$M$17:$M$29,'Stress Test Inputs'!$N$17:$N$29),$B117)</f>
        <v>6.5000000000000002E-2</v>
      </c>
      <c r="C118" s="101">
        <f t="shared" si="7"/>
        <v>116</v>
      </c>
      <c r="D118" s="99">
        <f t="shared" si="9"/>
        <v>4603026.1133143539</v>
      </c>
      <c r="E118" s="99">
        <f>IF(OR(D118&lt;=0,C118&gt;'Stress Test Inputs'!$B$23*12),0,IF(AND(C118='Stress Test Inputs'!$B$23*12,'Stress Test Inputs'!$E$23&gt;'Stress Test Inputs'!$B$23),D118+D118*B118/12,IF('Stress Test Inputs'!$C$23="FRM",-PMT($B$3/12,'Stress Test Inputs'!$E$23*12,$D$3),IF($A118,-PMT(B118/12,('Stress Test Inputs'!$E$23*12)-C118+1,D118),E117))))</f>
        <v>84202.009396370384</v>
      </c>
      <c r="F118" s="99">
        <f t="shared" si="6"/>
        <v>4518824.1039179834</v>
      </c>
      <c r="G118" s="99">
        <f>IF(C118&gt;'Stress Test Inputs'!$B$23*12,0,D118*B118/12)</f>
        <v>24933.058113786086</v>
      </c>
      <c r="H118" s="99">
        <f t="shared" si="5"/>
        <v>59268.951282584298</v>
      </c>
      <c r="I118" s="99">
        <f t="shared" si="8"/>
        <v>4543757.1620317698</v>
      </c>
      <c r="J118" s="98"/>
    </row>
    <row r="119" spans="1:10" x14ac:dyDescent="0.25">
      <c r="A119" s="77" t="b">
        <f>IF(('Stress Test Inputs'!$C$23)="FRM", FALSE, ISNUMBER(MATCH(C119,'Stress Test Inputs'!$M$18:$M$30,0)))</f>
        <v>0</v>
      </c>
      <c r="B119" s="103">
        <f>IF($A119, _xlfn.XLOOKUP(C119,'Stress Test Inputs'!$M$17:$M$29,'Stress Test Inputs'!$N$17:$N$29),$B118)</f>
        <v>6.5000000000000002E-2</v>
      </c>
      <c r="C119" s="101">
        <f t="shared" si="7"/>
        <v>117</v>
      </c>
      <c r="D119" s="99">
        <f t="shared" si="9"/>
        <v>4543757.1620317698</v>
      </c>
      <c r="E119" s="99">
        <f>IF(OR(D119&lt;=0,C119&gt;'Stress Test Inputs'!$B$23*12),0,IF(AND(C119='Stress Test Inputs'!$B$23*12,'Stress Test Inputs'!$E$23&gt;'Stress Test Inputs'!$B$23),D119+D119*B119/12,IF('Stress Test Inputs'!$C$23="FRM",-PMT($B$3/12,'Stress Test Inputs'!$E$23*12,$D$3),IF($A119,-PMT(B119/12,('Stress Test Inputs'!$E$23*12)-C119+1,D119),E118))))</f>
        <v>84202.009396370384</v>
      </c>
      <c r="F119" s="99">
        <f t="shared" si="6"/>
        <v>4459555.1526353993</v>
      </c>
      <c r="G119" s="99">
        <f>IF(C119&gt;'Stress Test Inputs'!$B$23*12,0,D119*B119/12)</f>
        <v>24612.017961005418</v>
      </c>
      <c r="H119" s="99">
        <f t="shared" si="5"/>
        <v>59589.991435364966</v>
      </c>
      <c r="I119" s="99">
        <f t="shared" si="8"/>
        <v>4484167.1705964049</v>
      </c>
      <c r="J119" s="98"/>
    </row>
    <row r="120" spans="1:10" x14ac:dyDescent="0.25">
      <c r="A120" s="77" t="b">
        <f>IF(('Stress Test Inputs'!$C$23)="FRM", FALSE, ISNUMBER(MATCH(C120,'Stress Test Inputs'!$M$18:$M$30,0)))</f>
        <v>0</v>
      </c>
      <c r="B120" s="103">
        <f>IF($A120, _xlfn.XLOOKUP(C120,'Stress Test Inputs'!$M$17:$M$29,'Stress Test Inputs'!$N$17:$N$29),$B119)</f>
        <v>6.5000000000000002E-2</v>
      </c>
      <c r="C120" s="101">
        <f t="shared" si="7"/>
        <v>118</v>
      </c>
      <c r="D120" s="99">
        <f t="shared" si="9"/>
        <v>4484167.1705964049</v>
      </c>
      <c r="E120" s="99">
        <f>IF(OR(D120&lt;=0,C120&gt;'Stress Test Inputs'!$B$23*12),0,IF(AND(C120='Stress Test Inputs'!$B$23*12,'Stress Test Inputs'!$E$23&gt;'Stress Test Inputs'!$B$23),D120+D120*B120/12,IF('Stress Test Inputs'!$C$23="FRM",-PMT($B$3/12,'Stress Test Inputs'!$E$23*12,$D$3),IF($A120,-PMT(B120/12,('Stress Test Inputs'!$E$23*12)-C120+1,D120),E119))))</f>
        <v>84202.009396370384</v>
      </c>
      <c r="F120" s="99">
        <f t="shared" si="6"/>
        <v>4399965.1612000344</v>
      </c>
      <c r="G120" s="99">
        <f>IF(C120&gt;'Stress Test Inputs'!$B$23*12,0,D120*B120/12)</f>
        <v>24289.238840730526</v>
      </c>
      <c r="H120" s="99">
        <f t="shared" si="5"/>
        <v>59912.770555639858</v>
      </c>
      <c r="I120" s="99">
        <f t="shared" si="8"/>
        <v>4424254.4000407653</v>
      </c>
      <c r="J120" s="98"/>
    </row>
    <row r="121" spans="1:10" x14ac:dyDescent="0.25">
      <c r="A121" s="77" t="b">
        <f>IF(('Stress Test Inputs'!$C$23)="FRM", FALSE, ISNUMBER(MATCH(C121,'Stress Test Inputs'!$M$18:$M$30,0)))</f>
        <v>0</v>
      </c>
      <c r="B121" s="103">
        <f>IF($A121, _xlfn.XLOOKUP(C121,'Stress Test Inputs'!$M$17:$M$29,'Stress Test Inputs'!$N$17:$N$29),$B120)</f>
        <v>6.5000000000000002E-2</v>
      </c>
      <c r="C121" s="101">
        <f t="shared" si="7"/>
        <v>119</v>
      </c>
      <c r="D121" s="99">
        <f t="shared" si="9"/>
        <v>4424254.4000407653</v>
      </c>
      <c r="E121" s="99">
        <f>IF(OR(D121&lt;=0,C121&gt;'Stress Test Inputs'!$B$23*12),0,IF(AND(C121='Stress Test Inputs'!$B$23*12,'Stress Test Inputs'!$E$23&gt;'Stress Test Inputs'!$B$23),D121+D121*B121/12,IF('Stress Test Inputs'!$C$23="FRM",-PMT($B$3/12,'Stress Test Inputs'!$E$23*12,$D$3),IF($A121,-PMT(B121/12,('Stress Test Inputs'!$E$23*12)-C121+1,D121),E120))))</f>
        <v>84202.009396370384</v>
      </c>
      <c r="F121" s="99">
        <f t="shared" si="6"/>
        <v>4340052.3906443948</v>
      </c>
      <c r="G121" s="99">
        <f>IF(C121&gt;'Stress Test Inputs'!$B$23*12,0,D121*B121/12)</f>
        <v>23964.711333554147</v>
      </c>
      <c r="H121" s="99">
        <f t="shared" si="5"/>
        <v>60237.298062816233</v>
      </c>
      <c r="I121" s="99">
        <f t="shared" si="8"/>
        <v>4364017.101977949</v>
      </c>
      <c r="J121" s="98"/>
    </row>
    <row r="122" spans="1:10" x14ac:dyDescent="0.25">
      <c r="A122" s="77" t="b">
        <f>IF(('Stress Test Inputs'!$C$23)="FRM", FALSE, ISNUMBER(MATCH(C122,'Stress Test Inputs'!$M$18:$M$30,0)))</f>
        <v>0</v>
      </c>
      <c r="B122" s="103">
        <f>IF($A122, _xlfn.XLOOKUP(C122,'Stress Test Inputs'!$M$17:$M$29,'Stress Test Inputs'!$N$17:$N$29),$B121)</f>
        <v>6.5000000000000002E-2</v>
      </c>
      <c r="C122" s="101">
        <f t="shared" si="7"/>
        <v>120</v>
      </c>
      <c r="D122" s="99">
        <f t="shared" si="9"/>
        <v>4364017.101977949</v>
      </c>
      <c r="E122" s="99">
        <f>IF(OR(D122&lt;=0,C122&gt;'Stress Test Inputs'!$B$23*12),0,IF(AND(C122='Stress Test Inputs'!$B$23*12,'Stress Test Inputs'!$E$23&gt;'Stress Test Inputs'!$B$23),D122+D122*B122/12,IF('Stress Test Inputs'!$C$23="FRM",-PMT($B$3/12,'Stress Test Inputs'!$E$23*12,$D$3),IF($A122,-PMT(B122/12,('Stress Test Inputs'!$E$23*12)-C122+1,D122),E121))))</f>
        <v>4387655.5279469965</v>
      </c>
      <c r="F122" s="99">
        <f t="shared" si="6"/>
        <v>0</v>
      </c>
      <c r="G122" s="99">
        <f>IF(C122&gt;'Stress Test Inputs'!$B$23*12,0,D122*B122/12)</f>
        <v>23638.425969047224</v>
      </c>
      <c r="H122" s="99">
        <f t="shared" si="5"/>
        <v>4364017.101977949</v>
      </c>
      <c r="I122" s="99">
        <f t="shared" si="8"/>
        <v>0</v>
      </c>
      <c r="J122" s="98"/>
    </row>
    <row r="123" spans="1:10" x14ac:dyDescent="0.25">
      <c r="A123" s="77" t="b">
        <f>IF(('Stress Test Inputs'!$C$23)="FRM", FALSE, ISNUMBER(MATCH(C123,'Stress Test Inputs'!$M$18:$M$30,0)))</f>
        <v>0</v>
      </c>
      <c r="B123" s="103">
        <f>IF($A123, _xlfn.XLOOKUP(C123,'Stress Test Inputs'!$M$17:$M$29,'Stress Test Inputs'!$N$17:$N$29),$B122)</f>
        <v>6.5000000000000002E-2</v>
      </c>
      <c r="C123" s="101">
        <f t="shared" si="7"/>
        <v>121</v>
      </c>
      <c r="D123" s="99">
        <f t="shared" si="9"/>
        <v>0</v>
      </c>
      <c r="E123" s="99">
        <f>IF(OR(D123&lt;=0,C123&gt;'Stress Test Inputs'!$B$23*12),0,IF(AND(C123='Stress Test Inputs'!$B$23*12,'Stress Test Inputs'!$E$23&gt;'Stress Test Inputs'!$B$23),D123+D123*B123/12,IF('Stress Test Inputs'!$C$23="FRM",-PMT($B$3/12,'Stress Test Inputs'!$E$23*12,$D$3),IF($A123,-PMT(B123/12,('Stress Test Inputs'!$E$23*12)-C123+1,D123),E122))))</f>
        <v>0</v>
      </c>
      <c r="F123" s="99">
        <f t="shared" si="6"/>
        <v>0</v>
      </c>
      <c r="G123" s="99">
        <f>IF(C123&gt;'Stress Test Inputs'!$B$23*12,0,D123*B123/12)</f>
        <v>0</v>
      </c>
      <c r="H123" s="99">
        <f t="shared" si="5"/>
        <v>0</v>
      </c>
      <c r="I123" s="99">
        <f t="shared" si="8"/>
        <v>0</v>
      </c>
      <c r="J123" s="98"/>
    </row>
    <row r="124" spans="1:10" x14ac:dyDescent="0.25">
      <c r="A124" s="77" t="b">
        <f>IF(('Stress Test Inputs'!$C$23)="FRM", FALSE, ISNUMBER(MATCH(C124,'Stress Test Inputs'!$M$18:$M$30,0)))</f>
        <v>0</v>
      </c>
      <c r="B124" s="103">
        <f>IF($A124, _xlfn.XLOOKUP(C124,'Stress Test Inputs'!$M$17:$M$29,'Stress Test Inputs'!$N$17:$N$29),$B123)</f>
        <v>6.5000000000000002E-2</v>
      </c>
      <c r="C124" s="101">
        <f t="shared" si="7"/>
        <v>122</v>
      </c>
      <c r="D124" s="99">
        <f t="shared" si="9"/>
        <v>0</v>
      </c>
      <c r="E124" s="99">
        <f>IF(OR(D124&lt;=0,C124&gt;'Stress Test Inputs'!$B$23*12),0,IF(AND(C124='Stress Test Inputs'!$B$23*12,'Stress Test Inputs'!$E$23&gt;'Stress Test Inputs'!$B$23),D124+D124*B124/12,IF('Stress Test Inputs'!$C$23="FRM",-PMT($B$3/12,'Stress Test Inputs'!$E$23*12,$D$3),IF($A124,-PMT(B124/12,('Stress Test Inputs'!$E$23*12)-C124+1,D124),E123))))</f>
        <v>0</v>
      </c>
      <c r="F124" s="99">
        <f t="shared" si="6"/>
        <v>0</v>
      </c>
      <c r="G124" s="99">
        <f>IF(C124&gt;'Stress Test Inputs'!$B$23*12,0,D124*B124/12)</f>
        <v>0</v>
      </c>
      <c r="H124" s="99">
        <f t="shared" si="5"/>
        <v>0</v>
      </c>
      <c r="I124" s="99">
        <f t="shared" si="8"/>
        <v>0</v>
      </c>
      <c r="J124" s="98"/>
    </row>
    <row r="125" spans="1:10" x14ac:dyDescent="0.25">
      <c r="A125" s="77" t="b">
        <f>IF(('Stress Test Inputs'!$C$23)="FRM", FALSE, ISNUMBER(MATCH(C125,'Stress Test Inputs'!$M$18:$M$30,0)))</f>
        <v>0</v>
      </c>
      <c r="B125" s="103">
        <f>IF($A125, _xlfn.XLOOKUP(C125,'Stress Test Inputs'!$M$17:$M$29,'Stress Test Inputs'!$N$17:$N$29),$B124)</f>
        <v>6.5000000000000002E-2</v>
      </c>
      <c r="C125" s="101">
        <f t="shared" si="7"/>
        <v>123</v>
      </c>
      <c r="D125" s="99">
        <f t="shared" si="9"/>
        <v>0</v>
      </c>
      <c r="E125" s="99">
        <f>IF(OR(D125&lt;=0,C125&gt;'Stress Test Inputs'!$B$23*12),0,IF(AND(C125='Stress Test Inputs'!$B$23*12,'Stress Test Inputs'!$E$23&gt;'Stress Test Inputs'!$B$23),D125+D125*B125/12,IF('Stress Test Inputs'!$C$23="FRM",-PMT($B$3/12,'Stress Test Inputs'!$E$23*12,$D$3),IF($A125,-PMT(B125/12,('Stress Test Inputs'!$E$23*12)-C125+1,D125),E124))))</f>
        <v>0</v>
      </c>
      <c r="F125" s="99">
        <f t="shared" si="6"/>
        <v>0</v>
      </c>
      <c r="G125" s="99">
        <f>IF(C125&gt;'Stress Test Inputs'!$B$23*12,0,D125*B125/12)</f>
        <v>0</v>
      </c>
      <c r="H125" s="99">
        <f t="shared" si="5"/>
        <v>0</v>
      </c>
      <c r="I125" s="99">
        <f t="shared" si="8"/>
        <v>0</v>
      </c>
      <c r="J125" s="98"/>
    </row>
    <row r="126" spans="1:10" x14ac:dyDescent="0.25">
      <c r="A126" s="77" t="b">
        <f>IF(('Stress Test Inputs'!$C$23)="FRM", FALSE, ISNUMBER(MATCH(C126,'Stress Test Inputs'!$M$18:$M$30,0)))</f>
        <v>0</v>
      </c>
      <c r="B126" s="103">
        <f>IF($A126, _xlfn.XLOOKUP(C126,'Stress Test Inputs'!$M$17:$M$29,'Stress Test Inputs'!$N$17:$N$29),$B125)</f>
        <v>6.5000000000000002E-2</v>
      </c>
      <c r="C126" s="101">
        <f t="shared" si="7"/>
        <v>124</v>
      </c>
      <c r="D126" s="99">
        <f t="shared" si="9"/>
        <v>0</v>
      </c>
      <c r="E126" s="99">
        <f>IF(OR(D126&lt;=0,C126&gt;'Stress Test Inputs'!$B$23*12),0,IF(AND(C126='Stress Test Inputs'!$B$23*12,'Stress Test Inputs'!$E$23&gt;'Stress Test Inputs'!$B$23),D126+D126*B126/12,IF('Stress Test Inputs'!$C$23="FRM",-PMT($B$3/12,'Stress Test Inputs'!$E$23*12,$D$3),IF($A126,-PMT(B126/12,('Stress Test Inputs'!$E$23*12)-C126+1,D126),E125))))</f>
        <v>0</v>
      </c>
      <c r="F126" s="99">
        <f t="shared" si="6"/>
        <v>0</v>
      </c>
      <c r="G126" s="99">
        <f>IF(C126&gt;'Stress Test Inputs'!$B$23*12,0,D126*B126/12)</f>
        <v>0</v>
      </c>
      <c r="H126" s="99">
        <f t="shared" si="5"/>
        <v>0</v>
      </c>
      <c r="I126" s="99">
        <f t="shared" si="8"/>
        <v>0</v>
      </c>
      <c r="J126" s="98"/>
    </row>
    <row r="127" spans="1:10" x14ac:dyDescent="0.25">
      <c r="A127" s="77" t="b">
        <f>IF(('Stress Test Inputs'!$C$23)="FRM", FALSE, ISNUMBER(MATCH(C127,'Stress Test Inputs'!$M$18:$M$30,0)))</f>
        <v>0</v>
      </c>
      <c r="B127" s="103">
        <f>IF($A127, _xlfn.XLOOKUP(C127,'Stress Test Inputs'!$M$17:$M$29,'Stress Test Inputs'!$N$17:$N$29),$B126)</f>
        <v>6.5000000000000002E-2</v>
      </c>
      <c r="C127" s="101">
        <f t="shared" si="7"/>
        <v>125</v>
      </c>
      <c r="D127" s="99">
        <f t="shared" si="9"/>
        <v>0</v>
      </c>
      <c r="E127" s="99">
        <f>IF(OR(D127&lt;=0,C127&gt;'Stress Test Inputs'!$B$23*12),0,IF(AND(C127='Stress Test Inputs'!$B$23*12,'Stress Test Inputs'!$E$23&gt;'Stress Test Inputs'!$B$23),D127+D127*B127/12,IF('Stress Test Inputs'!$C$23="FRM",-PMT($B$3/12,'Stress Test Inputs'!$E$23*12,$D$3),IF($A127,-PMT(B127/12,('Stress Test Inputs'!$E$23*12)-C127+1,D127),E126))))</f>
        <v>0</v>
      </c>
      <c r="F127" s="99">
        <f t="shared" si="6"/>
        <v>0</v>
      </c>
      <c r="G127" s="99">
        <f>IF(C127&gt;'Stress Test Inputs'!$B$23*12,0,D127*B127/12)</f>
        <v>0</v>
      </c>
      <c r="H127" s="99">
        <f t="shared" si="5"/>
        <v>0</v>
      </c>
      <c r="I127" s="99">
        <f t="shared" si="8"/>
        <v>0</v>
      </c>
      <c r="J127" s="98"/>
    </row>
    <row r="128" spans="1:10" x14ac:dyDescent="0.25">
      <c r="A128" s="77" t="b">
        <f>IF(('Stress Test Inputs'!$C$23)="FRM", FALSE, ISNUMBER(MATCH(C128,'Stress Test Inputs'!$M$18:$M$30,0)))</f>
        <v>0</v>
      </c>
      <c r="B128" s="103">
        <f>IF($A128, _xlfn.XLOOKUP(C128,'Stress Test Inputs'!$M$17:$M$29,'Stress Test Inputs'!$N$17:$N$29),$B127)</f>
        <v>6.5000000000000002E-2</v>
      </c>
      <c r="C128" s="101">
        <f t="shared" si="7"/>
        <v>126</v>
      </c>
      <c r="D128" s="99">
        <f t="shared" si="9"/>
        <v>0</v>
      </c>
      <c r="E128" s="99">
        <f>IF(OR(D128&lt;=0,C128&gt;'Stress Test Inputs'!$B$23*12),0,IF(AND(C128='Stress Test Inputs'!$B$23*12,'Stress Test Inputs'!$E$23&gt;'Stress Test Inputs'!$B$23),D128+D128*B128/12,IF('Stress Test Inputs'!$C$23="FRM",-PMT($B$3/12,'Stress Test Inputs'!$E$23*12,$D$3),IF($A128,-PMT(B128/12,('Stress Test Inputs'!$E$23*12)-C128+1,D128),E127))))</f>
        <v>0</v>
      </c>
      <c r="F128" s="99">
        <f t="shared" si="6"/>
        <v>0</v>
      </c>
      <c r="G128" s="99">
        <f>IF(C128&gt;'Stress Test Inputs'!$B$23*12,0,D128*B128/12)</f>
        <v>0</v>
      </c>
      <c r="H128" s="99">
        <f t="shared" si="5"/>
        <v>0</v>
      </c>
      <c r="I128" s="99">
        <f t="shared" si="8"/>
        <v>0</v>
      </c>
      <c r="J128" s="98"/>
    </row>
    <row r="129" spans="1:10" x14ac:dyDescent="0.25">
      <c r="A129" s="77" t="b">
        <f>IF(('Stress Test Inputs'!$C$23)="FRM", FALSE, ISNUMBER(MATCH(C129,'Stress Test Inputs'!$M$18:$M$30,0)))</f>
        <v>0</v>
      </c>
      <c r="B129" s="103">
        <f>IF($A129, _xlfn.XLOOKUP(C129,'Stress Test Inputs'!$M$17:$M$29,'Stress Test Inputs'!$N$17:$N$29),$B128)</f>
        <v>6.5000000000000002E-2</v>
      </c>
      <c r="C129" s="101">
        <f t="shared" si="7"/>
        <v>127</v>
      </c>
      <c r="D129" s="99">
        <f t="shared" si="9"/>
        <v>0</v>
      </c>
      <c r="E129" s="99">
        <f>IF(OR(D129&lt;=0,C129&gt;'Stress Test Inputs'!$B$23*12),0,IF(AND(C129='Stress Test Inputs'!$B$23*12,'Stress Test Inputs'!$E$23&gt;'Stress Test Inputs'!$B$23),D129+D129*B129/12,IF('Stress Test Inputs'!$C$23="FRM",-PMT($B$3/12,'Stress Test Inputs'!$E$23*12,$D$3),IF($A129,-PMT(B129/12,('Stress Test Inputs'!$E$23*12)-C129+1,D129),E128))))</f>
        <v>0</v>
      </c>
      <c r="F129" s="99">
        <f t="shared" si="6"/>
        <v>0</v>
      </c>
      <c r="G129" s="99">
        <f>IF(C129&gt;'Stress Test Inputs'!$B$23*12,0,D129*B129/12)</f>
        <v>0</v>
      </c>
      <c r="H129" s="99">
        <f t="shared" si="5"/>
        <v>0</v>
      </c>
      <c r="I129" s="99">
        <f t="shared" si="8"/>
        <v>0</v>
      </c>
      <c r="J129" s="98"/>
    </row>
    <row r="130" spans="1:10" x14ac:dyDescent="0.25">
      <c r="A130" s="77" t="b">
        <f>IF(('Stress Test Inputs'!$C$23)="FRM", FALSE, ISNUMBER(MATCH(C130,'Stress Test Inputs'!$M$18:$M$30,0)))</f>
        <v>0</v>
      </c>
      <c r="B130" s="103">
        <f>IF($A130, _xlfn.XLOOKUP(C130,'Stress Test Inputs'!$M$17:$M$29,'Stress Test Inputs'!$N$17:$N$29),$B129)</f>
        <v>6.5000000000000002E-2</v>
      </c>
      <c r="C130" s="101">
        <f t="shared" si="7"/>
        <v>128</v>
      </c>
      <c r="D130" s="99">
        <f t="shared" si="9"/>
        <v>0</v>
      </c>
      <c r="E130" s="99">
        <f>IF(OR(D130&lt;=0,C130&gt;'Stress Test Inputs'!$B$23*12),0,IF(AND(C130='Stress Test Inputs'!$B$23*12,'Stress Test Inputs'!$E$23&gt;'Stress Test Inputs'!$B$23),D130+D130*B130/12,IF('Stress Test Inputs'!$C$23="FRM",-PMT($B$3/12,'Stress Test Inputs'!$E$23*12,$D$3),IF($A130,-PMT(B130/12,('Stress Test Inputs'!$E$23*12)-C130+1,D130),E129))))</f>
        <v>0</v>
      </c>
      <c r="F130" s="99">
        <f t="shared" si="6"/>
        <v>0</v>
      </c>
      <c r="G130" s="99">
        <f>IF(C130&gt;'Stress Test Inputs'!$B$23*12,0,D130*B130/12)</f>
        <v>0</v>
      </c>
      <c r="H130" s="99">
        <f t="shared" si="5"/>
        <v>0</v>
      </c>
      <c r="I130" s="99">
        <f t="shared" si="8"/>
        <v>0</v>
      </c>
      <c r="J130" s="98"/>
    </row>
    <row r="131" spans="1:10" x14ac:dyDescent="0.25">
      <c r="A131" s="77" t="b">
        <f>IF(('Stress Test Inputs'!$C$23)="FRM", FALSE, ISNUMBER(MATCH(C131,'Stress Test Inputs'!$M$18:$M$30,0)))</f>
        <v>0</v>
      </c>
      <c r="B131" s="103">
        <f>IF($A131, _xlfn.XLOOKUP(C131,'Stress Test Inputs'!$M$17:$M$29,'Stress Test Inputs'!$N$17:$N$29),$B130)</f>
        <v>6.5000000000000002E-2</v>
      </c>
      <c r="C131" s="101">
        <f t="shared" si="7"/>
        <v>129</v>
      </c>
      <c r="D131" s="99">
        <f t="shared" si="9"/>
        <v>0</v>
      </c>
      <c r="E131" s="99">
        <f>IF(OR(D131&lt;=0,C131&gt;'Stress Test Inputs'!$B$23*12),0,IF(AND(C131='Stress Test Inputs'!$B$23*12,'Stress Test Inputs'!$E$23&gt;'Stress Test Inputs'!$B$23),D131+D131*B131/12,IF('Stress Test Inputs'!$C$23="FRM",-PMT($B$3/12,'Stress Test Inputs'!$E$23*12,$D$3),IF($A131,-PMT(B131/12,('Stress Test Inputs'!$E$23*12)-C131+1,D131),E130))))</f>
        <v>0</v>
      </c>
      <c r="F131" s="99">
        <f t="shared" si="6"/>
        <v>0</v>
      </c>
      <c r="G131" s="99">
        <f>IF(C131&gt;'Stress Test Inputs'!$B$23*12,0,D131*B131/12)</f>
        <v>0</v>
      </c>
      <c r="H131" s="99">
        <f t="shared" ref="H131:H194" si="10">MIN(E131-G131,D131)</f>
        <v>0</v>
      </c>
      <c r="I131" s="99">
        <f t="shared" si="8"/>
        <v>0</v>
      </c>
      <c r="J131" s="98"/>
    </row>
    <row r="132" spans="1:10" x14ac:dyDescent="0.25">
      <c r="A132" s="77" t="b">
        <f>IF(('Stress Test Inputs'!$C$23)="FRM", FALSE, ISNUMBER(MATCH(C132,'Stress Test Inputs'!$M$18:$M$30,0)))</f>
        <v>0</v>
      </c>
      <c r="B132" s="103">
        <f>IF($A132, _xlfn.XLOOKUP(C132,'Stress Test Inputs'!$M$17:$M$29,'Stress Test Inputs'!$N$17:$N$29),$B131)</f>
        <v>6.5000000000000002E-2</v>
      </c>
      <c r="C132" s="101">
        <f t="shared" si="7"/>
        <v>130</v>
      </c>
      <c r="D132" s="99">
        <f t="shared" si="9"/>
        <v>0</v>
      </c>
      <c r="E132" s="99">
        <f>IF(OR(D132&lt;=0,C132&gt;'Stress Test Inputs'!$B$23*12),0,IF(AND(C132='Stress Test Inputs'!$B$23*12,'Stress Test Inputs'!$E$23&gt;'Stress Test Inputs'!$B$23),D132+D132*B132/12,IF('Stress Test Inputs'!$C$23="FRM",-PMT($B$3/12,'Stress Test Inputs'!$E$23*12,$D$3),IF($A132,-PMT(B132/12,('Stress Test Inputs'!$E$23*12)-C132+1,D132),E131))))</f>
        <v>0</v>
      </c>
      <c r="F132" s="99">
        <f t="shared" ref="F132:F195" si="11">IF(D132-E132&lt;0,0,D132-E132)</f>
        <v>0</v>
      </c>
      <c r="G132" s="99">
        <f>IF(C132&gt;'Stress Test Inputs'!$B$23*12,0,D132*B132/12)</f>
        <v>0</v>
      </c>
      <c r="H132" s="99">
        <f t="shared" si="10"/>
        <v>0</v>
      </c>
      <c r="I132" s="99">
        <f t="shared" si="8"/>
        <v>0</v>
      </c>
      <c r="J132" s="98"/>
    </row>
    <row r="133" spans="1:10" x14ac:dyDescent="0.25">
      <c r="A133" s="77" t="b">
        <f>IF(('Stress Test Inputs'!$C$23)="FRM", FALSE, ISNUMBER(MATCH(C133,'Stress Test Inputs'!$M$18:$M$30,0)))</f>
        <v>0</v>
      </c>
      <c r="B133" s="103">
        <f>IF($A133, _xlfn.XLOOKUP(C133,'Stress Test Inputs'!$M$17:$M$29,'Stress Test Inputs'!$N$17:$N$29),$B132)</f>
        <v>6.5000000000000002E-2</v>
      </c>
      <c r="C133" s="101">
        <f t="shared" ref="C133:C196" si="12">C132+1</f>
        <v>131</v>
      </c>
      <c r="D133" s="99">
        <f t="shared" si="9"/>
        <v>0</v>
      </c>
      <c r="E133" s="99">
        <f>IF(OR(D133&lt;=0,C133&gt;'Stress Test Inputs'!$B$23*12),0,IF(AND(C133='Stress Test Inputs'!$B$23*12,'Stress Test Inputs'!$E$23&gt;'Stress Test Inputs'!$B$23),D133+D133*B133/12,IF('Stress Test Inputs'!$C$23="FRM",-PMT($B$3/12,'Stress Test Inputs'!$E$23*12,$D$3),IF($A133,-PMT(B133/12,('Stress Test Inputs'!$E$23*12)-C133+1,D133),E132))))</f>
        <v>0</v>
      </c>
      <c r="F133" s="99">
        <f t="shared" si="11"/>
        <v>0</v>
      </c>
      <c r="G133" s="99">
        <f>IF(C133&gt;'Stress Test Inputs'!$B$23*12,0,D133*B133/12)</f>
        <v>0</v>
      </c>
      <c r="H133" s="99">
        <f t="shared" si="10"/>
        <v>0</v>
      </c>
      <c r="I133" s="99">
        <f t="shared" ref="I133:I196" si="13">IF(ROUND(D133-H133,2)=0,0,D133-H133)</f>
        <v>0</v>
      </c>
      <c r="J133" s="98"/>
    </row>
    <row r="134" spans="1:10" x14ac:dyDescent="0.25">
      <c r="A134" s="77" t="b">
        <f>IF(('Stress Test Inputs'!$C$23)="FRM", FALSE, ISNUMBER(MATCH(C134,'Stress Test Inputs'!$M$18:$M$30,0)))</f>
        <v>0</v>
      </c>
      <c r="B134" s="103">
        <f>IF($A134, _xlfn.XLOOKUP(C134,'Stress Test Inputs'!$M$17:$M$29,'Stress Test Inputs'!$N$17:$N$29),$B133)</f>
        <v>6.5000000000000002E-2</v>
      </c>
      <c r="C134" s="101">
        <f t="shared" si="12"/>
        <v>132</v>
      </c>
      <c r="D134" s="99">
        <f t="shared" si="9"/>
        <v>0</v>
      </c>
      <c r="E134" s="99">
        <f>IF(OR(D134&lt;=0,C134&gt;'Stress Test Inputs'!$B$23*12),0,IF(AND(C134='Stress Test Inputs'!$B$23*12,'Stress Test Inputs'!$E$23&gt;'Stress Test Inputs'!$B$23),D134+D134*B134/12,IF('Stress Test Inputs'!$C$23="FRM",-PMT($B$3/12,'Stress Test Inputs'!$E$23*12,$D$3),IF($A134,-PMT(B134/12,('Stress Test Inputs'!$E$23*12)-C134+1,D134),E133))))</f>
        <v>0</v>
      </c>
      <c r="F134" s="99">
        <f t="shared" si="11"/>
        <v>0</v>
      </c>
      <c r="G134" s="99">
        <f>IF(C134&gt;'Stress Test Inputs'!$B$23*12,0,D134*B134/12)</f>
        <v>0</v>
      </c>
      <c r="H134" s="99">
        <f t="shared" si="10"/>
        <v>0</v>
      </c>
      <c r="I134" s="99">
        <f t="shared" si="13"/>
        <v>0</v>
      </c>
      <c r="J134" s="98"/>
    </row>
    <row r="135" spans="1:10" x14ac:dyDescent="0.25">
      <c r="A135" s="77" t="b">
        <f>IF(('Stress Test Inputs'!$C$23)="FRM", FALSE, ISNUMBER(MATCH(C135,'Stress Test Inputs'!$M$18:$M$30,0)))</f>
        <v>0</v>
      </c>
      <c r="B135" s="103">
        <f>IF($A135, _xlfn.XLOOKUP(C135,'Stress Test Inputs'!$M$17:$M$29,'Stress Test Inputs'!$N$17:$N$29),$B134)</f>
        <v>6.5000000000000002E-2</v>
      </c>
      <c r="C135" s="101">
        <f t="shared" si="12"/>
        <v>133</v>
      </c>
      <c r="D135" s="99">
        <f t="shared" ref="D135:D198" si="14">IF(I134&gt;0,I134-J134,0)</f>
        <v>0</v>
      </c>
      <c r="E135" s="99">
        <f>IF(OR(D135&lt;=0,C135&gt;'Stress Test Inputs'!$B$23*12),0,IF(AND(C135='Stress Test Inputs'!$B$23*12,'Stress Test Inputs'!$E$23&gt;'Stress Test Inputs'!$B$23),D135+D135*B135/12,IF('Stress Test Inputs'!$C$23="FRM",-PMT($B$3/12,'Stress Test Inputs'!$E$23*12,$D$3),IF($A135,-PMT(B135/12,('Stress Test Inputs'!$E$23*12)-C135+1,D135),E134))))</f>
        <v>0</v>
      </c>
      <c r="F135" s="99">
        <f t="shared" si="11"/>
        <v>0</v>
      </c>
      <c r="G135" s="99">
        <f>IF(C135&gt;'Stress Test Inputs'!$B$23*12,0,D135*B135/12)</f>
        <v>0</v>
      </c>
      <c r="H135" s="99">
        <f t="shared" si="10"/>
        <v>0</v>
      </c>
      <c r="I135" s="99">
        <f t="shared" si="13"/>
        <v>0</v>
      </c>
      <c r="J135" s="98"/>
    </row>
    <row r="136" spans="1:10" x14ac:dyDescent="0.25">
      <c r="A136" s="77" t="b">
        <f>IF(('Stress Test Inputs'!$C$23)="FRM", FALSE, ISNUMBER(MATCH(C136,'Stress Test Inputs'!$M$18:$M$30,0)))</f>
        <v>0</v>
      </c>
      <c r="B136" s="103">
        <f>IF($A136, _xlfn.XLOOKUP(C136,'Stress Test Inputs'!$M$17:$M$29,'Stress Test Inputs'!$N$17:$N$29),$B135)</f>
        <v>6.5000000000000002E-2</v>
      </c>
      <c r="C136" s="101">
        <f t="shared" si="12"/>
        <v>134</v>
      </c>
      <c r="D136" s="99">
        <f t="shared" si="14"/>
        <v>0</v>
      </c>
      <c r="E136" s="99">
        <f>IF(OR(D136&lt;=0,C136&gt;'Stress Test Inputs'!$B$23*12),0,IF(AND(C136='Stress Test Inputs'!$B$23*12,'Stress Test Inputs'!$E$23&gt;'Stress Test Inputs'!$B$23),D136+D136*B136/12,IF('Stress Test Inputs'!$C$23="FRM",-PMT($B$3/12,'Stress Test Inputs'!$E$23*12,$D$3),IF($A136,-PMT(B136/12,('Stress Test Inputs'!$E$23*12)-C136+1,D136),E135))))</f>
        <v>0</v>
      </c>
      <c r="F136" s="99">
        <f t="shared" si="11"/>
        <v>0</v>
      </c>
      <c r="G136" s="99">
        <f>IF(C136&gt;'Stress Test Inputs'!$B$23*12,0,D136*B136/12)</f>
        <v>0</v>
      </c>
      <c r="H136" s="99">
        <f t="shared" si="10"/>
        <v>0</v>
      </c>
      <c r="I136" s="99">
        <f t="shared" si="13"/>
        <v>0</v>
      </c>
      <c r="J136" s="98"/>
    </row>
    <row r="137" spans="1:10" x14ac:dyDescent="0.25">
      <c r="A137" s="77" t="b">
        <f>IF(('Stress Test Inputs'!$C$23)="FRM", FALSE, ISNUMBER(MATCH(C137,'Stress Test Inputs'!$M$18:$M$30,0)))</f>
        <v>0</v>
      </c>
      <c r="B137" s="103">
        <f>IF($A137, _xlfn.XLOOKUP(C137,'Stress Test Inputs'!$M$17:$M$29,'Stress Test Inputs'!$N$17:$N$29),$B136)</f>
        <v>6.5000000000000002E-2</v>
      </c>
      <c r="C137" s="101">
        <f t="shared" si="12"/>
        <v>135</v>
      </c>
      <c r="D137" s="99">
        <f t="shared" si="14"/>
        <v>0</v>
      </c>
      <c r="E137" s="99">
        <f>IF(OR(D137&lt;=0,C137&gt;'Stress Test Inputs'!$B$23*12),0,IF(AND(C137='Stress Test Inputs'!$B$23*12,'Stress Test Inputs'!$E$23&gt;'Stress Test Inputs'!$B$23),D137+D137*B137/12,IF('Stress Test Inputs'!$C$23="FRM",-PMT($B$3/12,'Stress Test Inputs'!$E$23*12,$D$3),IF($A137,-PMT(B137/12,('Stress Test Inputs'!$E$23*12)-C137+1,D137),E136))))</f>
        <v>0</v>
      </c>
      <c r="F137" s="99">
        <f t="shared" si="11"/>
        <v>0</v>
      </c>
      <c r="G137" s="99">
        <f>IF(C137&gt;'Stress Test Inputs'!$B$23*12,0,D137*B137/12)</f>
        <v>0</v>
      </c>
      <c r="H137" s="99">
        <f t="shared" si="10"/>
        <v>0</v>
      </c>
      <c r="I137" s="99">
        <f t="shared" si="13"/>
        <v>0</v>
      </c>
      <c r="J137" s="98"/>
    </row>
    <row r="138" spans="1:10" x14ac:dyDescent="0.25">
      <c r="A138" s="77" t="b">
        <f>IF(('Stress Test Inputs'!$C$23)="FRM", FALSE, ISNUMBER(MATCH(C138,'Stress Test Inputs'!$M$18:$M$30,0)))</f>
        <v>0</v>
      </c>
      <c r="B138" s="103">
        <f>IF($A138, _xlfn.XLOOKUP(C138,'Stress Test Inputs'!$M$17:$M$29,'Stress Test Inputs'!$N$17:$N$29),$B137)</f>
        <v>6.5000000000000002E-2</v>
      </c>
      <c r="C138" s="101">
        <f t="shared" si="12"/>
        <v>136</v>
      </c>
      <c r="D138" s="99">
        <f t="shared" si="14"/>
        <v>0</v>
      </c>
      <c r="E138" s="99">
        <f>IF(OR(D138&lt;=0,C138&gt;'Stress Test Inputs'!$B$23*12),0,IF(AND(C138='Stress Test Inputs'!$B$23*12,'Stress Test Inputs'!$E$23&gt;'Stress Test Inputs'!$B$23),D138+D138*B138/12,IF('Stress Test Inputs'!$C$23="FRM",-PMT($B$3/12,'Stress Test Inputs'!$E$23*12,$D$3),IF($A138,-PMT(B138/12,('Stress Test Inputs'!$E$23*12)-C138+1,D138),E137))))</f>
        <v>0</v>
      </c>
      <c r="F138" s="99">
        <f t="shared" si="11"/>
        <v>0</v>
      </c>
      <c r="G138" s="99">
        <f>IF(C138&gt;'Stress Test Inputs'!$B$23*12,0,D138*B138/12)</f>
        <v>0</v>
      </c>
      <c r="H138" s="99">
        <f t="shared" si="10"/>
        <v>0</v>
      </c>
      <c r="I138" s="99">
        <f t="shared" si="13"/>
        <v>0</v>
      </c>
      <c r="J138" s="98"/>
    </row>
    <row r="139" spans="1:10" x14ac:dyDescent="0.25">
      <c r="A139" s="77" t="b">
        <f>IF(('Stress Test Inputs'!$C$23)="FRM", FALSE, ISNUMBER(MATCH(C139,'Stress Test Inputs'!$M$18:$M$30,0)))</f>
        <v>0</v>
      </c>
      <c r="B139" s="103">
        <f>IF($A139, _xlfn.XLOOKUP(C139,'Stress Test Inputs'!$M$17:$M$29,'Stress Test Inputs'!$N$17:$N$29),$B138)</f>
        <v>6.5000000000000002E-2</v>
      </c>
      <c r="C139" s="101">
        <f t="shared" si="12"/>
        <v>137</v>
      </c>
      <c r="D139" s="99">
        <f t="shared" si="14"/>
        <v>0</v>
      </c>
      <c r="E139" s="99">
        <f>IF(OR(D139&lt;=0,C139&gt;'Stress Test Inputs'!$B$23*12),0,IF(AND(C139='Stress Test Inputs'!$B$23*12,'Stress Test Inputs'!$E$23&gt;'Stress Test Inputs'!$B$23),D139+D139*B139/12,IF('Stress Test Inputs'!$C$23="FRM",-PMT($B$3/12,'Stress Test Inputs'!$E$23*12,$D$3),IF($A139,-PMT(B139/12,('Stress Test Inputs'!$E$23*12)-C139+1,D139),E138))))</f>
        <v>0</v>
      </c>
      <c r="F139" s="99">
        <f t="shared" si="11"/>
        <v>0</v>
      </c>
      <c r="G139" s="99">
        <f>IF(C139&gt;'Stress Test Inputs'!$B$23*12,0,D139*B139/12)</f>
        <v>0</v>
      </c>
      <c r="H139" s="99">
        <f t="shared" si="10"/>
        <v>0</v>
      </c>
      <c r="I139" s="99">
        <f t="shared" si="13"/>
        <v>0</v>
      </c>
      <c r="J139" s="98"/>
    </row>
    <row r="140" spans="1:10" x14ac:dyDescent="0.25">
      <c r="A140" s="77" t="b">
        <f>IF(('Stress Test Inputs'!$C$23)="FRM", FALSE, ISNUMBER(MATCH(C140,'Stress Test Inputs'!$M$18:$M$30,0)))</f>
        <v>0</v>
      </c>
      <c r="B140" s="103">
        <f>IF($A140, _xlfn.XLOOKUP(C140,'Stress Test Inputs'!$M$17:$M$29,'Stress Test Inputs'!$N$17:$N$29),$B139)</f>
        <v>6.5000000000000002E-2</v>
      </c>
      <c r="C140" s="101">
        <f t="shared" si="12"/>
        <v>138</v>
      </c>
      <c r="D140" s="99">
        <f t="shared" si="14"/>
        <v>0</v>
      </c>
      <c r="E140" s="99">
        <f>IF(OR(D140&lt;=0,C140&gt;'Stress Test Inputs'!$B$23*12),0,IF(AND(C140='Stress Test Inputs'!$B$23*12,'Stress Test Inputs'!$E$23&gt;'Stress Test Inputs'!$B$23),D140+D140*B140/12,IF('Stress Test Inputs'!$C$23="FRM",-PMT($B$3/12,'Stress Test Inputs'!$E$23*12,$D$3),IF($A140,-PMT(B140/12,('Stress Test Inputs'!$E$23*12)-C140+1,D140),E139))))</f>
        <v>0</v>
      </c>
      <c r="F140" s="99">
        <f t="shared" si="11"/>
        <v>0</v>
      </c>
      <c r="G140" s="99">
        <f>IF(C140&gt;'Stress Test Inputs'!$B$23*12,0,D140*B140/12)</f>
        <v>0</v>
      </c>
      <c r="H140" s="99">
        <f t="shared" si="10"/>
        <v>0</v>
      </c>
      <c r="I140" s="99">
        <f t="shared" si="13"/>
        <v>0</v>
      </c>
      <c r="J140" s="98"/>
    </row>
    <row r="141" spans="1:10" x14ac:dyDescent="0.25">
      <c r="A141" s="77" t="b">
        <f>IF(('Stress Test Inputs'!$C$23)="FRM", FALSE, ISNUMBER(MATCH(C141,'Stress Test Inputs'!$M$18:$M$30,0)))</f>
        <v>0</v>
      </c>
      <c r="B141" s="103">
        <f>IF($A141, _xlfn.XLOOKUP(C141,'Stress Test Inputs'!$M$17:$M$29,'Stress Test Inputs'!$N$17:$N$29),$B140)</f>
        <v>6.5000000000000002E-2</v>
      </c>
      <c r="C141" s="101">
        <f t="shared" si="12"/>
        <v>139</v>
      </c>
      <c r="D141" s="99">
        <f t="shared" si="14"/>
        <v>0</v>
      </c>
      <c r="E141" s="99">
        <f>IF(OR(D141&lt;=0,C141&gt;'Stress Test Inputs'!$B$23*12),0,IF(AND(C141='Stress Test Inputs'!$B$23*12,'Stress Test Inputs'!$E$23&gt;'Stress Test Inputs'!$B$23),D141+D141*B141/12,IF('Stress Test Inputs'!$C$23="FRM",-PMT($B$3/12,'Stress Test Inputs'!$E$23*12,$D$3),IF($A141,-PMT(B141/12,('Stress Test Inputs'!$E$23*12)-C141+1,D141),E140))))</f>
        <v>0</v>
      </c>
      <c r="F141" s="99">
        <f t="shared" si="11"/>
        <v>0</v>
      </c>
      <c r="G141" s="99">
        <f>IF(C141&gt;'Stress Test Inputs'!$B$23*12,0,D141*B141/12)</f>
        <v>0</v>
      </c>
      <c r="H141" s="99">
        <f t="shared" si="10"/>
        <v>0</v>
      </c>
      <c r="I141" s="99">
        <f t="shared" si="13"/>
        <v>0</v>
      </c>
      <c r="J141" s="98"/>
    </row>
    <row r="142" spans="1:10" x14ac:dyDescent="0.25">
      <c r="A142" s="77" t="b">
        <f>IF(('Stress Test Inputs'!$C$23)="FRM", FALSE, ISNUMBER(MATCH(C142,'Stress Test Inputs'!$M$18:$M$30,0)))</f>
        <v>0</v>
      </c>
      <c r="B142" s="103">
        <f>IF($A142, _xlfn.XLOOKUP(C142,'Stress Test Inputs'!$M$17:$M$29,'Stress Test Inputs'!$N$17:$N$29),$B141)</f>
        <v>6.5000000000000002E-2</v>
      </c>
      <c r="C142" s="101">
        <f t="shared" si="12"/>
        <v>140</v>
      </c>
      <c r="D142" s="99">
        <f t="shared" si="14"/>
        <v>0</v>
      </c>
      <c r="E142" s="99">
        <f>IF(OR(D142&lt;=0,C142&gt;'Stress Test Inputs'!$B$23*12),0,IF(AND(C142='Stress Test Inputs'!$B$23*12,'Stress Test Inputs'!$E$23&gt;'Stress Test Inputs'!$B$23),D142+D142*B142/12,IF('Stress Test Inputs'!$C$23="FRM",-PMT($B$3/12,'Stress Test Inputs'!$E$23*12,$D$3),IF($A142,-PMT(B142/12,('Stress Test Inputs'!$E$23*12)-C142+1,D142),E141))))</f>
        <v>0</v>
      </c>
      <c r="F142" s="99">
        <f t="shared" si="11"/>
        <v>0</v>
      </c>
      <c r="G142" s="99">
        <f>IF(C142&gt;'Stress Test Inputs'!$B$23*12,0,D142*B142/12)</f>
        <v>0</v>
      </c>
      <c r="H142" s="99">
        <f t="shared" si="10"/>
        <v>0</v>
      </c>
      <c r="I142" s="99">
        <f t="shared" si="13"/>
        <v>0</v>
      </c>
      <c r="J142" s="98"/>
    </row>
    <row r="143" spans="1:10" x14ac:dyDescent="0.25">
      <c r="A143" s="77" t="b">
        <f>IF(('Stress Test Inputs'!$C$23)="FRM", FALSE, ISNUMBER(MATCH(C143,'Stress Test Inputs'!$M$18:$M$30,0)))</f>
        <v>0</v>
      </c>
      <c r="B143" s="103">
        <f>IF($A143, _xlfn.XLOOKUP(C143,'Stress Test Inputs'!$M$17:$M$29,'Stress Test Inputs'!$N$17:$N$29),$B142)</f>
        <v>6.5000000000000002E-2</v>
      </c>
      <c r="C143" s="101">
        <f t="shared" si="12"/>
        <v>141</v>
      </c>
      <c r="D143" s="99">
        <f t="shared" si="14"/>
        <v>0</v>
      </c>
      <c r="E143" s="99">
        <f>IF(OR(D143&lt;=0,C143&gt;'Stress Test Inputs'!$B$23*12),0,IF(AND(C143='Stress Test Inputs'!$B$23*12,'Stress Test Inputs'!$E$23&gt;'Stress Test Inputs'!$B$23),D143+D143*B143/12,IF('Stress Test Inputs'!$C$23="FRM",-PMT($B$3/12,'Stress Test Inputs'!$E$23*12,$D$3),IF($A143,-PMT(B143/12,('Stress Test Inputs'!$E$23*12)-C143+1,D143),E142))))</f>
        <v>0</v>
      </c>
      <c r="F143" s="99">
        <f t="shared" si="11"/>
        <v>0</v>
      </c>
      <c r="G143" s="99">
        <f>IF(C143&gt;'Stress Test Inputs'!$B$23*12,0,D143*B143/12)</f>
        <v>0</v>
      </c>
      <c r="H143" s="99">
        <f t="shared" si="10"/>
        <v>0</v>
      </c>
      <c r="I143" s="99">
        <f t="shared" si="13"/>
        <v>0</v>
      </c>
      <c r="J143" s="98"/>
    </row>
    <row r="144" spans="1:10" x14ac:dyDescent="0.25">
      <c r="A144" s="77" t="b">
        <f>IF(('Stress Test Inputs'!$C$23)="FRM", FALSE, ISNUMBER(MATCH(C144,'Stress Test Inputs'!$M$18:$M$30,0)))</f>
        <v>0</v>
      </c>
      <c r="B144" s="103">
        <f>IF($A144, _xlfn.XLOOKUP(C144,'Stress Test Inputs'!$M$17:$M$29,'Stress Test Inputs'!$N$17:$N$29),$B143)</f>
        <v>6.5000000000000002E-2</v>
      </c>
      <c r="C144" s="101">
        <f t="shared" si="12"/>
        <v>142</v>
      </c>
      <c r="D144" s="99">
        <f t="shared" si="14"/>
        <v>0</v>
      </c>
      <c r="E144" s="99">
        <f>IF(OR(D144&lt;=0,C144&gt;'Stress Test Inputs'!$B$23*12),0,IF(AND(C144='Stress Test Inputs'!$B$23*12,'Stress Test Inputs'!$E$23&gt;'Stress Test Inputs'!$B$23),D144+D144*B144/12,IF('Stress Test Inputs'!$C$23="FRM",-PMT($B$3/12,'Stress Test Inputs'!$E$23*12,$D$3),IF($A144,-PMT(B144/12,('Stress Test Inputs'!$E$23*12)-C144+1,D144),E143))))</f>
        <v>0</v>
      </c>
      <c r="F144" s="99">
        <f t="shared" si="11"/>
        <v>0</v>
      </c>
      <c r="G144" s="99">
        <f>IF(C144&gt;'Stress Test Inputs'!$B$23*12,0,D144*B144/12)</f>
        <v>0</v>
      </c>
      <c r="H144" s="99">
        <f t="shared" si="10"/>
        <v>0</v>
      </c>
      <c r="I144" s="99">
        <f t="shared" si="13"/>
        <v>0</v>
      </c>
      <c r="J144" s="98"/>
    </row>
    <row r="145" spans="1:10" x14ac:dyDescent="0.25">
      <c r="A145" s="77" t="b">
        <f>IF(('Stress Test Inputs'!$C$23)="FRM", FALSE, ISNUMBER(MATCH(C145,'Stress Test Inputs'!$M$18:$M$30,0)))</f>
        <v>0</v>
      </c>
      <c r="B145" s="103">
        <f>IF($A145, _xlfn.XLOOKUP(C145,'Stress Test Inputs'!$M$17:$M$29,'Stress Test Inputs'!$N$17:$N$29),$B144)</f>
        <v>6.5000000000000002E-2</v>
      </c>
      <c r="C145" s="101">
        <f t="shared" si="12"/>
        <v>143</v>
      </c>
      <c r="D145" s="99">
        <f t="shared" si="14"/>
        <v>0</v>
      </c>
      <c r="E145" s="99">
        <f>IF(OR(D145&lt;=0,C145&gt;'Stress Test Inputs'!$B$23*12),0,IF(AND(C145='Stress Test Inputs'!$B$23*12,'Stress Test Inputs'!$E$23&gt;'Stress Test Inputs'!$B$23),D145+D145*B145/12,IF('Stress Test Inputs'!$C$23="FRM",-PMT($B$3/12,'Stress Test Inputs'!$E$23*12,$D$3),IF($A145,-PMT(B145/12,('Stress Test Inputs'!$E$23*12)-C145+1,D145),E144))))</f>
        <v>0</v>
      </c>
      <c r="F145" s="99">
        <f t="shared" si="11"/>
        <v>0</v>
      </c>
      <c r="G145" s="99">
        <f>IF(C145&gt;'Stress Test Inputs'!$B$23*12,0,D145*B145/12)</f>
        <v>0</v>
      </c>
      <c r="H145" s="99">
        <f t="shared" si="10"/>
        <v>0</v>
      </c>
      <c r="I145" s="99">
        <f t="shared" si="13"/>
        <v>0</v>
      </c>
      <c r="J145" s="98"/>
    </row>
    <row r="146" spans="1:10" x14ac:dyDescent="0.25">
      <c r="A146" s="77" t="b">
        <f>IF(('Stress Test Inputs'!$C$23)="FRM", FALSE, ISNUMBER(MATCH(C146,'Stress Test Inputs'!$M$18:$M$30,0)))</f>
        <v>0</v>
      </c>
      <c r="B146" s="103">
        <f>IF($A146, _xlfn.XLOOKUP(C146,'Stress Test Inputs'!$M$17:$M$29,'Stress Test Inputs'!$N$17:$N$29),$B145)</f>
        <v>6.5000000000000002E-2</v>
      </c>
      <c r="C146" s="101">
        <f t="shared" si="12"/>
        <v>144</v>
      </c>
      <c r="D146" s="99">
        <f t="shared" si="14"/>
        <v>0</v>
      </c>
      <c r="E146" s="99">
        <f>IF(OR(D146&lt;=0,C146&gt;'Stress Test Inputs'!$B$23*12),0,IF(AND(C146='Stress Test Inputs'!$B$23*12,'Stress Test Inputs'!$E$23&gt;'Stress Test Inputs'!$B$23),D146+D146*B146/12,IF('Stress Test Inputs'!$C$23="FRM",-PMT($B$3/12,'Stress Test Inputs'!$E$23*12,$D$3),IF($A146,-PMT(B146/12,('Stress Test Inputs'!$E$23*12)-C146+1,D146),E145))))</f>
        <v>0</v>
      </c>
      <c r="F146" s="99">
        <f t="shared" si="11"/>
        <v>0</v>
      </c>
      <c r="G146" s="99">
        <f>IF(C146&gt;'Stress Test Inputs'!$B$23*12,0,D146*B146/12)</f>
        <v>0</v>
      </c>
      <c r="H146" s="99">
        <f t="shared" si="10"/>
        <v>0</v>
      </c>
      <c r="I146" s="99">
        <f t="shared" si="13"/>
        <v>0</v>
      </c>
      <c r="J146" s="98"/>
    </row>
    <row r="147" spans="1:10" x14ac:dyDescent="0.25">
      <c r="A147" s="77" t="b">
        <f>IF(('Stress Test Inputs'!$C$23)="FRM", FALSE, ISNUMBER(MATCH(C147,'Stress Test Inputs'!$M$18:$M$30,0)))</f>
        <v>0</v>
      </c>
      <c r="B147" s="103">
        <f>IF($A147, _xlfn.XLOOKUP(C147,'Stress Test Inputs'!$M$17:$M$29,'Stress Test Inputs'!$N$17:$N$29),$B146)</f>
        <v>6.5000000000000002E-2</v>
      </c>
      <c r="C147" s="101">
        <f t="shared" si="12"/>
        <v>145</v>
      </c>
      <c r="D147" s="99">
        <f t="shared" si="14"/>
        <v>0</v>
      </c>
      <c r="E147" s="99">
        <f>IF(OR(D147&lt;=0,C147&gt;'Stress Test Inputs'!$B$23*12),0,IF(AND(C147='Stress Test Inputs'!$B$23*12,'Stress Test Inputs'!$E$23&gt;'Stress Test Inputs'!$B$23),D147+D147*B147/12,IF('Stress Test Inputs'!$C$23="FRM",-PMT($B$3/12,'Stress Test Inputs'!$E$23*12,$D$3),IF($A147,-PMT(B147/12,('Stress Test Inputs'!$E$23*12)-C147+1,D147),E146))))</f>
        <v>0</v>
      </c>
      <c r="F147" s="99">
        <f t="shared" si="11"/>
        <v>0</v>
      </c>
      <c r="G147" s="99">
        <f>IF(C147&gt;'Stress Test Inputs'!$B$23*12,0,D147*B147/12)</f>
        <v>0</v>
      </c>
      <c r="H147" s="99">
        <f t="shared" si="10"/>
        <v>0</v>
      </c>
      <c r="I147" s="99">
        <f t="shared" si="13"/>
        <v>0</v>
      </c>
      <c r="J147" s="98"/>
    </row>
    <row r="148" spans="1:10" x14ac:dyDescent="0.25">
      <c r="A148" s="77" t="b">
        <f>IF(('Stress Test Inputs'!$C$23)="FRM", FALSE, ISNUMBER(MATCH(C148,'Stress Test Inputs'!$M$18:$M$30,0)))</f>
        <v>0</v>
      </c>
      <c r="B148" s="103">
        <f>IF($A148, _xlfn.XLOOKUP(C148,'Stress Test Inputs'!$M$17:$M$29,'Stress Test Inputs'!$N$17:$N$29),$B147)</f>
        <v>6.5000000000000002E-2</v>
      </c>
      <c r="C148" s="101">
        <f t="shared" si="12"/>
        <v>146</v>
      </c>
      <c r="D148" s="99">
        <f t="shared" si="14"/>
        <v>0</v>
      </c>
      <c r="E148" s="99">
        <f>IF(OR(D148&lt;=0,C148&gt;'Stress Test Inputs'!$B$23*12),0,IF(AND(C148='Stress Test Inputs'!$B$23*12,'Stress Test Inputs'!$E$23&gt;'Stress Test Inputs'!$B$23),D148+D148*B148/12,IF('Stress Test Inputs'!$C$23="FRM",-PMT($B$3/12,'Stress Test Inputs'!$E$23*12,$D$3),IF($A148,-PMT(B148/12,('Stress Test Inputs'!$E$23*12)-C148+1,D148),E147))))</f>
        <v>0</v>
      </c>
      <c r="F148" s="99">
        <f t="shared" si="11"/>
        <v>0</v>
      </c>
      <c r="G148" s="99">
        <f>IF(C148&gt;'Stress Test Inputs'!$B$23*12,0,D148*B148/12)</f>
        <v>0</v>
      </c>
      <c r="H148" s="99">
        <f t="shared" si="10"/>
        <v>0</v>
      </c>
      <c r="I148" s="99">
        <f t="shared" si="13"/>
        <v>0</v>
      </c>
      <c r="J148" s="98"/>
    </row>
    <row r="149" spans="1:10" x14ac:dyDescent="0.25">
      <c r="A149" s="77" t="b">
        <f>IF(('Stress Test Inputs'!$C$23)="FRM", FALSE, ISNUMBER(MATCH(C149,'Stress Test Inputs'!$M$18:$M$30,0)))</f>
        <v>0</v>
      </c>
      <c r="B149" s="103">
        <f>IF($A149, _xlfn.XLOOKUP(C149,'Stress Test Inputs'!$M$17:$M$29,'Stress Test Inputs'!$N$17:$N$29),$B148)</f>
        <v>6.5000000000000002E-2</v>
      </c>
      <c r="C149" s="101">
        <f t="shared" si="12"/>
        <v>147</v>
      </c>
      <c r="D149" s="99">
        <f t="shared" si="14"/>
        <v>0</v>
      </c>
      <c r="E149" s="99">
        <f>IF(OR(D149&lt;=0,C149&gt;'Stress Test Inputs'!$B$23*12),0,IF(AND(C149='Stress Test Inputs'!$B$23*12,'Stress Test Inputs'!$E$23&gt;'Stress Test Inputs'!$B$23),D149+D149*B149/12,IF('Stress Test Inputs'!$C$23="FRM",-PMT($B$3/12,'Stress Test Inputs'!$E$23*12,$D$3),IF($A149,-PMT(B149/12,('Stress Test Inputs'!$E$23*12)-C149+1,D149),E148))))</f>
        <v>0</v>
      </c>
      <c r="F149" s="99">
        <f t="shared" si="11"/>
        <v>0</v>
      </c>
      <c r="G149" s="99">
        <f>IF(C149&gt;'Stress Test Inputs'!$B$23*12,0,D149*B149/12)</f>
        <v>0</v>
      </c>
      <c r="H149" s="99">
        <f t="shared" si="10"/>
        <v>0</v>
      </c>
      <c r="I149" s="99">
        <f t="shared" si="13"/>
        <v>0</v>
      </c>
      <c r="J149" s="98"/>
    </row>
    <row r="150" spans="1:10" x14ac:dyDescent="0.25">
      <c r="A150" s="77" t="b">
        <f>IF(('Stress Test Inputs'!$C$23)="FRM", FALSE, ISNUMBER(MATCH(C150,'Stress Test Inputs'!$M$18:$M$30,0)))</f>
        <v>0</v>
      </c>
      <c r="B150" s="103">
        <f>IF($A150, _xlfn.XLOOKUP(C150,'Stress Test Inputs'!$M$17:$M$29,'Stress Test Inputs'!$N$17:$N$29),$B149)</f>
        <v>6.5000000000000002E-2</v>
      </c>
      <c r="C150" s="101">
        <f t="shared" si="12"/>
        <v>148</v>
      </c>
      <c r="D150" s="99">
        <f t="shared" si="14"/>
        <v>0</v>
      </c>
      <c r="E150" s="99">
        <f>IF(OR(D150&lt;=0,C150&gt;'Stress Test Inputs'!$B$23*12),0,IF(AND(C150='Stress Test Inputs'!$B$23*12,'Stress Test Inputs'!$E$23&gt;'Stress Test Inputs'!$B$23),D150+D150*B150/12,IF('Stress Test Inputs'!$C$23="FRM",-PMT($B$3/12,'Stress Test Inputs'!$E$23*12,$D$3),IF($A150,-PMT(B150/12,('Stress Test Inputs'!$E$23*12)-C150+1,D150),E149))))</f>
        <v>0</v>
      </c>
      <c r="F150" s="99">
        <f t="shared" si="11"/>
        <v>0</v>
      </c>
      <c r="G150" s="99">
        <f>IF(C150&gt;'Stress Test Inputs'!$B$23*12,0,D150*B150/12)</f>
        <v>0</v>
      </c>
      <c r="H150" s="99">
        <f t="shared" si="10"/>
        <v>0</v>
      </c>
      <c r="I150" s="99">
        <f t="shared" si="13"/>
        <v>0</v>
      </c>
      <c r="J150" s="98"/>
    </row>
    <row r="151" spans="1:10" x14ac:dyDescent="0.25">
      <c r="A151" s="77" t="b">
        <f>IF(('Stress Test Inputs'!$C$23)="FRM", FALSE, ISNUMBER(MATCH(C151,'Stress Test Inputs'!$M$18:$M$30,0)))</f>
        <v>0</v>
      </c>
      <c r="B151" s="103">
        <f>IF($A151, _xlfn.XLOOKUP(C151,'Stress Test Inputs'!$M$17:$M$29,'Stress Test Inputs'!$N$17:$N$29),$B150)</f>
        <v>6.5000000000000002E-2</v>
      </c>
      <c r="C151" s="101">
        <f t="shared" si="12"/>
        <v>149</v>
      </c>
      <c r="D151" s="99">
        <f t="shared" si="14"/>
        <v>0</v>
      </c>
      <c r="E151" s="99">
        <f>IF(OR(D151&lt;=0,C151&gt;'Stress Test Inputs'!$B$23*12),0,IF(AND(C151='Stress Test Inputs'!$B$23*12,'Stress Test Inputs'!$E$23&gt;'Stress Test Inputs'!$B$23),D151+D151*B151/12,IF('Stress Test Inputs'!$C$23="FRM",-PMT($B$3/12,'Stress Test Inputs'!$E$23*12,$D$3),IF($A151,-PMT(B151/12,('Stress Test Inputs'!$E$23*12)-C151+1,D151),E150))))</f>
        <v>0</v>
      </c>
      <c r="F151" s="99">
        <f t="shared" si="11"/>
        <v>0</v>
      </c>
      <c r="G151" s="99">
        <f>IF(C151&gt;'Stress Test Inputs'!$B$23*12,0,D151*B151/12)</f>
        <v>0</v>
      </c>
      <c r="H151" s="99">
        <f t="shared" si="10"/>
        <v>0</v>
      </c>
      <c r="I151" s="99">
        <f t="shared" si="13"/>
        <v>0</v>
      </c>
      <c r="J151" s="98"/>
    </row>
    <row r="152" spans="1:10" x14ac:dyDescent="0.25">
      <c r="A152" s="77" t="b">
        <f>IF(('Stress Test Inputs'!$C$23)="FRM", FALSE, ISNUMBER(MATCH(C152,'Stress Test Inputs'!$M$18:$M$30,0)))</f>
        <v>0</v>
      </c>
      <c r="B152" s="103">
        <f>IF($A152, _xlfn.XLOOKUP(C152,'Stress Test Inputs'!$M$17:$M$29,'Stress Test Inputs'!$N$17:$N$29),$B151)</f>
        <v>6.5000000000000002E-2</v>
      </c>
      <c r="C152" s="101">
        <f t="shared" si="12"/>
        <v>150</v>
      </c>
      <c r="D152" s="99">
        <f t="shared" si="14"/>
        <v>0</v>
      </c>
      <c r="E152" s="99">
        <f>IF(OR(D152&lt;=0,C152&gt;'Stress Test Inputs'!$B$23*12),0,IF(AND(C152='Stress Test Inputs'!$B$23*12,'Stress Test Inputs'!$E$23&gt;'Stress Test Inputs'!$B$23),D152+D152*B152/12,IF('Stress Test Inputs'!$C$23="FRM",-PMT($B$3/12,'Stress Test Inputs'!$E$23*12,$D$3),IF($A152,-PMT(B152/12,('Stress Test Inputs'!$E$23*12)-C152+1,D152),E151))))</f>
        <v>0</v>
      </c>
      <c r="F152" s="99">
        <f t="shared" si="11"/>
        <v>0</v>
      </c>
      <c r="G152" s="99">
        <f>IF(C152&gt;'Stress Test Inputs'!$B$23*12,0,D152*B152/12)</f>
        <v>0</v>
      </c>
      <c r="H152" s="99">
        <f t="shared" si="10"/>
        <v>0</v>
      </c>
      <c r="I152" s="99">
        <f t="shared" si="13"/>
        <v>0</v>
      </c>
      <c r="J152" s="98"/>
    </row>
    <row r="153" spans="1:10" x14ac:dyDescent="0.25">
      <c r="A153" s="77" t="b">
        <f>IF(('Stress Test Inputs'!$C$23)="FRM", FALSE, ISNUMBER(MATCH(C153,'Stress Test Inputs'!$M$18:$M$30,0)))</f>
        <v>0</v>
      </c>
      <c r="B153" s="103">
        <f>IF($A153, _xlfn.XLOOKUP(C153,'Stress Test Inputs'!$M$17:$M$29,'Stress Test Inputs'!$N$17:$N$29),$B152)</f>
        <v>6.5000000000000002E-2</v>
      </c>
      <c r="C153" s="101">
        <f t="shared" si="12"/>
        <v>151</v>
      </c>
      <c r="D153" s="99">
        <f t="shared" si="14"/>
        <v>0</v>
      </c>
      <c r="E153" s="99">
        <f>IF(OR(D153&lt;=0,C153&gt;'Stress Test Inputs'!$B$23*12),0,IF(AND(C153='Stress Test Inputs'!$B$23*12,'Stress Test Inputs'!$E$23&gt;'Stress Test Inputs'!$B$23),D153+D153*B153/12,IF('Stress Test Inputs'!$C$23="FRM",-PMT($B$3/12,'Stress Test Inputs'!$E$23*12,$D$3),IF($A153,-PMT(B153/12,('Stress Test Inputs'!$E$23*12)-C153+1,D153),E152))))</f>
        <v>0</v>
      </c>
      <c r="F153" s="99">
        <f t="shared" si="11"/>
        <v>0</v>
      </c>
      <c r="G153" s="99">
        <f>IF(C153&gt;'Stress Test Inputs'!$B$23*12,0,D153*B153/12)</f>
        <v>0</v>
      </c>
      <c r="H153" s="99">
        <f t="shared" si="10"/>
        <v>0</v>
      </c>
      <c r="I153" s="99">
        <f t="shared" si="13"/>
        <v>0</v>
      </c>
      <c r="J153" s="98"/>
    </row>
    <row r="154" spans="1:10" x14ac:dyDescent="0.25">
      <c r="A154" s="77" t="b">
        <f>IF(('Stress Test Inputs'!$C$23)="FRM", FALSE, ISNUMBER(MATCH(C154,'Stress Test Inputs'!$M$18:$M$30,0)))</f>
        <v>0</v>
      </c>
      <c r="B154" s="103">
        <f>IF($A154, _xlfn.XLOOKUP(C154,'Stress Test Inputs'!$M$17:$M$29,'Stress Test Inputs'!$N$17:$N$29),$B153)</f>
        <v>6.5000000000000002E-2</v>
      </c>
      <c r="C154" s="101">
        <f t="shared" si="12"/>
        <v>152</v>
      </c>
      <c r="D154" s="99">
        <f t="shared" si="14"/>
        <v>0</v>
      </c>
      <c r="E154" s="99">
        <f>IF(OR(D154&lt;=0,C154&gt;'Stress Test Inputs'!$B$23*12),0,IF(AND(C154='Stress Test Inputs'!$B$23*12,'Stress Test Inputs'!$E$23&gt;'Stress Test Inputs'!$B$23),D154+D154*B154/12,IF('Stress Test Inputs'!$C$23="FRM",-PMT($B$3/12,'Stress Test Inputs'!$E$23*12,$D$3),IF($A154,-PMT(B154/12,('Stress Test Inputs'!$E$23*12)-C154+1,D154),E153))))</f>
        <v>0</v>
      </c>
      <c r="F154" s="99">
        <f t="shared" si="11"/>
        <v>0</v>
      </c>
      <c r="G154" s="99">
        <f>IF(C154&gt;'Stress Test Inputs'!$B$23*12,0,D154*B154/12)</f>
        <v>0</v>
      </c>
      <c r="H154" s="99">
        <f t="shared" si="10"/>
        <v>0</v>
      </c>
      <c r="I154" s="99">
        <f t="shared" si="13"/>
        <v>0</v>
      </c>
      <c r="J154" s="98"/>
    </row>
    <row r="155" spans="1:10" x14ac:dyDescent="0.25">
      <c r="A155" s="77" t="b">
        <f>IF(('Stress Test Inputs'!$C$23)="FRM", FALSE, ISNUMBER(MATCH(C155,'Stress Test Inputs'!$M$18:$M$30,0)))</f>
        <v>0</v>
      </c>
      <c r="B155" s="103">
        <f>IF($A155, _xlfn.XLOOKUP(C155,'Stress Test Inputs'!$M$17:$M$29,'Stress Test Inputs'!$N$17:$N$29),$B154)</f>
        <v>6.5000000000000002E-2</v>
      </c>
      <c r="C155" s="101">
        <f t="shared" si="12"/>
        <v>153</v>
      </c>
      <c r="D155" s="99">
        <f t="shared" si="14"/>
        <v>0</v>
      </c>
      <c r="E155" s="99">
        <f>IF(OR(D155&lt;=0,C155&gt;'Stress Test Inputs'!$B$23*12),0,IF(AND(C155='Stress Test Inputs'!$B$23*12,'Stress Test Inputs'!$E$23&gt;'Stress Test Inputs'!$B$23),D155+D155*B155/12,IF('Stress Test Inputs'!$C$23="FRM",-PMT($B$3/12,'Stress Test Inputs'!$E$23*12,$D$3),IF($A155,-PMT(B155/12,('Stress Test Inputs'!$E$23*12)-C155+1,D155),E154))))</f>
        <v>0</v>
      </c>
      <c r="F155" s="99">
        <f t="shared" si="11"/>
        <v>0</v>
      </c>
      <c r="G155" s="99">
        <f>IF(C155&gt;'Stress Test Inputs'!$B$23*12,0,D155*B155/12)</f>
        <v>0</v>
      </c>
      <c r="H155" s="99">
        <f t="shared" si="10"/>
        <v>0</v>
      </c>
      <c r="I155" s="99">
        <f t="shared" si="13"/>
        <v>0</v>
      </c>
      <c r="J155" s="98"/>
    </row>
    <row r="156" spans="1:10" x14ac:dyDescent="0.25">
      <c r="A156" s="77" t="b">
        <f>IF(('Stress Test Inputs'!$C$23)="FRM", FALSE, ISNUMBER(MATCH(C156,'Stress Test Inputs'!$M$18:$M$30,0)))</f>
        <v>0</v>
      </c>
      <c r="B156" s="103">
        <f>IF($A156, _xlfn.XLOOKUP(C156,'Stress Test Inputs'!$M$17:$M$29,'Stress Test Inputs'!$N$17:$N$29),$B155)</f>
        <v>6.5000000000000002E-2</v>
      </c>
      <c r="C156" s="101">
        <f t="shared" si="12"/>
        <v>154</v>
      </c>
      <c r="D156" s="99">
        <f t="shared" si="14"/>
        <v>0</v>
      </c>
      <c r="E156" s="99">
        <f>IF(OR(D156&lt;=0,C156&gt;'Stress Test Inputs'!$B$23*12),0,IF(AND(C156='Stress Test Inputs'!$B$23*12,'Stress Test Inputs'!$E$23&gt;'Stress Test Inputs'!$B$23),D156+D156*B156/12,IF('Stress Test Inputs'!$C$23="FRM",-PMT($B$3/12,'Stress Test Inputs'!$E$23*12,$D$3),IF($A156,-PMT(B156/12,('Stress Test Inputs'!$E$23*12)-C156+1,D156),E155))))</f>
        <v>0</v>
      </c>
      <c r="F156" s="99">
        <f t="shared" si="11"/>
        <v>0</v>
      </c>
      <c r="G156" s="99">
        <f>IF(C156&gt;'Stress Test Inputs'!$B$23*12,0,D156*B156/12)</f>
        <v>0</v>
      </c>
      <c r="H156" s="99">
        <f t="shared" si="10"/>
        <v>0</v>
      </c>
      <c r="I156" s="99">
        <f t="shared" si="13"/>
        <v>0</v>
      </c>
      <c r="J156" s="98"/>
    </row>
    <row r="157" spans="1:10" x14ac:dyDescent="0.25">
      <c r="A157" s="77" t="b">
        <f>IF(('Stress Test Inputs'!$C$23)="FRM", FALSE, ISNUMBER(MATCH(C157,'Stress Test Inputs'!$M$18:$M$30,0)))</f>
        <v>0</v>
      </c>
      <c r="B157" s="103">
        <f>IF($A157, _xlfn.XLOOKUP(C157,'Stress Test Inputs'!$M$17:$M$29,'Stress Test Inputs'!$N$17:$N$29),$B156)</f>
        <v>6.5000000000000002E-2</v>
      </c>
      <c r="C157" s="101">
        <f t="shared" si="12"/>
        <v>155</v>
      </c>
      <c r="D157" s="99">
        <f t="shared" si="14"/>
        <v>0</v>
      </c>
      <c r="E157" s="99">
        <f>IF(OR(D157&lt;=0,C157&gt;'Stress Test Inputs'!$B$23*12),0,IF(AND(C157='Stress Test Inputs'!$B$23*12,'Stress Test Inputs'!$E$23&gt;'Stress Test Inputs'!$B$23),D157+D157*B157/12,IF('Stress Test Inputs'!$C$23="FRM",-PMT($B$3/12,'Stress Test Inputs'!$E$23*12,$D$3),IF($A157,-PMT(B157/12,('Stress Test Inputs'!$E$23*12)-C157+1,D157),E156))))</f>
        <v>0</v>
      </c>
      <c r="F157" s="99">
        <f t="shared" si="11"/>
        <v>0</v>
      </c>
      <c r="G157" s="99">
        <f>IF(C157&gt;'Stress Test Inputs'!$B$23*12,0,D157*B157/12)</f>
        <v>0</v>
      </c>
      <c r="H157" s="99">
        <f t="shared" si="10"/>
        <v>0</v>
      </c>
      <c r="I157" s="99">
        <f t="shared" si="13"/>
        <v>0</v>
      </c>
      <c r="J157" s="98"/>
    </row>
    <row r="158" spans="1:10" x14ac:dyDescent="0.25">
      <c r="A158" s="77" t="b">
        <f>IF(('Stress Test Inputs'!$C$23)="FRM", FALSE, ISNUMBER(MATCH(C158,'Stress Test Inputs'!$M$18:$M$30,0)))</f>
        <v>0</v>
      </c>
      <c r="B158" s="103">
        <f>IF($A158, _xlfn.XLOOKUP(C158,'Stress Test Inputs'!$M$17:$M$29,'Stress Test Inputs'!$N$17:$N$29),$B157)</f>
        <v>6.5000000000000002E-2</v>
      </c>
      <c r="C158" s="101">
        <f t="shared" si="12"/>
        <v>156</v>
      </c>
      <c r="D158" s="99">
        <f t="shared" si="14"/>
        <v>0</v>
      </c>
      <c r="E158" s="99">
        <f>IF(OR(D158&lt;=0,C158&gt;'Stress Test Inputs'!$B$23*12),0,IF(AND(C158='Stress Test Inputs'!$B$23*12,'Stress Test Inputs'!$E$23&gt;'Stress Test Inputs'!$B$23),D158+D158*B158/12,IF('Stress Test Inputs'!$C$23="FRM",-PMT($B$3/12,'Stress Test Inputs'!$E$23*12,$D$3),IF($A158,-PMT(B158/12,('Stress Test Inputs'!$E$23*12)-C158+1,D158),E157))))</f>
        <v>0</v>
      </c>
      <c r="F158" s="99">
        <f t="shared" si="11"/>
        <v>0</v>
      </c>
      <c r="G158" s="99">
        <f>IF(C158&gt;'Stress Test Inputs'!$B$23*12,0,D158*B158/12)</f>
        <v>0</v>
      </c>
      <c r="H158" s="99">
        <f t="shared" si="10"/>
        <v>0</v>
      </c>
      <c r="I158" s="99">
        <f t="shared" si="13"/>
        <v>0</v>
      </c>
      <c r="J158" s="98"/>
    </row>
    <row r="159" spans="1:10" x14ac:dyDescent="0.25">
      <c r="A159" s="77" t="b">
        <f>IF(('Stress Test Inputs'!$C$23)="FRM", FALSE, ISNUMBER(MATCH(C159,'Stress Test Inputs'!$M$18:$M$30,0)))</f>
        <v>0</v>
      </c>
      <c r="B159" s="103">
        <f>IF($A159, _xlfn.XLOOKUP(C159,'Stress Test Inputs'!$M$17:$M$29,'Stress Test Inputs'!$N$17:$N$29),$B158)</f>
        <v>6.5000000000000002E-2</v>
      </c>
      <c r="C159" s="101">
        <f t="shared" si="12"/>
        <v>157</v>
      </c>
      <c r="D159" s="99">
        <f t="shared" si="14"/>
        <v>0</v>
      </c>
      <c r="E159" s="99">
        <f>IF(OR(D159&lt;=0,C159&gt;'Stress Test Inputs'!$B$23*12),0,IF(AND(C159='Stress Test Inputs'!$B$23*12,'Stress Test Inputs'!$E$23&gt;'Stress Test Inputs'!$B$23),D159+D159*B159/12,IF('Stress Test Inputs'!$C$23="FRM",-PMT($B$3/12,'Stress Test Inputs'!$E$23*12,$D$3),IF($A159,-PMT(B159/12,('Stress Test Inputs'!$E$23*12)-C159+1,D159),E158))))</f>
        <v>0</v>
      </c>
      <c r="F159" s="99">
        <f t="shared" si="11"/>
        <v>0</v>
      </c>
      <c r="G159" s="99">
        <f>IF(C159&gt;'Stress Test Inputs'!$B$23*12,0,D159*B159/12)</f>
        <v>0</v>
      </c>
      <c r="H159" s="99">
        <f t="shared" si="10"/>
        <v>0</v>
      </c>
      <c r="I159" s="99">
        <f t="shared" si="13"/>
        <v>0</v>
      </c>
      <c r="J159" s="98"/>
    </row>
    <row r="160" spans="1:10" x14ac:dyDescent="0.25">
      <c r="A160" s="77" t="b">
        <f>IF(('Stress Test Inputs'!$C$23)="FRM", FALSE, ISNUMBER(MATCH(C160,'Stress Test Inputs'!$M$18:$M$30,0)))</f>
        <v>0</v>
      </c>
      <c r="B160" s="103">
        <f>IF($A160, _xlfn.XLOOKUP(C160,'Stress Test Inputs'!$M$17:$M$29,'Stress Test Inputs'!$N$17:$N$29),$B159)</f>
        <v>6.5000000000000002E-2</v>
      </c>
      <c r="C160" s="101">
        <f t="shared" si="12"/>
        <v>158</v>
      </c>
      <c r="D160" s="99">
        <f t="shared" si="14"/>
        <v>0</v>
      </c>
      <c r="E160" s="99">
        <f>IF(OR(D160&lt;=0,C160&gt;'Stress Test Inputs'!$B$23*12),0,IF(AND(C160='Stress Test Inputs'!$B$23*12,'Stress Test Inputs'!$E$23&gt;'Stress Test Inputs'!$B$23),D160+D160*B160/12,IF('Stress Test Inputs'!$C$23="FRM",-PMT($B$3/12,'Stress Test Inputs'!$E$23*12,$D$3),IF($A160,-PMT(B160/12,('Stress Test Inputs'!$E$23*12)-C160+1,D160),E159))))</f>
        <v>0</v>
      </c>
      <c r="F160" s="99">
        <f t="shared" si="11"/>
        <v>0</v>
      </c>
      <c r="G160" s="99">
        <f>IF(C160&gt;'Stress Test Inputs'!$B$23*12,0,D160*B160/12)</f>
        <v>0</v>
      </c>
      <c r="H160" s="99">
        <f t="shared" si="10"/>
        <v>0</v>
      </c>
      <c r="I160" s="99">
        <f t="shared" si="13"/>
        <v>0</v>
      </c>
      <c r="J160" s="98"/>
    </row>
    <row r="161" spans="1:10" x14ac:dyDescent="0.25">
      <c r="A161" s="77" t="b">
        <f>IF(('Stress Test Inputs'!$C$23)="FRM", FALSE, ISNUMBER(MATCH(C161,'Stress Test Inputs'!$M$18:$M$30,0)))</f>
        <v>0</v>
      </c>
      <c r="B161" s="103">
        <f>IF($A161, _xlfn.XLOOKUP(C161,'Stress Test Inputs'!$M$17:$M$29,'Stress Test Inputs'!$N$17:$N$29),$B160)</f>
        <v>6.5000000000000002E-2</v>
      </c>
      <c r="C161" s="101">
        <f t="shared" si="12"/>
        <v>159</v>
      </c>
      <c r="D161" s="99">
        <f t="shared" si="14"/>
        <v>0</v>
      </c>
      <c r="E161" s="99">
        <f>IF(OR(D161&lt;=0,C161&gt;'Stress Test Inputs'!$B$23*12),0,IF(AND(C161='Stress Test Inputs'!$B$23*12,'Stress Test Inputs'!$E$23&gt;'Stress Test Inputs'!$B$23),D161+D161*B161/12,IF('Stress Test Inputs'!$C$23="FRM",-PMT($B$3/12,'Stress Test Inputs'!$E$23*12,$D$3),IF($A161,-PMT(B161/12,('Stress Test Inputs'!$E$23*12)-C161+1,D161),E160))))</f>
        <v>0</v>
      </c>
      <c r="F161" s="99">
        <f t="shared" si="11"/>
        <v>0</v>
      </c>
      <c r="G161" s="99">
        <f>IF(C161&gt;'Stress Test Inputs'!$B$23*12,0,D161*B161/12)</f>
        <v>0</v>
      </c>
      <c r="H161" s="99">
        <f t="shared" si="10"/>
        <v>0</v>
      </c>
      <c r="I161" s="99">
        <f t="shared" si="13"/>
        <v>0</v>
      </c>
      <c r="J161" s="98"/>
    </row>
    <row r="162" spans="1:10" x14ac:dyDescent="0.25">
      <c r="A162" s="77" t="b">
        <f>IF(('Stress Test Inputs'!$C$23)="FRM", FALSE, ISNUMBER(MATCH(C162,'Stress Test Inputs'!$M$18:$M$30,0)))</f>
        <v>0</v>
      </c>
      <c r="B162" s="103">
        <f>IF($A162, _xlfn.XLOOKUP(C162,'Stress Test Inputs'!$M$17:$M$29,'Stress Test Inputs'!$N$17:$N$29),$B161)</f>
        <v>6.5000000000000002E-2</v>
      </c>
      <c r="C162" s="101">
        <f t="shared" si="12"/>
        <v>160</v>
      </c>
      <c r="D162" s="99">
        <f t="shared" si="14"/>
        <v>0</v>
      </c>
      <c r="E162" s="99">
        <f>IF(OR(D162&lt;=0,C162&gt;'Stress Test Inputs'!$B$23*12),0,IF(AND(C162='Stress Test Inputs'!$B$23*12,'Stress Test Inputs'!$E$23&gt;'Stress Test Inputs'!$B$23),D162+D162*B162/12,IF('Stress Test Inputs'!$C$23="FRM",-PMT($B$3/12,'Stress Test Inputs'!$E$23*12,$D$3),IF($A162,-PMT(B162/12,('Stress Test Inputs'!$E$23*12)-C162+1,D162),E161))))</f>
        <v>0</v>
      </c>
      <c r="F162" s="99">
        <f t="shared" si="11"/>
        <v>0</v>
      </c>
      <c r="G162" s="99">
        <f>IF(C162&gt;'Stress Test Inputs'!$B$23*12,0,D162*B162/12)</f>
        <v>0</v>
      </c>
      <c r="H162" s="99">
        <f t="shared" si="10"/>
        <v>0</v>
      </c>
      <c r="I162" s="99">
        <f t="shared" si="13"/>
        <v>0</v>
      </c>
      <c r="J162" s="98"/>
    </row>
    <row r="163" spans="1:10" x14ac:dyDescent="0.25">
      <c r="A163" s="77" t="b">
        <f>IF(('Stress Test Inputs'!$C$23)="FRM", FALSE, ISNUMBER(MATCH(C163,'Stress Test Inputs'!$M$18:$M$30,0)))</f>
        <v>0</v>
      </c>
      <c r="B163" s="103">
        <f>IF($A163, _xlfn.XLOOKUP(C163,'Stress Test Inputs'!$M$17:$M$29,'Stress Test Inputs'!$N$17:$N$29),$B162)</f>
        <v>6.5000000000000002E-2</v>
      </c>
      <c r="C163" s="101">
        <f t="shared" si="12"/>
        <v>161</v>
      </c>
      <c r="D163" s="99">
        <f t="shared" si="14"/>
        <v>0</v>
      </c>
      <c r="E163" s="99">
        <f>IF(OR(D163&lt;=0,C163&gt;'Stress Test Inputs'!$B$23*12),0,IF(AND(C163='Stress Test Inputs'!$B$23*12,'Stress Test Inputs'!$E$23&gt;'Stress Test Inputs'!$B$23),D163+D163*B163/12,IF('Stress Test Inputs'!$C$23="FRM",-PMT($B$3/12,'Stress Test Inputs'!$E$23*12,$D$3),IF($A163,-PMT(B163/12,('Stress Test Inputs'!$E$23*12)-C163+1,D163),E162))))</f>
        <v>0</v>
      </c>
      <c r="F163" s="99">
        <f t="shared" si="11"/>
        <v>0</v>
      </c>
      <c r="G163" s="99">
        <f>IF(C163&gt;'Stress Test Inputs'!$B$23*12,0,D163*B163/12)</f>
        <v>0</v>
      </c>
      <c r="H163" s="99">
        <f t="shared" si="10"/>
        <v>0</v>
      </c>
      <c r="I163" s="99">
        <f t="shared" si="13"/>
        <v>0</v>
      </c>
      <c r="J163" s="98"/>
    </row>
    <row r="164" spans="1:10" x14ac:dyDescent="0.25">
      <c r="A164" s="77" t="b">
        <f>IF(('Stress Test Inputs'!$C$23)="FRM", FALSE, ISNUMBER(MATCH(C164,'Stress Test Inputs'!$M$18:$M$30,0)))</f>
        <v>0</v>
      </c>
      <c r="B164" s="103">
        <f>IF($A164, _xlfn.XLOOKUP(C164,'Stress Test Inputs'!$M$17:$M$29,'Stress Test Inputs'!$N$17:$N$29),$B163)</f>
        <v>6.5000000000000002E-2</v>
      </c>
      <c r="C164" s="101">
        <f t="shared" si="12"/>
        <v>162</v>
      </c>
      <c r="D164" s="99">
        <f t="shared" si="14"/>
        <v>0</v>
      </c>
      <c r="E164" s="99">
        <f>IF(OR(D164&lt;=0,C164&gt;'Stress Test Inputs'!$B$23*12),0,IF(AND(C164='Stress Test Inputs'!$B$23*12,'Stress Test Inputs'!$E$23&gt;'Stress Test Inputs'!$B$23),D164+D164*B164/12,IF('Stress Test Inputs'!$C$23="FRM",-PMT($B$3/12,'Stress Test Inputs'!$E$23*12,$D$3),IF($A164,-PMT(B164/12,('Stress Test Inputs'!$E$23*12)-C164+1,D164),E163))))</f>
        <v>0</v>
      </c>
      <c r="F164" s="99">
        <f t="shared" si="11"/>
        <v>0</v>
      </c>
      <c r="G164" s="99">
        <f>IF(C164&gt;'Stress Test Inputs'!$B$23*12,0,D164*B164/12)</f>
        <v>0</v>
      </c>
      <c r="H164" s="99">
        <f t="shared" si="10"/>
        <v>0</v>
      </c>
      <c r="I164" s="99">
        <f t="shared" si="13"/>
        <v>0</v>
      </c>
      <c r="J164" s="98"/>
    </row>
    <row r="165" spans="1:10" x14ac:dyDescent="0.25">
      <c r="A165" s="77" t="b">
        <f>IF(('Stress Test Inputs'!$C$23)="FRM", FALSE, ISNUMBER(MATCH(C165,'Stress Test Inputs'!$M$18:$M$30,0)))</f>
        <v>0</v>
      </c>
      <c r="B165" s="103">
        <f>IF($A165, _xlfn.XLOOKUP(C165,'Stress Test Inputs'!$M$17:$M$29,'Stress Test Inputs'!$N$17:$N$29),$B164)</f>
        <v>6.5000000000000002E-2</v>
      </c>
      <c r="C165" s="101">
        <f t="shared" si="12"/>
        <v>163</v>
      </c>
      <c r="D165" s="99">
        <f t="shared" si="14"/>
        <v>0</v>
      </c>
      <c r="E165" s="99">
        <f>IF(OR(D165&lt;=0,C165&gt;'Stress Test Inputs'!$B$23*12),0,IF(AND(C165='Stress Test Inputs'!$B$23*12,'Stress Test Inputs'!$E$23&gt;'Stress Test Inputs'!$B$23),D165+D165*B165/12,IF('Stress Test Inputs'!$C$23="FRM",-PMT($B$3/12,'Stress Test Inputs'!$E$23*12,$D$3),IF($A165,-PMT(B165/12,('Stress Test Inputs'!$E$23*12)-C165+1,D165),E164))))</f>
        <v>0</v>
      </c>
      <c r="F165" s="99">
        <f t="shared" si="11"/>
        <v>0</v>
      </c>
      <c r="G165" s="99">
        <f>IF(C165&gt;'Stress Test Inputs'!$B$23*12,0,D165*B165/12)</f>
        <v>0</v>
      </c>
      <c r="H165" s="99">
        <f t="shared" si="10"/>
        <v>0</v>
      </c>
      <c r="I165" s="99">
        <f t="shared" si="13"/>
        <v>0</v>
      </c>
      <c r="J165" s="98"/>
    </row>
    <row r="166" spans="1:10" x14ac:dyDescent="0.25">
      <c r="A166" s="77" t="b">
        <f>IF(('Stress Test Inputs'!$C$23)="FRM", FALSE, ISNUMBER(MATCH(C166,'Stress Test Inputs'!$M$18:$M$30,0)))</f>
        <v>0</v>
      </c>
      <c r="B166" s="103">
        <f>IF($A166, _xlfn.XLOOKUP(C166,'Stress Test Inputs'!$M$17:$M$29,'Stress Test Inputs'!$N$17:$N$29),$B165)</f>
        <v>6.5000000000000002E-2</v>
      </c>
      <c r="C166" s="101">
        <f t="shared" si="12"/>
        <v>164</v>
      </c>
      <c r="D166" s="99">
        <f t="shared" si="14"/>
        <v>0</v>
      </c>
      <c r="E166" s="99">
        <f>IF(OR(D166&lt;=0,C166&gt;'Stress Test Inputs'!$B$23*12),0,IF(AND(C166='Stress Test Inputs'!$B$23*12,'Stress Test Inputs'!$E$23&gt;'Stress Test Inputs'!$B$23),D166+D166*B166/12,IF('Stress Test Inputs'!$C$23="FRM",-PMT($B$3/12,'Stress Test Inputs'!$E$23*12,$D$3),IF($A166,-PMT(B166/12,('Stress Test Inputs'!$E$23*12)-C166+1,D166),E165))))</f>
        <v>0</v>
      </c>
      <c r="F166" s="99">
        <f t="shared" si="11"/>
        <v>0</v>
      </c>
      <c r="G166" s="99">
        <f>IF(C166&gt;'Stress Test Inputs'!$B$23*12,0,D166*B166/12)</f>
        <v>0</v>
      </c>
      <c r="H166" s="99">
        <f t="shared" si="10"/>
        <v>0</v>
      </c>
      <c r="I166" s="99">
        <f t="shared" si="13"/>
        <v>0</v>
      </c>
      <c r="J166" s="98"/>
    </row>
    <row r="167" spans="1:10" x14ac:dyDescent="0.25">
      <c r="A167" s="77" t="b">
        <f>IF(('Stress Test Inputs'!$C$23)="FRM", FALSE, ISNUMBER(MATCH(C167,'Stress Test Inputs'!$M$18:$M$30,0)))</f>
        <v>0</v>
      </c>
      <c r="B167" s="103">
        <f>IF($A167, _xlfn.XLOOKUP(C167,'Stress Test Inputs'!$M$17:$M$29,'Stress Test Inputs'!$N$17:$N$29),$B166)</f>
        <v>6.5000000000000002E-2</v>
      </c>
      <c r="C167" s="101">
        <f t="shared" si="12"/>
        <v>165</v>
      </c>
      <c r="D167" s="99">
        <f t="shared" si="14"/>
        <v>0</v>
      </c>
      <c r="E167" s="99">
        <f>IF(OR(D167&lt;=0,C167&gt;'Stress Test Inputs'!$B$23*12),0,IF(AND(C167='Stress Test Inputs'!$B$23*12,'Stress Test Inputs'!$E$23&gt;'Stress Test Inputs'!$B$23),D167+D167*B167/12,IF('Stress Test Inputs'!$C$23="FRM",-PMT($B$3/12,'Stress Test Inputs'!$E$23*12,$D$3),IF($A167,-PMT(B167/12,('Stress Test Inputs'!$E$23*12)-C167+1,D167),E166))))</f>
        <v>0</v>
      </c>
      <c r="F167" s="99">
        <f t="shared" si="11"/>
        <v>0</v>
      </c>
      <c r="G167" s="99">
        <f>IF(C167&gt;'Stress Test Inputs'!$B$23*12,0,D167*B167/12)</f>
        <v>0</v>
      </c>
      <c r="H167" s="99">
        <f t="shared" si="10"/>
        <v>0</v>
      </c>
      <c r="I167" s="99">
        <f t="shared" si="13"/>
        <v>0</v>
      </c>
      <c r="J167" s="98"/>
    </row>
    <row r="168" spans="1:10" x14ac:dyDescent="0.25">
      <c r="A168" s="77" t="b">
        <f>IF(('Stress Test Inputs'!$C$23)="FRM", FALSE, ISNUMBER(MATCH(C168,'Stress Test Inputs'!$M$18:$M$30,0)))</f>
        <v>0</v>
      </c>
      <c r="B168" s="103">
        <f>IF($A168, _xlfn.XLOOKUP(C168,'Stress Test Inputs'!$M$17:$M$29,'Stress Test Inputs'!$N$17:$N$29),$B167)</f>
        <v>6.5000000000000002E-2</v>
      </c>
      <c r="C168" s="101">
        <f t="shared" si="12"/>
        <v>166</v>
      </c>
      <c r="D168" s="99">
        <f t="shared" si="14"/>
        <v>0</v>
      </c>
      <c r="E168" s="99">
        <f>IF(OR(D168&lt;=0,C168&gt;'Stress Test Inputs'!$B$23*12),0,IF(AND(C168='Stress Test Inputs'!$B$23*12,'Stress Test Inputs'!$E$23&gt;'Stress Test Inputs'!$B$23),D168+D168*B168/12,IF('Stress Test Inputs'!$C$23="FRM",-PMT($B$3/12,'Stress Test Inputs'!$E$23*12,$D$3),IF($A168,-PMT(B168/12,('Stress Test Inputs'!$E$23*12)-C168+1,D168),E167))))</f>
        <v>0</v>
      </c>
      <c r="F168" s="99">
        <f t="shared" si="11"/>
        <v>0</v>
      </c>
      <c r="G168" s="99">
        <f>IF(C168&gt;'Stress Test Inputs'!$B$23*12,0,D168*B168/12)</f>
        <v>0</v>
      </c>
      <c r="H168" s="99">
        <f t="shared" si="10"/>
        <v>0</v>
      </c>
      <c r="I168" s="99">
        <f t="shared" si="13"/>
        <v>0</v>
      </c>
      <c r="J168" s="98"/>
    </row>
    <row r="169" spans="1:10" x14ac:dyDescent="0.25">
      <c r="A169" s="77" t="b">
        <f>IF(('Stress Test Inputs'!$C$23)="FRM", FALSE, ISNUMBER(MATCH(C169,'Stress Test Inputs'!$M$18:$M$30,0)))</f>
        <v>0</v>
      </c>
      <c r="B169" s="103">
        <f>IF($A169, _xlfn.XLOOKUP(C169,'Stress Test Inputs'!$M$17:$M$29,'Stress Test Inputs'!$N$17:$N$29),$B168)</f>
        <v>6.5000000000000002E-2</v>
      </c>
      <c r="C169" s="101">
        <f t="shared" si="12"/>
        <v>167</v>
      </c>
      <c r="D169" s="99">
        <f t="shared" si="14"/>
        <v>0</v>
      </c>
      <c r="E169" s="99">
        <f>IF(OR(D169&lt;=0,C169&gt;'Stress Test Inputs'!$B$23*12),0,IF(AND(C169='Stress Test Inputs'!$B$23*12,'Stress Test Inputs'!$E$23&gt;'Stress Test Inputs'!$B$23),D169+D169*B169/12,IF('Stress Test Inputs'!$C$23="FRM",-PMT($B$3/12,'Stress Test Inputs'!$E$23*12,$D$3),IF($A169,-PMT(B169/12,('Stress Test Inputs'!$E$23*12)-C169+1,D169),E168))))</f>
        <v>0</v>
      </c>
      <c r="F169" s="99">
        <f t="shared" si="11"/>
        <v>0</v>
      </c>
      <c r="G169" s="99">
        <f>IF(C169&gt;'Stress Test Inputs'!$B$23*12,0,D169*B169/12)</f>
        <v>0</v>
      </c>
      <c r="H169" s="99">
        <f t="shared" si="10"/>
        <v>0</v>
      </c>
      <c r="I169" s="99">
        <f t="shared" si="13"/>
        <v>0</v>
      </c>
      <c r="J169" s="98"/>
    </row>
    <row r="170" spans="1:10" x14ac:dyDescent="0.25">
      <c r="A170" s="77" t="b">
        <f>IF(('Stress Test Inputs'!$C$23)="FRM", FALSE, ISNUMBER(MATCH(C170,'Stress Test Inputs'!$M$18:$M$30,0)))</f>
        <v>0</v>
      </c>
      <c r="B170" s="103">
        <f>IF($A170, _xlfn.XLOOKUP(C170,'Stress Test Inputs'!$M$17:$M$29,'Stress Test Inputs'!$N$17:$N$29),$B169)</f>
        <v>6.5000000000000002E-2</v>
      </c>
      <c r="C170" s="101">
        <f t="shared" si="12"/>
        <v>168</v>
      </c>
      <c r="D170" s="99">
        <f t="shared" si="14"/>
        <v>0</v>
      </c>
      <c r="E170" s="99">
        <f>IF(OR(D170&lt;=0,C170&gt;'Stress Test Inputs'!$B$23*12),0,IF(AND(C170='Stress Test Inputs'!$B$23*12,'Stress Test Inputs'!$E$23&gt;'Stress Test Inputs'!$B$23),D170+D170*B170/12,IF('Stress Test Inputs'!$C$23="FRM",-PMT($B$3/12,'Stress Test Inputs'!$E$23*12,$D$3),IF($A170,-PMT(B170/12,('Stress Test Inputs'!$E$23*12)-C170+1,D170),E169))))</f>
        <v>0</v>
      </c>
      <c r="F170" s="99">
        <f t="shared" si="11"/>
        <v>0</v>
      </c>
      <c r="G170" s="99">
        <f>IF(C170&gt;'Stress Test Inputs'!$B$23*12,0,D170*B170/12)</f>
        <v>0</v>
      </c>
      <c r="H170" s="99">
        <f t="shared" si="10"/>
        <v>0</v>
      </c>
      <c r="I170" s="99">
        <f t="shared" si="13"/>
        <v>0</v>
      </c>
      <c r="J170" s="98"/>
    </row>
    <row r="171" spans="1:10" x14ac:dyDescent="0.25">
      <c r="A171" s="77" t="b">
        <f>IF(('Stress Test Inputs'!$C$23)="FRM", FALSE, ISNUMBER(MATCH(C171,'Stress Test Inputs'!$M$18:$M$30,0)))</f>
        <v>0</v>
      </c>
      <c r="B171" s="103">
        <f>IF($A171, _xlfn.XLOOKUP(C171,'Stress Test Inputs'!$M$17:$M$29,'Stress Test Inputs'!$N$17:$N$29),$B170)</f>
        <v>6.5000000000000002E-2</v>
      </c>
      <c r="C171" s="101">
        <f t="shared" si="12"/>
        <v>169</v>
      </c>
      <c r="D171" s="99">
        <f t="shared" si="14"/>
        <v>0</v>
      </c>
      <c r="E171" s="99">
        <f>IF(OR(D171&lt;=0,C171&gt;'Stress Test Inputs'!$B$23*12),0,IF(AND(C171='Stress Test Inputs'!$B$23*12,'Stress Test Inputs'!$E$23&gt;'Stress Test Inputs'!$B$23),D171+D171*B171/12,IF('Stress Test Inputs'!$C$23="FRM",-PMT($B$3/12,'Stress Test Inputs'!$E$23*12,$D$3),IF($A171,-PMT(B171/12,('Stress Test Inputs'!$E$23*12)-C171+1,D171),E170))))</f>
        <v>0</v>
      </c>
      <c r="F171" s="99">
        <f t="shared" si="11"/>
        <v>0</v>
      </c>
      <c r="G171" s="99">
        <f>IF(C171&gt;'Stress Test Inputs'!$B$23*12,0,D171*B171/12)</f>
        <v>0</v>
      </c>
      <c r="H171" s="99">
        <f t="shared" si="10"/>
        <v>0</v>
      </c>
      <c r="I171" s="99">
        <f t="shared" si="13"/>
        <v>0</v>
      </c>
      <c r="J171" s="98"/>
    </row>
    <row r="172" spans="1:10" x14ac:dyDescent="0.25">
      <c r="A172" s="77" t="b">
        <f>IF(('Stress Test Inputs'!$C$23)="FRM", FALSE, ISNUMBER(MATCH(C172,'Stress Test Inputs'!$M$18:$M$30,0)))</f>
        <v>0</v>
      </c>
      <c r="B172" s="103">
        <f>IF($A172, _xlfn.XLOOKUP(C172,'Stress Test Inputs'!$M$17:$M$29,'Stress Test Inputs'!$N$17:$N$29),$B171)</f>
        <v>6.5000000000000002E-2</v>
      </c>
      <c r="C172" s="101">
        <f t="shared" si="12"/>
        <v>170</v>
      </c>
      <c r="D172" s="99">
        <f t="shared" si="14"/>
        <v>0</v>
      </c>
      <c r="E172" s="99">
        <f>IF(OR(D172&lt;=0,C172&gt;'Stress Test Inputs'!$B$23*12),0,IF(AND(C172='Stress Test Inputs'!$B$23*12,'Stress Test Inputs'!$E$23&gt;'Stress Test Inputs'!$B$23),D172+D172*B172/12,IF('Stress Test Inputs'!$C$23="FRM",-PMT($B$3/12,'Stress Test Inputs'!$E$23*12,$D$3),IF($A172,-PMT(B172/12,('Stress Test Inputs'!$E$23*12)-C172+1,D172),E171))))</f>
        <v>0</v>
      </c>
      <c r="F172" s="99">
        <f t="shared" si="11"/>
        <v>0</v>
      </c>
      <c r="G172" s="99">
        <f>IF(C172&gt;'Stress Test Inputs'!$B$23*12,0,D172*B172/12)</f>
        <v>0</v>
      </c>
      <c r="H172" s="99">
        <f t="shared" si="10"/>
        <v>0</v>
      </c>
      <c r="I172" s="99">
        <f t="shared" si="13"/>
        <v>0</v>
      </c>
      <c r="J172" s="98"/>
    </row>
    <row r="173" spans="1:10" x14ac:dyDescent="0.25">
      <c r="A173" s="77" t="b">
        <f>IF(('Stress Test Inputs'!$C$23)="FRM", FALSE, ISNUMBER(MATCH(C173,'Stress Test Inputs'!$M$18:$M$30,0)))</f>
        <v>0</v>
      </c>
      <c r="B173" s="103">
        <f>IF($A173, _xlfn.XLOOKUP(C173,'Stress Test Inputs'!$M$17:$M$29,'Stress Test Inputs'!$N$17:$N$29),$B172)</f>
        <v>6.5000000000000002E-2</v>
      </c>
      <c r="C173" s="101">
        <f t="shared" si="12"/>
        <v>171</v>
      </c>
      <c r="D173" s="99">
        <f t="shared" si="14"/>
        <v>0</v>
      </c>
      <c r="E173" s="99">
        <f>IF(OR(D173&lt;=0,C173&gt;'Stress Test Inputs'!$B$23*12),0,IF(AND(C173='Stress Test Inputs'!$B$23*12,'Stress Test Inputs'!$E$23&gt;'Stress Test Inputs'!$B$23),D173+D173*B173/12,IF('Stress Test Inputs'!$C$23="FRM",-PMT($B$3/12,'Stress Test Inputs'!$E$23*12,$D$3),IF($A173,-PMT(B173/12,('Stress Test Inputs'!$E$23*12)-C173+1,D173),E172))))</f>
        <v>0</v>
      </c>
      <c r="F173" s="99">
        <f t="shared" si="11"/>
        <v>0</v>
      </c>
      <c r="G173" s="99">
        <f>IF(C173&gt;'Stress Test Inputs'!$B$23*12,0,D173*B173/12)</f>
        <v>0</v>
      </c>
      <c r="H173" s="99">
        <f t="shared" si="10"/>
        <v>0</v>
      </c>
      <c r="I173" s="99">
        <f t="shared" si="13"/>
        <v>0</v>
      </c>
      <c r="J173" s="98"/>
    </row>
    <row r="174" spans="1:10" x14ac:dyDescent="0.25">
      <c r="A174" s="77" t="b">
        <f>IF(('Stress Test Inputs'!$C$23)="FRM", FALSE, ISNUMBER(MATCH(C174,'Stress Test Inputs'!$M$18:$M$30,0)))</f>
        <v>0</v>
      </c>
      <c r="B174" s="103">
        <f>IF($A174, _xlfn.XLOOKUP(C174,'Stress Test Inputs'!$M$17:$M$29,'Stress Test Inputs'!$N$17:$N$29),$B173)</f>
        <v>6.5000000000000002E-2</v>
      </c>
      <c r="C174" s="101">
        <f t="shared" si="12"/>
        <v>172</v>
      </c>
      <c r="D174" s="99">
        <f t="shared" si="14"/>
        <v>0</v>
      </c>
      <c r="E174" s="99">
        <f>IF(OR(D174&lt;=0,C174&gt;'Stress Test Inputs'!$B$23*12),0,IF(AND(C174='Stress Test Inputs'!$B$23*12,'Stress Test Inputs'!$E$23&gt;'Stress Test Inputs'!$B$23),D174+D174*B174/12,IF('Stress Test Inputs'!$C$23="FRM",-PMT($B$3/12,'Stress Test Inputs'!$E$23*12,$D$3),IF($A174,-PMT(B174/12,('Stress Test Inputs'!$E$23*12)-C174+1,D174),E173))))</f>
        <v>0</v>
      </c>
      <c r="F174" s="99">
        <f t="shared" si="11"/>
        <v>0</v>
      </c>
      <c r="G174" s="99">
        <f>IF(C174&gt;'Stress Test Inputs'!$B$23*12,0,D174*B174/12)</f>
        <v>0</v>
      </c>
      <c r="H174" s="99">
        <f t="shared" si="10"/>
        <v>0</v>
      </c>
      <c r="I174" s="99">
        <f t="shared" si="13"/>
        <v>0</v>
      </c>
      <c r="J174" s="98"/>
    </row>
    <row r="175" spans="1:10" x14ac:dyDescent="0.25">
      <c r="A175" s="77" t="b">
        <f>IF(('Stress Test Inputs'!$C$23)="FRM", FALSE, ISNUMBER(MATCH(C175,'Stress Test Inputs'!$M$18:$M$30,0)))</f>
        <v>0</v>
      </c>
      <c r="B175" s="103">
        <f>IF($A175, _xlfn.XLOOKUP(C175,'Stress Test Inputs'!$M$17:$M$29,'Stress Test Inputs'!$N$17:$N$29),$B174)</f>
        <v>6.5000000000000002E-2</v>
      </c>
      <c r="C175" s="101">
        <f t="shared" si="12"/>
        <v>173</v>
      </c>
      <c r="D175" s="99">
        <f t="shared" si="14"/>
        <v>0</v>
      </c>
      <c r="E175" s="99">
        <f>IF(OR(D175&lt;=0,C175&gt;'Stress Test Inputs'!$B$23*12),0,IF(AND(C175='Stress Test Inputs'!$B$23*12,'Stress Test Inputs'!$E$23&gt;'Stress Test Inputs'!$B$23),D175+D175*B175/12,IF('Stress Test Inputs'!$C$23="FRM",-PMT($B$3/12,'Stress Test Inputs'!$E$23*12,$D$3),IF($A175,-PMT(B175/12,('Stress Test Inputs'!$E$23*12)-C175+1,D175),E174))))</f>
        <v>0</v>
      </c>
      <c r="F175" s="99">
        <f t="shared" si="11"/>
        <v>0</v>
      </c>
      <c r="G175" s="99">
        <f>IF(C175&gt;'Stress Test Inputs'!$B$23*12,0,D175*B175/12)</f>
        <v>0</v>
      </c>
      <c r="H175" s="99">
        <f t="shared" si="10"/>
        <v>0</v>
      </c>
      <c r="I175" s="99">
        <f t="shared" si="13"/>
        <v>0</v>
      </c>
      <c r="J175" s="98"/>
    </row>
    <row r="176" spans="1:10" x14ac:dyDescent="0.25">
      <c r="A176" s="77" t="b">
        <f>IF(('Stress Test Inputs'!$C$23)="FRM", FALSE, ISNUMBER(MATCH(C176,'Stress Test Inputs'!$M$18:$M$30,0)))</f>
        <v>0</v>
      </c>
      <c r="B176" s="103">
        <f>IF($A176, _xlfn.XLOOKUP(C176,'Stress Test Inputs'!$M$17:$M$29,'Stress Test Inputs'!$N$17:$N$29),$B175)</f>
        <v>6.5000000000000002E-2</v>
      </c>
      <c r="C176" s="101">
        <f t="shared" si="12"/>
        <v>174</v>
      </c>
      <c r="D176" s="99">
        <f t="shared" si="14"/>
        <v>0</v>
      </c>
      <c r="E176" s="99">
        <f>IF(OR(D176&lt;=0,C176&gt;'Stress Test Inputs'!$B$23*12),0,IF(AND(C176='Stress Test Inputs'!$B$23*12,'Stress Test Inputs'!$E$23&gt;'Stress Test Inputs'!$B$23),D176+D176*B176/12,IF('Stress Test Inputs'!$C$23="FRM",-PMT($B$3/12,'Stress Test Inputs'!$E$23*12,$D$3),IF($A176,-PMT(B176/12,('Stress Test Inputs'!$E$23*12)-C176+1,D176),E175))))</f>
        <v>0</v>
      </c>
      <c r="F176" s="99">
        <f t="shared" si="11"/>
        <v>0</v>
      </c>
      <c r="G176" s="99">
        <f>IF(C176&gt;'Stress Test Inputs'!$B$23*12,0,D176*B176/12)</f>
        <v>0</v>
      </c>
      <c r="H176" s="99">
        <f t="shared" si="10"/>
        <v>0</v>
      </c>
      <c r="I176" s="99">
        <f t="shared" si="13"/>
        <v>0</v>
      </c>
      <c r="J176" s="98"/>
    </row>
    <row r="177" spans="1:10" x14ac:dyDescent="0.25">
      <c r="A177" s="77" t="b">
        <f>IF(('Stress Test Inputs'!$C$23)="FRM", FALSE, ISNUMBER(MATCH(C177,'Stress Test Inputs'!$M$18:$M$30,0)))</f>
        <v>0</v>
      </c>
      <c r="B177" s="103">
        <f>IF($A177, _xlfn.XLOOKUP(C177,'Stress Test Inputs'!$M$17:$M$29,'Stress Test Inputs'!$N$17:$N$29),$B176)</f>
        <v>6.5000000000000002E-2</v>
      </c>
      <c r="C177" s="101">
        <f t="shared" si="12"/>
        <v>175</v>
      </c>
      <c r="D177" s="99">
        <f t="shared" si="14"/>
        <v>0</v>
      </c>
      <c r="E177" s="99">
        <f>IF(OR(D177&lt;=0,C177&gt;'Stress Test Inputs'!$B$23*12),0,IF(AND(C177='Stress Test Inputs'!$B$23*12,'Stress Test Inputs'!$E$23&gt;'Stress Test Inputs'!$B$23),D177+D177*B177/12,IF('Stress Test Inputs'!$C$23="FRM",-PMT($B$3/12,'Stress Test Inputs'!$E$23*12,$D$3),IF($A177,-PMT(B177/12,('Stress Test Inputs'!$E$23*12)-C177+1,D177),E176))))</f>
        <v>0</v>
      </c>
      <c r="F177" s="99">
        <f t="shared" si="11"/>
        <v>0</v>
      </c>
      <c r="G177" s="99">
        <f>IF(C177&gt;'Stress Test Inputs'!$B$23*12,0,D177*B177/12)</f>
        <v>0</v>
      </c>
      <c r="H177" s="99">
        <f t="shared" si="10"/>
        <v>0</v>
      </c>
      <c r="I177" s="99">
        <f t="shared" si="13"/>
        <v>0</v>
      </c>
      <c r="J177" s="98"/>
    </row>
    <row r="178" spans="1:10" x14ac:dyDescent="0.25">
      <c r="A178" s="77" t="b">
        <f>IF(('Stress Test Inputs'!$C$23)="FRM", FALSE, ISNUMBER(MATCH(C178,'Stress Test Inputs'!$M$18:$M$30,0)))</f>
        <v>0</v>
      </c>
      <c r="B178" s="103">
        <f>IF($A178, _xlfn.XLOOKUP(C178,'Stress Test Inputs'!$M$17:$M$29,'Stress Test Inputs'!$N$17:$N$29),$B177)</f>
        <v>6.5000000000000002E-2</v>
      </c>
      <c r="C178" s="101">
        <f t="shared" si="12"/>
        <v>176</v>
      </c>
      <c r="D178" s="99">
        <f t="shared" si="14"/>
        <v>0</v>
      </c>
      <c r="E178" s="99">
        <f>IF(OR(D178&lt;=0,C178&gt;'Stress Test Inputs'!$B$23*12),0,IF(AND(C178='Stress Test Inputs'!$B$23*12,'Stress Test Inputs'!$E$23&gt;'Stress Test Inputs'!$B$23),D178+D178*B178/12,IF('Stress Test Inputs'!$C$23="FRM",-PMT($B$3/12,'Stress Test Inputs'!$E$23*12,$D$3),IF($A178,-PMT(B178/12,('Stress Test Inputs'!$E$23*12)-C178+1,D178),E177))))</f>
        <v>0</v>
      </c>
      <c r="F178" s="99">
        <f t="shared" si="11"/>
        <v>0</v>
      </c>
      <c r="G178" s="99">
        <f>IF(C178&gt;'Stress Test Inputs'!$B$23*12,0,D178*B178/12)</f>
        <v>0</v>
      </c>
      <c r="H178" s="99">
        <f t="shared" si="10"/>
        <v>0</v>
      </c>
      <c r="I178" s="99">
        <f t="shared" si="13"/>
        <v>0</v>
      </c>
      <c r="J178" s="98"/>
    </row>
    <row r="179" spans="1:10" x14ac:dyDescent="0.25">
      <c r="A179" s="77" t="b">
        <f>IF(('Stress Test Inputs'!$C$23)="FRM", FALSE, ISNUMBER(MATCH(C179,'Stress Test Inputs'!$M$18:$M$30,0)))</f>
        <v>0</v>
      </c>
      <c r="B179" s="103">
        <f>IF($A179, _xlfn.XLOOKUP(C179,'Stress Test Inputs'!$M$17:$M$29,'Stress Test Inputs'!$N$17:$N$29),$B178)</f>
        <v>6.5000000000000002E-2</v>
      </c>
      <c r="C179" s="101">
        <f t="shared" si="12"/>
        <v>177</v>
      </c>
      <c r="D179" s="99">
        <f t="shared" si="14"/>
        <v>0</v>
      </c>
      <c r="E179" s="99">
        <f>IF(OR(D179&lt;=0,C179&gt;'Stress Test Inputs'!$B$23*12),0,IF(AND(C179='Stress Test Inputs'!$B$23*12,'Stress Test Inputs'!$E$23&gt;'Stress Test Inputs'!$B$23),D179+D179*B179/12,IF('Stress Test Inputs'!$C$23="FRM",-PMT($B$3/12,'Stress Test Inputs'!$E$23*12,$D$3),IF($A179,-PMT(B179/12,('Stress Test Inputs'!$E$23*12)-C179+1,D179),E178))))</f>
        <v>0</v>
      </c>
      <c r="F179" s="99">
        <f t="shared" si="11"/>
        <v>0</v>
      </c>
      <c r="G179" s="99">
        <f>IF(C179&gt;'Stress Test Inputs'!$B$23*12,0,D179*B179/12)</f>
        <v>0</v>
      </c>
      <c r="H179" s="99">
        <f t="shared" si="10"/>
        <v>0</v>
      </c>
      <c r="I179" s="99">
        <f t="shared" si="13"/>
        <v>0</v>
      </c>
      <c r="J179" s="98"/>
    </row>
    <row r="180" spans="1:10" x14ac:dyDescent="0.25">
      <c r="A180" s="77" t="b">
        <f>IF(('Stress Test Inputs'!$C$23)="FRM", FALSE, ISNUMBER(MATCH(C180,'Stress Test Inputs'!$M$18:$M$30,0)))</f>
        <v>0</v>
      </c>
      <c r="B180" s="103">
        <f>IF($A180, _xlfn.XLOOKUP(C180,'Stress Test Inputs'!$M$17:$M$29,'Stress Test Inputs'!$N$17:$N$29),$B179)</f>
        <v>6.5000000000000002E-2</v>
      </c>
      <c r="C180" s="101">
        <f t="shared" si="12"/>
        <v>178</v>
      </c>
      <c r="D180" s="99">
        <f t="shared" si="14"/>
        <v>0</v>
      </c>
      <c r="E180" s="99">
        <f>IF(OR(D180&lt;=0,C180&gt;'Stress Test Inputs'!$B$23*12),0,IF(AND(C180='Stress Test Inputs'!$B$23*12,'Stress Test Inputs'!$E$23&gt;'Stress Test Inputs'!$B$23),D180+D180*B180/12,IF('Stress Test Inputs'!$C$23="FRM",-PMT($B$3/12,'Stress Test Inputs'!$E$23*12,$D$3),IF($A180,-PMT(B180/12,('Stress Test Inputs'!$E$23*12)-C180+1,D180),E179))))</f>
        <v>0</v>
      </c>
      <c r="F180" s="99">
        <f t="shared" si="11"/>
        <v>0</v>
      </c>
      <c r="G180" s="99">
        <f>IF(C180&gt;'Stress Test Inputs'!$B$23*12,0,D180*B180/12)</f>
        <v>0</v>
      </c>
      <c r="H180" s="99">
        <f t="shared" si="10"/>
        <v>0</v>
      </c>
      <c r="I180" s="99">
        <f t="shared" si="13"/>
        <v>0</v>
      </c>
      <c r="J180" s="98"/>
    </row>
    <row r="181" spans="1:10" x14ac:dyDescent="0.25">
      <c r="A181" s="77" t="b">
        <f>IF(('Stress Test Inputs'!$C$23)="FRM", FALSE, ISNUMBER(MATCH(C181,'Stress Test Inputs'!$M$18:$M$30,0)))</f>
        <v>0</v>
      </c>
      <c r="B181" s="103">
        <f>IF($A181, _xlfn.XLOOKUP(C181,'Stress Test Inputs'!$M$17:$M$29,'Stress Test Inputs'!$N$17:$N$29),$B180)</f>
        <v>6.5000000000000002E-2</v>
      </c>
      <c r="C181" s="101">
        <f t="shared" si="12"/>
        <v>179</v>
      </c>
      <c r="D181" s="99">
        <f t="shared" si="14"/>
        <v>0</v>
      </c>
      <c r="E181" s="99">
        <f>IF(OR(D181&lt;=0,C181&gt;'Stress Test Inputs'!$B$23*12),0,IF(AND(C181='Stress Test Inputs'!$B$23*12,'Stress Test Inputs'!$E$23&gt;'Stress Test Inputs'!$B$23),D181+D181*B181/12,IF('Stress Test Inputs'!$C$23="FRM",-PMT($B$3/12,'Stress Test Inputs'!$E$23*12,$D$3),IF($A181,-PMT(B181/12,('Stress Test Inputs'!$E$23*12)-C181+1,D181),E180))))</f>
        <v>0</v>
      </c>
      <c r="F181" s="99">
        <f t="shared" si="11"/>
        <v>0</v>
      </c>
      <c r="G181" s="99">
        <f>IF(C181&gt;'Stress Test Inputs'!$B$23*12,0,D181*B181/12)</f>
        <v>0</v>
      </c>
      <c r="H181" s="99">
        <f t="shared" si="10"/>
        <v>0</v>
      </c>
      <c r="I181" s="99">
        <f t="shared" si="13"/>
        <v>0</v>
      </c>
      <c r="J181" s="98"/>
    </row>
    <row r="182" spans="1:10" x14ac:dyDescent="0.25">
      <c r="A182" s="77" t="b">
        <f>IF(('Stress Test Inputs'!$C$23)="FRM", FALSE, ISNUMBER(MATCH(C182,'Stress Test Inputs'!$M$18:$M$30,0)))</f>
        <v>0</v>
      </c>
      <c r="B182" s="103">
        <f>IF($A182, _xlfn.XLOOKUP(C182,'Stress Test Inputs'!$M$17:$M$29,'Stress Test Inputs'!$N$17:$N$29),$B181)</f>
        <v>6.5000000000000002E-2</v>
      </c>
      <c r="C182" s="101">
        <f t="shared" si="12"/>
        <v>180</v>
      </c>
      <c r="D182" s="99">
        <f>IF(I181&gt;0,I181-J181,0)</f>
        <v>0</v>
      </c>
      <c r="E182" s="99">
        <f>IF(OR(D182&lt;=0,C182&gt;'Stress Test Inputs'!$B$23*12),0,IF(AND(C182='Stress Test Inputs'!$B$23*12,'Stress Test Inputs'!$E$23&gt;'Stress Test Inputs'!$B$23),D182+D182*B182/12,IF('Stress Test Inputs'!$C$23="FRM",-PMT($B$3/12,'Stress Test Inputs'!$E$23*12,$D$3),IF($A182,-PMT(B182/12,('Stress Test Inputs'!$E$23*12)-C182+1,D182),E181))))</f>
        <v>0</v>
      </c>
      <c r="F182" s="99">
        <f t="shared" si="11"/>
        <v>0</v>
      </c>
      <c r="G182" s="99">
        <f>IF(C182&gt;'Stress Test Inputs'!$B$23*12,0,D182*B182/12)</f>
        <v>0</v>
      </c>
      <c r="H182" s="99">
        <f>MIN(E182-G182,D182)</f>
        <v>0</v>
      </c>
      <c r="I182" s="99">
        <f>IF(ROUND(D182-H182,2)=0,0,D182-H182)</f>
        <v>0</v>
      </c>
      <c r="J182" s="98"/>
    </row>
    <row r="183" spans="1:10" x14ac:dyDescent="0.25">
      <c r="A183" s="77" t="b">
        <f>IF(('Stress Test Inputs'!$C$23)="FRM", FALSE, ISNUMBER(MATCH(C183,'Stress Test Inputs'!$M$18:$M$30,0)))</f>
        <v>0</v>
      </c>
      <c r="B183" s="103">
        <f>IF($A183, _xlfn.XLOOKUP(C183,'Stress Test Inputs'!$M$17:$M$29,'Stress Test Inputs'!$N$17:$N$29),$B182)</f>
        <v>6.5000000000000002E-2</v>
      </c>
      <c r="C183" s="101">
        <f t="shared" si="12"/>
        <v>181</v>
      </c>
      <c r="D183" s="99">
        <f t="shared" si="14"/>
        <v>0</v>
      </c>
      <c r="E183" s="99">
        <f>IF(OR(D183&lt;=0,C183&gt;'Stress Test Inputs'!$B$23*12),0,IF(AND(C183='Stress Test Inputs'!$B$23*12,'Stress Test Inputs'!$E$23&gt;'Stress Test Inputs'!$B$23),D183+D183*B183/12,IF('Stress Test Inputs'!$C$23="FRM",-PMT($B$3/12,'Stress Test Inputs'!$E$23*12,$D$3),IF($A183,-PMT(B183/12,('Stress Test Inputs'!$E$23*12)-C183+1,D183),E182))))</f>
        <v>0</v>
      </c>
      <c r="F183" s="99">
        <f t="shared" si="11"/>
        <v>0</v>
      </c>
      <c r="G183" s="99">
        <f>IF(C183&gt;'Stress Test Inputs'!$B$23*12,0,D183*B183/12)</f>
        <v>0</v>
      </c>
      <c r="H183" s="99">
        <f t="shared" si="10"/>
        <v>0</v>
      </c>
      <c r="I183" s="99">
        <f t="shared" si="13"/>
        <v>0</v>
      </c>
      <c r="J183" s="98"/>
    </row>
    <row r="184" spans="1:10" x14ac:dyDescent="0.25">
      <c r="A184" s="77" t="b">
        <f>IF(('Stress Test Inputs'!$C$23)="FRM", FALSE, ISNUMBER(MATCH(C184,'Stress Test Inputs'!$M$18:$M$30,0)))</f>
        <v>0</v>
      </c>
      <c r="B184" s="103">
        <f>IF($A184, _xlfn.XLOOKUP(C184,'Stress Test Inputs'!$M$17:$M$29,'Stress Test Inputs'!$N$17:$N$29),$B183)</f>
        <v>6.5000000000000002E-2</v>
      </c>
      <c r="C184" s="101">
        <f t="shared" si="12"/>
        <v>182</v>
      </c>
      <c r="D184" s="99">
        <f t="shared" si="14"/>
        <v>0</v>
      </c>
      <c r="E184" s="99">
        <f>IF(OR(D184&lt;=0,C184&gt;'Stress Test Inputs'!$B$23*12),0,IF(AND(C184='Stress Test Inputs'!$B$23*12,'Stress Test Inputs'!$E$23&gt;'Stress Test Inputs'!$B$23),D184+D184*B184/12,IF('Stress Test Inputs'!$C$23="FRM",-PMT($B$3/12,'Stress Test Inputs'!$E$23*12,$D$3),IF($A184,-PMT(B184/12,('Stress Test Inputs'!$E$23*12)-C184+1,D184),E183))))</f>
        <v>0</v>
      </c>
      <c r="F184" s="99">
        <f t="shared" si="11"/>
        <v>0</v>
      </c>
      <c r="G184" s="99">
        <f>IF(C184&gt;'Stress Test Inputs'!$B$23*12,0,D184*B184/12)</f>
        <v>0</v>
      </c>
      <c r="H184" s="99">
        <f t="shared" si="10"/>
        <v>0</v>
      </c>
      <c r="I184" s="99">
        <f t="shared" si="13"/>
        <v>0</v>
      </c>
      <c r="J184" s="98"/>
    </row>
    <row r="185" spans="1:10" x14ac:dyDescent="0.25">
      <c r="A185" s="77" t="b">
        <f>IF(('Stress Test Inputs'!$C$23)="FRM", FALSE, ISNUMBER(MATCH(C185,'Stress Test Inputs'!$M$18:$M$30,0)))</f>
        <v>0</v>
      </c>
      <c r="B185" s="103">
        <f>IF($A185, _xlfn.XLOOKUP(C185,'Stress Test Inputs'!$M$17:$M$29,'Stress Test Inputs'!$N$17:$N$29),$B184)</f>
        <v>6.5000000000000002E-2</v>
      </c>
      <c r="C185" s="101">
        <f t="shared" si="12"/>
        <v>183</v>
      </c>
      <c r="D185" s="99">
        <f t="shared" si="14"/>
        <v>0</v>
      </c>
      <c r="E185" s="99">
        <f>IF(OR(D185&lt;=0,C185&gt;'Stress Test Inputs'!$B$23*12),0,IF(AND(C185='Stress Test Inputs'!$B$23*12,'Stress Test Inputs'!$E$23&gt;'Stress Test Inputs'!$B$23),D185+D185*B185/12,IF('Stress Test Inputs'!$C$23="FRM",-PMT($B$3/12,'Stress Test Inputs'!$E$23*12,$D$3),IF($A185,-PMT(B185/12,('Stress Test Inputs'!$E$23*12)-C185+1,D185),E184))))</f>
        <v>0</v>
      </c>
      <c r="F185" s="99">
        <f t="shared" si="11"/>
        <v>0</v>
      </c>
      <c r="G185" s="99">
        <f>IF(C185&gt;'Stress Test Inputs'!$B$23*12,0,D185*B185/12)</f>
        <v>0</v>
      </c>
      <c r="H185" s="99">
        <f t="shared" si="10"/>
        <v>0</v>
      </c>
      <c r="I185" s="99">
        <f t="shared" si="13"/>
        <v>0</v>
      </c>
      <c r="J185" s="98"/>
    </row>
    <row r="186" spans="1:10" x14ac:dyDescent="0.25">
      <c r="A186" s="77" t="b">
        <f>IF(('Stress Test Inputs'!$C$23)="FRM", FALSE, ISNUMBER(MATCH(C186,'Stress Test Inputs'!$M$18:$M$30,0)))</f>
        <v>0</v>
      </c>
      <c r="B186" s="103">
        <f>IF($A186, _xlfn.XLOOKUP(C186,'Stress Test Inputs'!$M$17:$M$29,'Stress Test Inputs'!$N$17:$N$29),$B185)</f>
        <v>6.5000000000000002E-2</v>
      </c>
      <c r="C186" s="101">
        <f t="shared" si="12"/>
        <v>184</v>
      </c>
      <c r="D186" s="99">
        <f t="shared" si="14"/>
        <v>0</v>
      </c>
      <c r="E186" s="99">
        <f>IF(OR(D186&lt;=0,C186&gt;'Stress Test Inputs'!$B$23*12),0,IF(AND(C186='Stress Test Inputs'!$B$23*12,'Stress Test Inputs'!$E$23&gt;'Stress Test Inputs'!$B$23),D186+D186*B186/12,IF('Stress Test Inputs'!$C$23="FRM",-PMT($B$3/12,'Stress Test Inputs'!$E$23*12,$D$3),IF($A186,-PMT(B186/12,('Stress Test Inputs'!$E$23*12)-C186+1,D186),E185))))</f>
        <v>0</v>
      </c>
      <c r="F186" s="99">
        <f t="shared" si="11"/>
        <v>0</v>
      </c>
      <c r="G186" s="99">
        <f>IF(C186&gt;'Stress Test Inputs'!$B$23*12,0,D186*B186/12)</f>
        <v>0</v>
      </c>
      <c r="H186" s="99">
        <f t="shared" si="10"/>
        <v>0</v>
      </c>
      <c r="I186" s="99">
        <f t="shared" si="13"/>
        <v>0</v>
      </c>
      <c r="J186" s="98"/>
    </row>
    <row r="187" spans="1:10" x14ac:dyDescent="0.25">
      <c r="A187" s="77" t="b">
        <f>IF(('Stress Test Inputs'!$C$23)="FRM", FALSE, ISNUMBER(MATCH(C187,'Stress Test Inputs'!$M$18:$M$30,0)))</f>
        <v>0</v>
      </c>
      <c r="B187" s="103">
        <f>IF($A187, _xlfn.XLOOKUP(C187,'Stress Test Inputs'!$M$17:$M$29,'Stress Test Inputs'!$N$17:$N$29),$B186)</f>
        <v>6.5000000000000002E-2</v>
      </c>
      <c r="C187" s="101">
        <f t="shared" si="12"/>
        <v>185</v>
      </c>
      <c r="D187" s="99">
        <f t="shared" si="14"/>
        <v>0</v>
      </c>
      <c r="E187" s="99">
        <f>IF(OR(D187&lt;=0,C187&gt;'Stress Test Inputs'!$B$23*12),0,IF(AND(C187='Stress Test Inputs'!$B$23*12,'Stress Test Inputs'!$E$23&gt;'Stress Test Inputs'!$B$23),D187+D187*B187/12,IF('Stress Test Inputs'!$C$23="FRM",-PMT($B$3/12,'Stress Test Inputs'!$E$23*12,$D$3),IF($A187,-PMT(B187/12,('Stress Test Inputs'!$E$23*12)-C187+1,D187),E186))))</f>
        <v>0</v>
      </c>
      <c r="F187" s="99">
        <f t="shared" si="11"/>
        <v>0</v>
      </c>
      <c r="G187" s="99">
        <f>IF(C187&gt;'Stress Test Inputs'!$B$23*12,0,D187*B187/12)</f>
        <v>0</v>
      </c>
      <c r="H187" s="99">
        <f t="shared" si="10"/>
        <v>0</v>
      </c>
      <c r="I187" s="99">
        <f t="shared" si="13"/>
        <v>0</v>
      </c>
      <c r="J187" s="98"/>
    </row>
    <row r="188" spans="1:10" x14ac:dyDescent="0.25">
      <c r="A188" s="77" t="b">
        <f>IF(('Stress Test Inputs'!$C$23)="FRM", FALSE, ISNUMBER(MATCH(C188,'Stress Test Inputs'!$M$18:$M$30,0)))</f>
        <v>0</v>
      </c>
      <c r="B188" s="103">
        <f>IF($A188, _xlfn.XLOOKUP(C188,'Stress Test Inputs'!$M$17:$M$29,'Stress Test Inputs'!$N$17:$N$29),$B187)</f>
        <v>6.5000000000000002E-2</v>
      </c>
      <c r="C188" s="101">
        <f t="shared" si="12"/>
        <v>186</v>
      </c>
      <c r="D188" s="99">
        <f t="shared" si="14"/>
        <v>0</v>
      </c>
      <c r="E188" s="99">
        <f>IF(OR(D188&lt;=0,C188&gt;'Stress Test Inputs'!$B$23*12),0,IF(AND(C188='Stress Test Inputs'!$B$23*12,'Stress Test Inputs'!$E$23&gt;'Stress Test Inputs'!$B$23),D188+D188*B188/12,IF('Stress Test Inputs'!$C$23="FRM",-PMT($B$3/12,'Stress Test Inputs'!$E$23*12,$D$3),IF($A188,-PMT(B188/12,('Stress Test Inputs'!$E$23*12)-C188+1,D188),E187))))</f>
        <v>0</v>
      </c>
      <c r="F188" s="99">
        <f t="shared" si="11"/>
        <v>0</v>
      </c>
      <c r="G188" s="99">
        <f>IF(C188&gt;'Stress Test Inputs'!$B$23*12,0,D188*B188/12)</f>
        <v>0</v>
      </c>
      <c r="H188" s="99">
        <f t="shared" si="10"/>
        <v>0</v>
      </c>
      <c r="I188" s="99">
        <f t="shared" si="13"/>
        <v>0</v>
      </c>
      <c r="J188" s="98"/>
    </row>
    <row r="189" spans="1:10" x14ac:dyDescent="0.25">
      <c r="A189" s="77" t="b">
        <f>IF(('Stress Test Inputs'!$C$23)="FRM", FALSE, ISNUMBER(MATCH(C189,'Stress Test Inputs'!$M$18:$M$30,0)))</f>
        <v>0</v>
      </c>
      <c r="B189" s="103">
        <f>IF($A189, _xlfn.XLOOKUP(C189,'Stress Test Inputs'!$M$17:$M$29,'Stress Test Inputs'!$N$17:$N$29),$B188)</f>
        <v>6.5000000000000002E-2</v>
      </c>
      <c r="C189" s="101">
        <f t="shared" si="12"/>
        <v>187</v>
      </c>
      <c r="D189" s="99">
        <f t="shared" si="14"/>
        <v>0</v>
      </c>
      <c r="E189" s="99">
        <f>IF(OR(D189&lt;=0,C189&gt;'Stress Test Inputs'!$B$23*12),0,IF(AND(C189='Stress Test Inputs'!$B$23*12,'Stress Test Inputs'!$E$23&gt;'Stress Test Inputs'!$B$23),D189+D189*B189/12,IF('Stress Test Inputs'!$C$23="FRM",-PMT($B$3/12,'Stress Test Inputs'!$E$23*12,$D$3),IF($A189,-PMT(B189/12,('Stress Test Inputs'!$E$23*12)-C189+1,D189),E188))))</f>
        <v>0</v>
      </c>
      <c r="F189" s="99">
        <f t="shared" si="11"/>
        <v>0</v>
      </c>
      <c r="G189" s="99">
        <f>IF(C189&gt;'Stress Test Inputs'!$B$23*12,0,D189*B189/12)</f>
        <v>0</v>
      </c>
      <c r="H189" s="99">
        <f t="shared" si="10"/>
        <v>0</v>
      </c>
      <c r="I189" s="99">
        <f t="shared" si="13"/>
        <v>0</v>
      </c>
      <c r="J189" s="98"/>
    </row>
    <row r="190" spans="1:10" x14ac:dyDescent="0.25">
      <c r="A190" s="77" t="b">
        <f>IF(('Stress Test Inputs'!$C$23)="FRM", FALSE, ISNUMBER(MATCH(C190,'Stress Test Inputs'!$M$18:$M$30,0)))</f>
        <v>0</v>
      </c>
      <c r="B190" s="103">
        <f>IF($A190, _xlfn.XLOOKUP(C190,'Stress Test Inputs'!$M$17:$M$29,'Stress Test Inputs'!$N$17:$N$29),$B189)</f>
        <v>6.5000000000000002E-2</v>
      </c>
      <c r="C190" s="101">
        <f t="shared" si="12"/>
        <v>188</v>
      </c>
      <c r="D190" s="99">
        <f t="shared" si="14"/>
        <v>0</v>
      </c>
      <c r="E190" s="99">
        <f>IF(OR(D190&lt;=0,C190&gt;'Stress Test Inputs'!$B$23*12),0,IF(AND(C190='Stress Test Inputs'!$B$23*12,'Stress Test Inputs'!$E$23&gt;'Stress Test Inputs'!$B$23),D190+D190*B190/12,IF('Stress Test Inputs'!$C$23="FRM",-PMT($B$3/12,'Stress Test Inputs'!$E$23*12,$D$3),IF($A190,-PMT(B190/12,('Stress Test Inputs'!$E$23*12)-C190+1,D190),E189))))</f>
        <v>0</v>
      </c>
      <c r="F190" s="99">
        <f t="shared" si="11"/>
        <v>0</v>
      </c>
      <c r="G190" s="99">
        <f>IF(C190&gt;'Stress Test Inputs'!$B$23*12,0,D190*B190/12)</f>
        <v>0</v>
      </c>
      <c r="H190" s="99">
        <f t="shared" si="10"/>
        <v>0</v>
      </c>
      <c r="I190" s="99">
        <f t="shared" si="13"/>
        <v>0</v>
      </c>
      <c r="J190" s="98"/>
    </row>
    <row r="191" spans="1:10" x14ac:dyDescent="0.25">
      <c r="A191" s="77" t="b">
        <f>IF(('Stress Test Inputs'!$C$23)="FRM", FALSE, ISNUMBER(MATCH(C191,'Stress Test Inputs'!$M$18:$M$30,0)))</f>
        <v>0</v>
      </c>
      <c r="B191" s="103">
        <f>IF($A191, _xlfn.XLOOKUP(C191,'Stress Test Inputs'!$M$17:$M$29,'Stress Test Inputs'!$N$17:$N$29),$B190)</f>
        <v>6.5000000000000002E-2</v>
      </c>
      <c r="C191" s="101">
        <f t="shared" si="12"/>
        <v>189</v>
      </c>
      <c r="D191" s="99">
        <f t="shared" si="14"/>
        <v>0</v>
      </c>
      <c r="E191" s="99">
        <f>IF(OR(D191&lt;=0,C191&gt;'Stress Test Inputs'!$B$23*12),0,IF(AND(C191='Stress Test Inputs'!$B$23*12,'Stress Test Inputs'!$E$23&gt;'Stress Test Inputs'!$B$23),D191+D191*B191/12,IF('Stress Test Inputs'!$C$23="FRM",-PMT($B$3/12,'Stress Test Inputs'!$E$23*12,$D$3),IF($A191,-PMT(B191/12,('Stress Test Inputs'!$E$23*12)-C191+1,D191),E190))))</f>
        <v>0</v>
      </c>
      <c r="F191" s="99">
        <f t="shared" si="11"/>
        <v>0</v>
      </c>
      <c r="G191" s="99">
        <f>IF(C191&gt;'Stress Test Inputs'!$B$23*12,0,D191*B191/12)</f>
        <v>0</v>
      </c>
      <c r="H191" s="99">
        <f t="shared" si="10"/>
        <v>0</v>
      </c>
      <c r="I191" s="99">
        <f t="shared" si="13"/>
        <v>0</v>
      </c>
      <c r="J191" s="98"/>
    </row>
    <row r="192" spans="1:10" x14ac:dyDescent="0.25">
      <c r="A192" s="77" t="b">
        <f>IF(('Stress Test Inputs'!$C$23)="FRM", FALSE, ISNUMBER(MATCH(C192,'Stress Test Inputs'!$M$18:$M$30,0)))</f>
        <v>0</v>
      </c>
      <c r="B192" s="103">
        <f>IF($A192, _xlfn.XLOOKUP(C192,'Stress Test Inputs'!$M$17:$M$29,'Stress Test Inputs'!$N$17:$N$29),$B191)</f>
        <v>6.5000000000000002E-2</v>
      </c>
      <c r="C192" s="101">
        <f t="shared" si="12"/>
        <v>190</v>
      </c>
      <c r="D192" s="99">
        <f>IF(I191&gt;0,I191-J191,0)</f>
        <v>0</v>
      </c>
      <c r="E192" s="99">
        <f>IF(OR(D192&lt;=0,C192&gt;'Stress Test Inputs'!$B$23*12),0,IF(AND(C192='Stress Test Inputs'!$B$23*12,'Stress Test Inputs'!$E$23&gt;'Stress Test Inputs'!$B$23),D192+D192*B192/12,IF('Stress Test Inputs'!$C$23="FRM",-PMT($B$3/12,'Stress Test Inputs'!$E$23*12,$D$3),IF($A192,-PMT(B192/12,('Stress Test Inputs'!$E$23*12)-C192+1,D192),E191))))</f>
        <v>0</v>
      </c>
      <c r="F192" s="99">
        <f t="shared" si="11"/>
        <v>0</v>
      </c>
      <c r="G192" s="99">
        <f>IF(C192&gt;'Stress Test Inputs'!$B$23*12,0,D192*B192/12)</f>
        <v>0</v>
      </c>
      <c r="H192" s="99">
        <f t="shared" si="10"/>
        <v>0</v>
      </c>
      <c r="I192" s="99">
        <f t="shared" si="13"/>
        <v>0</v>
      </c>
      <c r="J192" s="98"/>
    </row>
    <row r="193" spans="1:10" x14ac:dyDescent="0.25">
      <c r="A193" s="77" t="b">
        <f>IF(('Stress Test Inputs'!$C$23)="FRM", FALSE, ISNUMBER(MATCH(C193,'Stress Test Inputs'!$M$18:$M$30,0)))</f>
        <v>0</v>
      </c>
      <c r="B193" s="103">
        <f>IF($A193, _xlfn.XLOOKUP(C193,'Stress Test Inputs'!$M$17:$M$29,'Stress Test Inputs'!$N$17:$N$29),$B192)</f>
        <v>6.5000000000000002E-2</v>
      </c>
      <c r="C193" s="101">
        <f t="shared" si="12"/>
        <v>191</v>
      </c>
      <c r="D193" s="99">
        <f t="shared" si="14"/>
        <v>0</v>
      </c>
      <c r="E193" s="99">
        <f>IF(OR(D193&lt;=0,C193&gt;'Stress Test Inputs'!$B$23*12),0,IF(AND(C193='Stress Test Inputs'!$B$23*12,'Stress Test Inputs'!$E$23&gt;'Stress Test Inputs'!$B$23),D193+D193*B193/12,IF('Stress Test Inputs'!$C$23="FRM",-PMT($B$3/12,'Stress Test Inputs'!$E$23*12,$D$3),IF($A193,-PMT(B193/12,('Stress Test Inputs'!$E$23*12)-C193+1,D193),E192))))</f>
        <v>0</v>
      </c>
      <c r="F193" s="99">
        <f t="shared" si="11"/>
        <v>0</v>
      </c>
      <c r="G193" s="99">
        <f>IF(C193&gt;'Stress Test Inputs'!$B$23*12,0,D193*B193/12)</f>
        <v>0</v>
      </c>
      <c r="H193" s="99">
        <f t="shared" si="10"/>
        <v>0</v>
      </c>
      <c r="I193" s="99">
        <f t="shared" si="13"/>
        <v>0</v>
      </c>
      <c r="J193" s="98"/>
    </row>
    <row r="194" spans="1:10" x14ac:dyDescent="0.25">
      <c r="A194" s="77" t="b">
        <f>IF(('Stress Test Inputs'!$C$23)="FRM", FALSE, ISNUMBER(MATCH(C194,'Stress Test Inputs'!$M$18:$M$30,0)))</f>
        <v>0</v>
      </c>
      <c r="B194" s="103">
        <f>IF($A194, _xlfn.XLOOKUP(C194,'Stress Test Inputs'!$M$17:$M$29,'Stress Test Inputs'!$N$17:$N$29),$B193)</f>
        <v>6.5000000000000002E-2</v>
      </c>
      <c r="C194" s="101">
        <f t="shared" si="12"/>
        <v>192</v>
      </c>
      <c r="D194" s="99">
        <f t="shared" si="14"/>
        <v>0</v>
      </c>
      <c r="E194" s="99">
        <f>IF(OR(D194&lt;=0,C194&gt;'Stress Test Inputs'!$B$23*12),0,IF(AND(C194='Stress Test Inputs'!$B$23*12,'Stress Test Inputs'!$E$23&gt;'Stress Test Inputs'!$B$23),D194+D194*B194/12,IF('Stress Test Inputs'!$C$23="FRM",-PMT($B$3/12,'Stress Test Inputs'!$E$23*12,$D$3),IF($A194,-PMT(B194/12,('Stress Test Inputs'!$E$23*12)-C194+1,D194),E193))))</f>
        <v>0</v>
      </c>
      <c r="F194" s="99">
        <f t="shared" si="11"/>
        <v>0</v>
      </c>
      <c r="G194" s="99">
        <f>IF(C194&gt;'Stress Test Inputs'!$B$23*12,0,D194*B194/12)</f>
        <v>0</v>
      </c>
      <c r="H194" s="99">
        <f t="shared" si="10"/>
        <v>0</v>
      </c>
      <c r="I194" s="99">
        <f t="shared" si="13"/>
        <v>0</v>
      </c>
      <c r="J194" s="98"/>
    </row>
    <row r="195" spans="1:10" x14ac:dyDescent="0.25">
      <c r="A195" s="77" t="b">
        <f>IF(('Stress Test Inputs'!$C$23)="FRM", FALSE, ISNUMBER(MATCH(C195,'Stress Test Inputs'!$M$18:$M$30,0)))</f>
        <v>0</v>
      </c>
      <c r="B195" s="103">
        <f>IF($A195, _xlfn.XLOOKUP(C195,'Stress Test Inputs'!$M$17:$M$29,'Stress Test Inputs'!$N$17:$N$29),$B194)</f>
        <v>6.5000000000000002E-2</v>
      </c>
      <c r="C195" s="101">
        <f t="shared" si="12"/>
        <v>193</v>
      </c>
      <c r="D195" s="99">
        <f t="shared" si="14"/>
        <v>0</v>
      </c>
      <c r="E195" s="99">
        <f>IF(OR(D195&lt;=0,C195&gt;'Stress Test Inputs'!$B$23*12),0,IF(AND(C195='Stress Test Inputs'!$B$23*12,'Stress Test Inputs'!$E$23&gt;'Stress Test Inputs'!$B$23),D195+D195*B195/12,IF('Stress Test Inputs'!$C$23="FRM",-PMT($B$3/12,'Stress Test Inputs'!$E$23*12,$D$3),IF($A195,-PMT(B195/12,('Stress Test Inputs'!$E$23*12)-C195+1,D195),E194))))</f>
        <v>0</v>
      </c>
      <c r="F195" s="99">
        <f t="shared" si="11"/>
        <v>0</v>
      </c>
      <c r="G195" s="99">
        <f>IF(C195&gt;'Stress Test Inputs'!$B$23*12,0,D195*B195/12)</f>
        <v>0</v>
      </c>
      <c r="H195" s="99">
        <f t="shared" ref="H195:H258" si="15">MIN(E195-G195,D195)</f>
        <v>0</v>
      </c>
      <c r="I195" s="99">
        <f t="shared" si="13"/>
        <v>0</v>
      </c>
      <c r="J195" s="98"/>
    </row>
    <row r="196" spans="1:10" x14ac:dyDescent="0.25">
      <c r="A196" s="77" t="b">
        <f>IF(('Stress Test Inputs'!$C$23)="FRM", FALSE, ISNUMBER(MATCH(C196,'Stress Test Inputs'!$M$18:$M$30,0)))</f>
        <v>0</v>
      </c>
      <c r="B196" s="103">
        <f>IF($A196, _xlfn.XLOOKUP(C196,'Stress Test Inputs'!$M$17:$M$29,'Stress Test Inputs'!$N$17:$N$29),$B195)</f>
        <v>6.5000000000000002E-2</v>
      </c>
      <c r="C196" s="101">
        <f t="shared" si="12"/>
        <v>194</v>
      </c>
      <c r="D196" s="99">
        <f t="shared" si="14"/>
        <v>0</v>
      </c>
      <c r="E196" s="99">
        <f>IF(OR(D196&lt;=0,C196&gt;'Stress Test Inputs'!$B$23*12),0,IF(AND(C196='Stress Test Inputs'!$B$23*12,'Stress Test Inputs'!$E$23&gt;'Stress Test Inputs'!$B$23),D196+D196*B196/12,IF('Stress Test Inputs'!$C$23="FRM",-PMT($B$3/12,'Stress Test Inputs'!$E$23*12,$D$3),IF($A196,-PMT(B196/12,('Stress Test Inputs'!$E$23*12)-C196+1,D196),E195))))</f>
        <v>0</v>
      </c>
      <c r="F196" s="99">
        <f t="shared" ref="F196:F259" si="16">IF(D196-E196&lt;0,0,D196-E196)</f>
        <v>0</v>
      </c>
      <c r="G196" s="99">
        <f>IF(C196&gt;'Stress Test Inputs'!$B$23*12,0,D196*B196/12)</f>
        <v>0</v>
      </c>
      <c r="H196" s="99">
        <f t="shared" si="15"/>
        <v>0</v>
      </c>
      <c r="I196" s="99">
        <f t="shared" si="13"/>
        <v>0</v>
      </c>
      <c r="J196" s="98"/>
    </row>
    <row r="197" spans="1:10" x14ac:dyDescent="0.25">
      <c r="A197" s="77" t="b">
        <f>IF(('Stress Test Inputs'!$C$23)="FRM", FALSE, ISNUMBER(MATCH(C197,'Stress Test Inputs'!$M$18:$M$30,0)))</f>
        <v>0</v>
      </c>
      <c r="B197" s="103">
        <f>IF($A197, _xlfn.XLOOKUP(C197,'Stress Test Inputs'!$M$17:$M$29,'Stress Test Inputs'!$N$17:$N$29),$B196)</f>
        <v>6.5000000000000002E-2</v>
      </c>
      <c r="C197" s="101">
        <f t="shared" ref="C197:C260" si="17">C196+1</f>
        <v>195</v>
      </c>
      <c r="D197" s="99">
        <f t="shared" si="14"/>
        <v>0</v>
      </c>
      <c r="E197" s="99">
        <f>IF(OR(D197&lt;=0,C197&gt;'Stress Test Inputs'!$B$23*12),0,IF(AND(C197='Stress Test Inputs'!$B$23*12,'Stress Test Inputs'!$E$23&gt;'Stress Test Inputs'!$B$23),D197+D197*B197/12,IF('Stress Test Inputs'!$C$23="FRM",-PMT($B$3/12,'Stress Test Inputs'!$E$23*12,$D$3),IF($A197,-PMT(B197/12,('Stress Test Inputs'!$E$23*12)-C197+1,D197),E196))))</f>
        <v>0</v>
      </c>
      <c r="F197" s="99">
        <f t="shared" si="16"/>
        <v>0</v>
      </c>
      <c r="G197" s="99">
        <f>IF(C197&gt;'Stress Test Inputs'!$B$23*12,0,D197*B197/12)</f>
        <v>0</v>
      </c>
      <c r="H197" s="99">
        <f t="shared" si="15"/>
        <v>0</v>
      </c>
      <c r="I197" s="99">
        <f t="shared" ref="I197:I260" si="18">IF(ROUND(D197-H197,2)=0,0,D197-H197)</f>
        <v>0</v>
      </c>
      <c r="J197" s="98"/>
    </row>
    <row r="198" spans="1:10" x14ac:dyDescent="0.25">
      <c r="A198" s="77" t="b">
        <f>IF(('Stress Test Inputs'!$C$23)="FRM", FALSE, ISNUMBER(MATCH(C198,'Stress Test Inputs'!$M$18:$M$30,0)))</f>
        <v>0</v>
      </c>
      <c r="B198" s="103">
        <f>IF($A198, _xlfn.XLOOKUP(C198,'Stress Test Inputs'!$M$17:$M$29,'Stress Test Inputs'!$N$17:$N$29),$B197)</f>
        <v>6.5000000000000002E-2</v>
      </c>
      <c r="C198" s="101">
        <f t="shared" si="17"/>
        <v>196</v>
      </c>
      <c r="D198" s="99">
        <f t="shared" si="14"/>
        <v>0</v>
      </c>
      <c r="E198" s="99">
        <f>IF(OR(D198&lt;=0,C198&gt;'Stress Test Inputs'!$B$23*12),0,IF(AND(C198='Stress Test Inputs'!$B$23*12,'Stress Test Inputs'!$E$23&gt;'Stress Test Inputs'!$B$23),D198+D198*B198/12,IF('Stress Test Inputs'!$C$23="FRM",-PMT($B$3/12,'Stress Test Inputs'!$E$23*12,$D$3),IF($A198,-PMT(B198/12,('Stress Test Inputs'!$E$23*12)-C198+1,D198),E197))))</f>
        <v>0</v>
      </c>
      <c r="F198" s="99">
        <f t="shared" si="16"/>
        <v>0</v>
      </c>
      <c r="G198" s="99">
        <f>IF(C198&gt;'Stress Test Inputs'!$B$23*12,0,D198*B198/12)</f>
        <v>0</v>
      </c>
      <c r="H198" s="99">
        <f t="shared" si="15"/>
        <v>0</v>
      </c>
      <c r="I198" s="99">
        <f t="shared" si="18"/>
        <v>0</v>
      </c>
      <c r="J198" s="98"/>
    </row>
    <row r="199" spans="1:10" x14ac:dyDescent="0.25">
      <c r="A199" s="77" t="b">
        <f>IF(('Stress Test Inputs'!$C$23)="FRM", FALSE, ISNUMBER(MATCH(C199,'Stress Test Inputs'!$M$18:$M$30,0)))</f>
        <v>0</v>
      </c>
      <c r="B199" s="103">
        <f>IF($A199, _xlfn.XLOOKUP(C199,'Stress Test Inputs'!$M$17:$M$29,'Stress Test Inputs'!$N$17:$N$29),$B198)</f>
        <v>6.5000000000000002E-2</v>
      </c>
      <c r="C199" s="101">
        <f t="shared" si="17"/>
        <v>197</v>
      </c>
      <c r="D199" s="99">
        <f t="shared" ref="D199:D262" si="19">IF(I198&gt;0,I198-J198,0)</f>
        <v>0</v>
      </c>
      <c r="E199" s="99">
        <f>IF(OR(D199&lt;=0,C199&gt;'Stress Test Inputs'!$B$23*12),0,IF(AND(C199='Stress Test Inputs'!$B$23*12,'Stress Test Inputs'!$E$23&gt;'Stress Test Inputs'!$B$23),D199+D199*B199/12,IF('Stress Test Inputs'!$C$23="FRM",-PMT($B$3/12,'Stress Test Inputs'!$E$23*12,$D$3),IF($A199,-PMT(B199/12,('Stress Test Inputs'!$E$23*12)-C199+1,D199),E198))))</f>
        <v>0</v>
      </c>
      <c r="F199" s="99">
        <f t="shared" si="16"/>
        <v>0</v>
      </c>
      <c r="G199" s="99">
        <f>IF(C199&gt;'Stress Test Inputs'!$B$23*12,0,D199*B199/12)</f>
        <v>0</v>
      </c>
      <c r="H199" s="99">
        <f t="shared" si="15"/>
        <v>0</v>
      </c>
      <c r="I199" s="99">
        <f t="shared" si="18"/>
        <v>0</v>
      </c>
      <c r="J199" s="98"/>
    </row>
    <row r="200" spans="1:10" x14ac:dyDescent="0.25">
      <c r="A200" s="77" t="b">
        <f>IF(('Stress Test Inputs'!$C$23)="FRM", FALSE, ISNUMBER(MATCH(C200,'Stress Test Inputs'!$M$18:$M$30,0)))</f>
        <v>0</v>
      </c>
      <c r="B200" s="103">
        <f>IF($A200, _xlfn.XLOOKUP(C200,'Stress Test Inputs'!$M$17:$M$29,'Stress Test Inputs'!$N$17:$N$29),$B199)</f>
        <v>6.5000000000000002E-2</v>
      </c>
      <c r="C200" s="101">
        <f t="shared" si="17"/>
        <v>198</v>
      </c>
      <c r="D200" s="99">
        <f t="shared" si="19"/>
        <v>0</v>
      </c>
      <c r="E200" s="99">
        <f>IF(OR(D200&lt;=0,C200&gt;'Stress Test Inputs'!$B$23*12),0,IF(AND(C200='Stress Test Inputs'!$B$23*12,'Stress Test Inputs'!$E$23&gt;'Stress Test Inputs'!$B$23),D200+D200*B200/12,IF('Stress Test Inputs'!$C$23="FRM",-PMT($B$3/12,'Stress Test Inputs'!$E$23*12,$D$3),IF($A200,-PMT(B200/12,('Stress Test Inputs'!$E$23*12)-C200+1,D200),E199))))</f>
        <v>0</v>
      </c>
      <c r="F200" s="99">
        <f t="shared" si="16"/>
        <v>0</v>
      </c>
      <c r="G200" s="99">
        <f>IF(C200&gt;'Stress Test Inputs'!$B$23*12,0,D200*B200/12)</f>
        <v>0</v>
      </c>
      <c r="H200" s="99">
        <f t="shared" si="15"/>
        <v>0</v>
      </c>
      <c r="I200" s="99">
        <f t="shared" si="18"/>
        <v>0</v>
      </c>
      <c r="J200" s="98"/>
    </row>
    <row r="201" spans="1:10" x14ac:dyDescent="0.25">
      <c r="A201" s="77" t="b">
        <f>IF(('Stress Test Inputs'!$C$23)="FRM", FALSE, ISNUMBER(MATCH(C201,'Stress Test Inputs'!$M$18:$M$30,0)))</f>
        <v>0</v>
      </c>
      <c r="B201" s="103">
        <f>IF($A201, _xlfn.XLOOKUP(C201,'Stress Test Inputs'!$M$17:$M$29,'Stress Test Inputs'!$N$17:$N$29),$B200)</f>
        <v>6.5000000000000002E-2</v>
      </c>
      <c r="C201" s="101">
        <f t="shared" si="17"/>
        <v>199</v>
      </c>
      <c r="D201" s="99">
        <f t="shared" si="19"/>
        <v>0</v>
      </c>
      <c r="E201" s="99">
        <f>IF(OR(D201&lt;=0,C201&gt;'Stress Test Inputs'!$B$23*12),0,IF(AND(C201='Stress Test Inputs'!$B$23*12,'Stress Test Inputs'!$E$23&gt;'Stress Test Inputs'!$B$23),D201+D201*B201/12,IF('Stress Test Inputs'!$C$23="FRM",-PMT($B$3/12,'Stress Test Inputs'!$E$23*12,$D$3),IF($A201,-PMT(B201/12,('Stress Test Inputs'!$E$23*12)-C201+1,D201),E200))))</f>
        <v>0</v>
      </c>
      <c r="F201" s="99">
        <f t="shared" si="16"/>
        <v>0</v>
      </c>
      <c r="G201" s="99">
        <f>IF(C201&gt;'Stress Test Inputs'!$B$23*12,0,D201*B201/12)</f>
        <v>0</v>
      </c>
      <c r="H201" s="99">
        <f t="shared" si="15"/>
        <v>0</v>
      </c>
      <c r="I201" s="99">
        <f t="shared" si="18"/>
        <v>0</v>
      </c>
      <c r="J201" s="98"/>
    </row>
    <row r="202" spans="1:10" x14ac:dyDescent="0.25">
      <c r="A202" s="77" t="b">
        <f>IF(('Stress Test Inputs'!$C$23)="FRM", FALSE, ISNUMBER(MATCH(C202,'Stress Test Inputs'!$M$18:$M$30,0)))</f>
        <v>0</v>
      </c>
      <c r="B202" s="103">
        <f>IF($A202, _xlfn.XLOOKUP(C202,'Stress Test Inputs'!$M$17:$M$29,'Stress Test Inputs'!$N$17:$N$29),$B201)</f>
        <v>6.5000000000000002E-2</v>
      </c>
      <c r="C202" s="101">
        <f t="shared" si="17"/>
        <v>200</v>
      </c>
      <c r="D202" s="99">
        <f t="shared" si="19"/>
        <v>0</v>
      </c>
      <c r="E202" s="99">
        <f>IF(OR(D202&lt;=0,C202&gt;'Stress Test Inputs'!$B$23*12),0,IF(AND(C202='Stress Test Inputs'!$B$23*12,'Stress Test Inputs'!$E$23&gt;'Stress Test Inputs'!$B$23),D202+D202*B202/12,IF('Stress Test Inputs'!$C$23="FRM",-PMT($B$3/12,'Stress Test Inputs'!$E$23*12,$D$3),IF($A202,-PMT(B202/12,('Stress Test Inputs'!$E$23*12)-C202+1,D202),E201))))</f>
        <v>0</v>
      </c>
      <c r="F202" s="99">
        <f t="shared" si="16"/>
        <v>0</v>
      </c>
      <c r="G202" s="99">
        <f>IF(C202&gt;'Stress Test Inputs'!$B$23*12,0,D202*B202/12)</f>
        <v>0</v>
      </c>
      <c r="H202" s="99">
        <f t="shared" si="15"/>
        <v>0</v>
      </c>
      <c r="I202" s="99">
        <f t="shared" si="18"/>
        <v>0</v>
      </c>
      <c r="J202" s="98"/>
    </row>
    <row r="203" spans="1:10" x14ac:dyDescent="0.25">
      <c r="A203" s="77" t="b">
        <f>IF(('Stress Test Inputs'!$C$23)="FRM", FALSE, ISNUMBER(MATCH(C203,'Stress Test Inputs'!$M$18:$M$30,0)))</f>
        <v>0</v>
      </c>
      <c r="B203" s="103">
        <f>IF($A203, _xlfn.XLOOKUP(C203,'Stress Test Inputs'!$M$17:$M$29,'Stress Test Inputs'!$N$17:$N$29),$B202)</f>
        <v>6.5000000000000002E-2</v>
      </c>
      <c r="C203" s="101">
        <f t="shared" si="17"/>
        <v>201</v>
      </c>
      <c r="D203" s="99">
        <f t="shared" si="19"/>
        <v>0</v>
      </c>
      <c r="E203" s="99">
        <f>IF(OR(D203&lt;=0,C203&gt;'Stress Test Inputs'!$B$23*12),0,IF(AND(C203='Stress Test Inputs'!$B$23*12,'Stress Test Inputs'!$E$23&gt;'Stress Test Inputs'!$B$23),D203+D203*B203/12,IF('Stress Test Inputs'!$C$23="FRM",-PMT($B$3/12,'Stress Test Inputs'!$E$23*12,$D$3),IF($A203,-PMT(B203/12,('Stress Test Inputs'!$E$23*12)-C203+1,D203),E202))))</f>
        <v>0</v>
      </c>
      <c r="F203" s="99">
        <f t="shared" si="16"/>
        <v>0</v>
      </c>
      <c r="G203" s="99">
        <f>IF(C203&gt;'Stress Test Inputs'!$B$23*12,0,D203*B203/12)</f>
        <v>0</v>
      </c>
      <c r="H203" s="99">
        <f t="shared" si="15"/>
        <v>0</v>
      </c>
      <c r="I203" s="99">
        <f t="shared" si="18"/>
        <v>0</v>
      </c>
      <c r="J203" s="98"/>
    </row>
    <row r="204" spans="1:10" x14ac:dyDescent="0.25">
      <c r="A204" s="77" t="b">
        <f>IF(('Stress Test Inputs'!$C$23)="FRM", FALSE, ISNUMBER(MATCH(C204,'Stress Test Inputs'!$M$18:$M$30,0)))</f>
        <v>0</v>
      </c>
      <c r="B204" s="103">
        <f>IF($A204, _xlfn.XLOOKUP(C204,'Stress Test Inputs'!$M$17:$M$29,'Stress Test Inputs'!$N$17:$N$29),$B203)</f>
        <v>6.5000000000000002E-2</v>
      </c>
      <c r="C204" s="101">
        <f t="shared" si="17"/>
        <v>202</v>
      </c>
      <c r="D204" s="99">
        <f t="shared" si="19"/>
        <v>0</v>
      </c>
      <c r="E204" s="99">
        <f>IF(OR(D204&lt;=0,C204&gt;'Stress Test Inputs'!$B$23*12),0,IF(AND(C204='Stress Test Inputs'!$B$23*12,'Stress Test Inputs'!$E$23&gt;'Stress Test Inputs'!$B$23),D204+D204*B204/12,IF('Stress Test Inputs'!$C$23="FRM",-PMT($B$3/12,'Stress Test Inputs'!$E$23*12,$D$3),IF($A204,-PMT(B204/12,('Stress Test Inputs'!$E$23*12)-C204+1,D204),E203))))</f>
        <v>0</v>
      </c>
      <c r="F204" s="99">
        <f t="shared" si="16"/>
        <v>0</v>
      </c>
      <c r="G204" s="99">
        <f>IF(C204&gt;'Stress Test Inputs'!$B$23*12,0,D204*B204/12)</f>
        <v>0</v>
      </c>
      <c r="H204" s="99">
        <f t="shared" si="15"/>
        <v>0</v>
      </c>
      <c r="I204" s="99">
        <f t="shared" si="18"/>
        <v>0</v>
      </c>
      <c r="J204" s="98"/>
    </row>
    <row r="205" spans="1:10" x14ac:dyDescent="0.25">
      <c r="A205" s="77" t="b">
        <f>IF(('Stress Test Inputs'!$C$23)="FRM", FALSE, ISNUMBER(MATCH(C205,'Stress Test Inputs'!$M$18:$M$30,0)))</f>
        <v>0</v>
      </c>
      <c r="B205" s="103">
        <f>IF($A205, _xlfn.XLOOKUP(C205,'Stress Test Inputs'!$M$17:$M$29,'Stress Test Inputs'!$N$17:$N$29),$B204)</f>
        <v>6.5000000000000002E-2</v>
      </c>
      <c r="C205" s="101">
        <f t="shared" si="17"/>
        <v>203</v>
      </c>
      <c r="D205" s="99">
        <f t="shared" si="19"/>
        <v>0</v>
      </c>
      <c r="E205" s="99">
        <f>IF(OR(D205&lt;=0,C205&gt;'Stress Test Inputs'!$B$23*12),0,IF(AND(C205='Stress Test Inputs'!$B$23*12,'Stress Test Inputs'!$E$23&gt;'Stress Test Inputs'!$B$23),D205+D205*B205/12,IF('Stress Test Inputs'!$C$23="FRM",-PMT($B$3/12,'Stress Test Inputs'!$E$23*12,$D$3),IF($A205,-PMT(B205/12,('Stress Test Inputs'!$E$23*12)-C205+1,D205),E204))))</f>
        <v>0</v>
      </c>
      <c r="F205" s="99">
        <f t="shared" si="16"/>
        <v>0</v>
      </c>
      <c r="G205" s="99">
        <f>IF(C205&gt;'Stress Test Inputs'!$B$23*12,0,D205*B205/12)</f>
        <v>0</v>
      </c>
      <c r="H205" s="99">
        <f t="shared" si="15"/>
        <v>0</v>
      </c>
      <c r="I205" s="99">
        <f t="shared" si="18"/>
        <v>0</v>
      </c>
      <c r="J205" s="98"/>
    </row>
    <row r="206" spans="1:10" x14ac:dyDescent="0.25">
      <c r="A206" s="77" t="b">
        <f>IF(('Stress Test Inputs'!$C$23)="FRM", FALSE, ISNUMBER(MATCH(C206,'Stress Test Inputs'!$M$18:$M$30,0)))</f>
        <v>0</v>
      </c>
      <c r="B206" s="103">
        <f>IF($A206, _xlfn.XLOOKUP(C206,'Stress Test Inputs'!$M$17:$M$29,'Stress Test Inputs'!$N$17:$N$29),$B205)</f>
        <v>6.5000000000000002E-2</v>
      </c>
      <c r="C206" s="101">
        <f t="shared" si="17"/>
        <v>204</v>
      </c>
      <c r="D206" s="99">
        <f t="shared" si="19"/>
        <v>0</v>
      </c>
      <c r="E206" s="99">
        <f>IF(OR(D206&lt;=0,C206&gt;'Stress Test Inputs'!$B$23*12),0,IF(AND(C206='Stress Test Inputs'!$B$23*12,'Stress Test Inputs'!$E$23&gt;'Stress Test Inputs'!$B$23),D206+D206*B206/12,IF('Stress Test Inputs'!$C$23="FRM",-PMT($B$3/12,'Stress Test Inputs'!$E$23*12,$D$3),IF($A206,-PMT(B206/12,('Stress Test Inputs'!$E$23*12)-C206+1,D206),E205))))</f>
        <v>0</v>
      </c>
      <c r="F206" s="99">
        <f t="shared" si="16"/>
        <v>0</v>
      </c>
      <c r="G206" s="99">
        <f>IF(C206&gt;'Stress Test Inputs'!$B$23*12,0,D206*B206/12)</f>
        <v>0</v>
      </c>
      <c r="H206" s="99">
        <f t="shared" si="15"/>
        <v>0</v>
      </c>
      <c r="I206" s="99">
        <f t="shared" si="18"/>
        <v>0</v>
      </c>
      <c r="J206" s="98"/>
    </row>
    <row r="207" spans="1:10" x14ac:dyDescent="0.25">
      <c r="A207" s="77" t="b">
        <f>IF(('Stress Test Inputs'!$C$23)="FRM", FALSE, ISNUMBER(MATCH(C207,'Stress Test Inputs'!$M$18:$M$30,0)))</f>
        <v>0</v>
      </c>
      <c r="B207" s="103">
        <f>IF($A207, _xlfn.XLOOKUP(C207,'Stress Test Inputs'!$M$17:$M$29,'Stress Test Inputs'!$N$17:$N$29),$B206)</f>
        <v>6.5000000000000002E-2</v>
      </c>
      <c r="C207" s="101">
        <f t="shared" si="17"/>
        <v>205</v>
      </c>
      <c r="D207" s="99">
        <f t="shared" si="19"/>
        <v>0</v>
      </c>
      <c r="E207" s="99">
        <f>IF(OR(D207&lt;=0,C207&gt;'Stress Test Inputs'!$B$23*12),0,IF(AND(C207='Stress Test Inputs'!$B$23*12,'Stress Test Inputs'!$E$23&gt;'Stress Test Inputs'!$B$23),D207+D207*B207/12,IF('Stress Test Inputs'!$C$23="FRM",-PMT($B$3/12,'Stress Test Inputs'!$E$23*12,$D$3),IF($A207,-PMT(B207/12,('Stress Test Inputs'!$E$23*12)-C207+1,D207),E206))))</f>
        <v>0</v>
      </c>
      <c r="F207" s="99">
        <f t="shared" si="16"/>
        <v>0</v>
      </c>
      <c r="G207" s="99">
        <f>IF(C207&gt;'Stress Test Inputs'!$B$23*12,0,D207*B207/12)</f>
        <v>0</v>
      </c>
      <c r="H207" s="99">
        <f t="shared" si="15"/>
        <v>0</v>
      </c>
      <c r="I207" s="99">
        <f t="shared" si="18"/>
        <v>0</v>
      </c>
      <c r="J207" s="98"/>
    </row>
    <row r="208" spans="1:10" x14ac:dyDescent="0.25">
      <c r="A208" s="77" t="b">
        <f>IF(('Stress Test Inputs'!$C$23)="FRM", FALSE, ISNUMBER(MATCH(C208,'Stress Test Inputs'!$M$18:$M$30,0)))</f>
        <v>0</v>
      </c>
      <c r="B208" s="103">
        <f>IF($A208, _xlfn.XLOOKUP(C208,'Stress Test Inputs'!$M$17:$M$29,'Stress Test Inputs'!$N$17:$N$29),$B207)</f>
        <v>6.5000000000000002E-2</v>
      </c>
      <c r="C208" s="101">
        <f t="shared" si="17"/>
        <v>206</v>
      </c>
      <c r="D208" s="99">
        <f t="shared" si="19"/>
        <v>0</v>
      </c>
      <c r="E208" s="99">
        <f>IF(OR(D208&lt;=0,C208&gt;'Stress Test Inputs'!$B$23*12),0,IF(AND(C208='Stress Test Inputs'!$B$23*12,'Stress Test Inputs'!$E$23&gt;'Stress Test Inputs'!$B$23),D208+D208*B208/12,IF('Stress Test Inputs'!$C$23="FRM",-PMT($B$3/12,'Stress Test Inputs'!$E$23*12,$D$3),IF($A208,-PMT(B208/12,('Stress Test Inputs'!$E$23*12)-C208+1,D208),E207))))</f>
        <v>0</v>
      </c>
      <c r="F208" s="99">
        <f t="shared" si="16"/>
        <v>0</v>
      </c>
      <c r="G208" s="99">
        <f>IF(C208&gt;'Stress Test Inputs'!$B$23*12,0,D208*B208/12)</f>
        <v>0</v>
      </c>
      <c r="H208" s="99">
        <f t="shared" si="15"/>
        <v>0</v>
      </c>
      <c r="I208" s="99">
        <f t="shared" si="18"/>
        <v>0</v>
      </c>
      <c r="J208" s="98"/>
    </row>
    <row r="209" spans="1:10" x14ac:dyDescent="0.25">
      <c r="A209" s="77" t="b">
        <f>IF(('Stress Test Inputs'!$C$23)="FRM", FALSE, ISNUMBER(MATCH(C209,'Stress Test Inputs'!$M$18:$M$30,0)))</f>
        <v>0</v>
      </c>
      <c r="B209" s="103">
        <f>IF($A209, _xlfn.XLOOKUP(C209,'Stress Test Inputs'!$M$17:$M$29,'Stress Test Inputs'!$N$17:$N$29),$B208)</f>
        <v>6.5000000000000002E-2</v>
      </c>
      <c r="C209" s="101">
        <f t="shared" si="17"/>
        <v>207</v>
      </c>
      <c r="D209" s="99">
        <f t="shared" si="19"/>
        <v>0</v>
      </c>
      <c r="E209" s="99">
        <f>IF(OR(D209&lt;=0,C209&gt;'Stress Test Inputs'!$B$23*12),0,IF(AND(C209='Stress Test Inputs'!$B$23*12,'Stress Test Inputs'!$E$23&gt;'Stress Test Inputs'!$B$23),D209+D209*B209/12,IF('Stress Test Inputs'!$C$23="FRM",-PMT($B$3/12,'Stress Test Inputs'!$E$23*12,$D$3),IF($A209,-PMT(B209/12,('Stress Test Inputs'!$E$23*12)-C209+1,D209),E208))))</f>
        <v>0</v>
      </c>
      <c r="F209" s="99">
        <f t="shared" si="16"/>
        <v>0</v>
      </c>
      <c r="G209" s="99">
        <f>IF(C209&gt;'Stress Test Inputs'!$B$23*12,0,D209*B209/12)</f>
        <v>0</v>
      </c>
      <c r="H209" s="99">
        <f t="shared" si="15"/>
        <v>0</v>
      </c>
      <c r="I209" s="99">
        <f t="shared" si="18"/>
        <v>0</v>
      </c>
      <c r="J209" s="98"/>
    </row>
    <row r="210" spans="1:10" x14ac:dyDescent="0.25">
      <c r="A210" s="77" t="b">
        <f>IF(('Stress Test Inputs'!$C$23)="FRM", FALSE, ISNUMBER(MATCH(C210,'Stress Test Inputs'!$M$18:$M$30,0)))</f>
        <v>0</v>
      </c>
      <c r="B210" s="103">
        <f>IF($A210, _xlfn.XLOOKUP(C210,'Stress Test Inputs'!$M$17:$M$29,'Stress Test Inputs'!$N$17:$N$29),$B209)</f>
        <v>6.5000000000000002E-2</v>
      </c>
      <c r="C210" s="101">
        <f t="shared" si="17"/>
        <v>208</v>
      </c>
      <c r="D210" s="99">
        <f t="shared" si="19"/>
        <v>0</v>
      </c>
      <c r="E210" s="99">
        <f>IF(OR(D210&lt;=0,C210&gt;'Stress Test Inputs'!$B$23*12),0,IF(AND(C210='Stress Test Inputs'!$B$23*12,'Stress Test Inputs'!$E$23&gt;'Stress Test Inputs'!$B$23),D210+D210*B210/12,IF('Stress Test Inputs'!$C$23="FRM",-PMT($B$3/12,'Stress Test Inputs'!$E$23*12,$D$3),IF($A210,-PMT(B210/12,('Stress Test Inputs'!$E$23*12)-C210+1,D210),E209))))</f>
        <v>0</v>
      </c>
      <c r="F210" s="99">
        <f t="shared" si="16"/>
        <v>0</v>
      </c>
      <c r="G210" s="99">
        <f>IF(C210&gt;'Stress Test Inputs'!$B$23*12,0,D210*B210/12)</f>
        <v>0</v>
      </c>
      <c r="H210" s="99">
        <f t="shared" si="15"/>
        <v>0</v>
      </c>
      <c r="I210" s="99">
        <f t="shared" si="18"/>
        <v>0</v>
      </c>
      <c r="J210" s="98"/>
    </row>
    <row r="211" spans="1:10" x14ac:dyDescent="0.25">
      <c r="A211" s="77" t="b">
        <f>IF(('Stress Test Inputs'!$C$23)="FRM", FALSE, ISNUMBER(MATCH(C211,'Stress Test Inputs'!$M$18:$M$30,0)))</f>
        <v>0</v>
      </c>
      <c r="B211" s="103">
        <f>IF($A211, _xlfn.XLOOKUP(C211,'Stress Test Inputs'!$M$17:$M$29,'Stress Test Inputs'!$N$17:$N$29),$B210)</f>
        <v>6.5000000000000002E-2</v>
      </c>
      <c r="C211" s="101">
        <f t="shared" si="17"/>
        <v>209</v>
      </c>
      <c r="D211" s="99">
        <f t="shared" si="19"/>
        <v>0</v>
      </c>
      <c r="E211" s="99">
        <f>IF(OR(D211&lt;=0,C211&gt;'Stress Test Inputs'!$B$23*12),0,IF(AND(C211='Stress Test Inputs'!$B$23*12,'Stress Test Inputs'!$E$23&gt;'Stress Test Inputs'!$B$23),D211+D211*B211/12,IF('Stress Test Inputs'!$C$23="FRM",-PMT($B$3/12,'Stress Test Inputs'!$E$23*12,$D$3),IF($A211,-PMT(B211/12,('Stress Test Inputs'!$E$23*12)-C211+1,D211),E210))))</f>
        <v>0</v>
      </c>
      <c r="F211" s="99">
        <f t="shared" si="16"/>
        <v>0</v>
      </c>
      <c r="G211" s="99">
        <f>IF(C211&gt;'Stress Test Inputs'!$B$23*12,0,D211*B211/12)</f>
        <v>0</v>
      </c>
      <c r="H211" s="99">
        <f t="shared" si="15"/>
        <v>0</v>
      </c>
      <c r="I211" s="99">
        <f t="shared" si="18"/>
        <v>0</v>
      </c>
      <c r="J211" s="98"/>
    </row>
    <row r="212" spans="1:10" x14ac:dyDescent="0.25">
      <c r="A212" s="77" t="b">
        <f>IF(('Stress Test Inputs'!$C$23)="FRM", FALSE, ISNUMBER(MATCH(C212,'Stress Test Inputs'!$M$18:$M$30,0)))</f>
        <v>0</v>
      </c>
      <c r="B212" s="103">
        <f>IF($A212, _xlfn.XLOOKUP(C212,'Stress Test Inputs'!$M$17:$M$29,'Stress Test Inputs'!$N$17:$N$29),$B211)</f>
        <v>6.5000000000000002E-2</v>
      </c>
      <c r="C212" s="101">
        <f t="shared" si="17"/>
        <v>210</v>
      </c>
      <c r="D212" s="99">
        <f t="shared" si="19"/>
        <v>0</v>
      </c>
      <c r="E212" s="99">
        <f>IF(OR(D212&lt;=0,C212&gt;'Stress Test Inputs'!$B$23*12),0,IF(AND(C212='Stress Test Inputs'!$B$23*12,'Stress Test Inputs'!$E$23&gt;'Stress Test Inputs'!$B$23),D212+D212*B212/12,IF('Stress Test Inputs'!$C$23="FRM",-PMT($B$3/12,'Stress Test Inputs'!$E$23*12,$D$3),IF($A212,-PMT(B212/12,('Stress Test Inputs'!$E$23*12)-C212+1,D212),E211))))</f>
        <v>0</v>
      </c>
      <c r="F212" s="99">
        <f t="shared" si="16"/>
        <v>0</v>
      </c>
      <c r="G212" s="99">
        <f>IF(C212&gt;'Stress Test Inputs'!$B$23*12,0,D212*B212/12)</f>
        <v>0</v>
      </c>
      <c r="H212" s="99">
        <f t="shared" si="15"/>
        <v>0</v>
      </c>
      <c r="I212" s="99">
        <f t="shared" si="18"/>
        <v>0</v>
      </c>
      <c r="J212" s="98"/>
    </row>
    <row r="213" spans="1:10" x14ac:dyDescent="0.25">
      <c r="A213" s="77" t="b">
        <f>IF(('Stress Test Inputs'!$C$23)="FRM", FALSE, ISNUMBER(MATCH(C213,'Stress Test Inputs'!$M$18:$M$30,0)))</f>
        <v>0</v>
      </c>
      <c r="B213" s="103">
        <f>IF($A213, _xlfn.XLOOKUP(C213,'Stress Test Inputs'!$M$17:$M$29,'Stress Test Inputs'!$N$17:$N$29),$B212)</f>
        <v>6.5000000000000002E-2</v>
      </c>
      <c r="C213" s="101">
        <f t="shared" si="17"/>
        <v>211</v>
      </c>
      <c r="D213" s="99">
        <f t="shared" si="19"/>
        <v>0</v>
      </c>
      <c r="E213" s="99">
        <f>IF(OR(D213&lt;=0,C213&gt;'Stress Test Inputs'!$B$23*12),0,IF(AND(C213='Stress Test Inputs'!$B$23*12,'Stress Test Inputs'!$E$23&gt;'Stress Test Inputs'!$B$23),D213+D213*B213/12,IF('Stress Test Inputs'!$C$23="FRM",-PMT($B$3/12,'Stress Test Inputs'!$E$23*12,$D$3),IF($A213,-PMT(B213/12,('Stress Test Inputs'!$E$23*12)-C213+1,D213),E212))))</f>
        <v>0</v>
      </c>
      <c r="F213" s="99">
        <f t="shared" si="16"/>
        <v>0</v>
      </c>
      <c r="G213" s="99">
        <f>IF(C213&gt;'Stress Test Inputs'!$B$23*12,0,D213*B213/12)</f>
        <v>0</v>
      </c>
      <c r="H213" s="99">
        <f t="shared" si="15"/>
        <v>0</v>
      </c>
      <c r="I213" s="99">
        <f t="shared" si="18"/>
        <v>0</v>
      </c>
      <c r="J213" s="98"/>
    </row>
    <row r="214" spans="1:10" x14ac:dyDescent="0.25">
      <c r="A214" s="77" t="b">
        <f>IF(('Stress Test Inputs'!$C$23)="FRM", FALSE, ISNUMBER(MATCH(C214,'Stress Test Inputs'!$M$18:$M$30,0)))</f>
        <v>0</v>
      </c>
      <c r="B214" s="103">
        <f>IF($A214, _xlfn.XLOOKUP(C214,'Stress Test Inputs'!$M$17:$M$29,'Stress Test Inputs'!$N$17:$N$29),$B213)</f>
        <v>6.5000000000000002E-2</v>
      </c>
      <c r="C214" s="101">
        <f t="shared" si="17"/>
        <v>212</v>
      </c>
      <c r="D214" s="99">
        <f t="shared" si="19"/>
        <v>0</v>
      </c>
      <c r="E214" s="99">
        <f>IF(OR(D214&lt;=0,C214&gt;'Stress Test Inputs'!$B$23*12),0,IF(AND(C214='Stress Test Inputs'!$B$23*12,'Stress Test Inputs'!$E$23&gt;'Stress Test Inputs'!$B$23),D214+D214*B214/12,IF('Stress Test Inputs'!$C$23="FRM",-PMT($B$3/12,'Stress Test Inputs'!$E$23*12,$D$3),IF($A214,-PMT(B214/12,('Stress Test Inputs'!$E$23*12)-C214+1,D214),E213))))</f>
        <v>0</v>
      </c>
      <c r="F214" s="99">
        <f t="shared" si="16"/>
        <v>0</v>
      </c>
      <c r="G214" s="99">
        <f>IF(C214&gt;'Stress Test Inputs'!$B$23*12,0,D214*B214/12)</f>
        <v>0</v>
      </c>
      <c r="H214" s="99">
        <f t="shared" si="15"/>
        <v>0</v>
      </c>
      <c r="I214" s="99">
        <f t="shared" si="18"/>
        <v>0</v>
      </c>
      <c r="J214" s="98"/>
    </row>
    <row r="215" spans="1:10" x14ac:dyDescent="0.25">
      <c r="A215" s="77" t="b">
        <f>IF(('Stress Test Inputs'!$C$23)="FRM", FALSE, ISNUMBER(MATCH(C215,'Stress Test Inputs'!$M$18:$M$30,0)))</f>
        <v>0</v>
      </c>
      <c r="B215" s="103">
        <f>IF($A215, _xlfn.XLOOKUP(C215,'Stress Test Inputs'!$M$17:$M$29,'Stress Test Inputs'!$N$17:$N$29),$B214)</f>
        <v>6.5000000000000002E-2</v>
      </c>
      <c r="C215" s="101">
        <f t="shared" si="17"/>
        <v>213</v>
      </c>
      <c r="D215" s="99">
        <f t="shared" si="19"/>
        <v>0</v>
      </c>
      <c r="E215" s="99">
        <f>IF(OR(D215&lt;=0,C215&gt;'Stress Test Inputs'!$B$23*12),0,IF(AND(C215='Stress Test Inputs'!$B$23*12,'Stress Test Inputs'!$E$23&gt;'Stress Test Inputs'!$B$23),D215+D215*B215/12,IF('Stress Test Inputs'!$C$23="FRM",-PMT($B$3/12,'Stress Test Inputs'!$E$23*12,$D$3),IF($A215,-PMT(B215/12,('Stress Test Inputs'!$E$23*12)-C215+1,D215),E214))))</f>
        <v>0</v>
      </c>
      <c r="F215" s="99">
        <f t="shared" si="16"/>
        <v>0</v>
      </c>
      <c r="G215" s="99">
        <f>IF(C215&gt;'Stress Test Inputs'!$B$23*12,0,D215*B215/12)</f>
        <v>0</v>
      </c>
      <c r="H215" s="99">
        <f t="shared" si="15"/>
        <v>0</v>
      </c>
      <c r="I215" s="99">
        <f t="shared" si="18"/>
        <v>0</v>
      </c>
      <c r="J215" s="98"/>
    </row>
    <row r="216" spans="1:10" x14ac:dyDescent="0.25">
      <c r="A216" s="77" t="b">
        <f>IF(('Stress Test Inputs'!$C$23)="FRM", FALSE, ISNUMBER(MATCH(C216,'Stress Test Inputs'!$M$18:$M$30,0)))</f>
        <v>0</v>
      </c>
      <c r="B216" s="103">
        <f>IF($A216, _xlfn.XLOOKUP(C216,'Stress Test Inputs'!$M$17:$M$29,'Stress Test Inputs'!$N$17:$N$29),$B215)</f>
        <v>6.5000000000000002E-2</v>
      </c>
      <c r="C216" s="101">
        <f t="shared" si="17"/>
        <v>214</v>
      </c>
      <c r="D216" s="99">
        <f t="shared" si="19"/>
        <v>0</v>
      </c>
      <c r="E216" s="99">
        <f>IF(OR(D216&lt;=0,C216&gt;'Stress Test Inputs'!$B$23*12),0,IF(AND(C216='Stress Test Inputs'!$B$23*12,'Stress Test Inputs'!$E$23&gt;'Stress Test Inputs'!$B$23),D216+D216*B216/12,IF('Stress Test Inputs'!$C$23="FRM",-PMT($B$3/12,'Stress Test Inputs'!$E$23*12,$D$3),IF($A216,-PMT(B216/12,('Stress Test Inputs'!$E$23*12)-C216+1,D216),E215))))</f>
        <v>0</v>
      </c>
      <c r="F216" s="99">
        <f t="shared" si="16"/>
        <v>0</v>
      </c>
      <c r="G216" s="99">
        <f>IF(C216&gt;'Stress Test Inputs'!$B$23*12,0,D216*B216/12)</f>
        <v>0</v>
      </c>
      <c r="H216" s="99">
        <f t="shared" si="15"/>
        <v>0</v>
      </c>
      <c r="I216" s="99">
        <f t="shared" si="18"/>
        <v>0</v>
      </c>
      <c r="J216" s="98"/>
    </row>
    <row r="217" spans="1:10" x14ac:dyDescent="0.25">
      <c r="A217" s="77" t="b">
        <f>IF(('Stress Test Inputs'!$C$23)="FRM", FALSE, ISNUMBER(MATCH(C217,'Stress Test Inputs'!$M$18:$M$30,0)))</f>
        <v>0</v>
      </c>
      <c r="B217" s="103">
        <f>IF($A217, _xlfn.XLOOKUP(C217,'Stress Test Inputs'!$M$17:$M$29,'Stress Test Inputs'!$N$17:$N$29),$B216)</f>
        <v>6.5000000000000002E-2</v>
      </c>
      <c r="C217" s="101">
        <f t="shared" si="17"/>
        <v>215</v>
      </c>
      <c r="D217" s="99">
        <f t="shared" si="19"/>
        <v>0</v>
      </c>
      <c r="E217" s="99">
        <f>IF(OR(D217&lt;=0,C217&gt;'Stress Test Inputs'!$B$23*12),0,IF(AND(C217='Stress Test Inputs'!$B$23*12,'Stress Test Inputs'!$E$23&gt;'Stress Test Inputs'!$B$23),D217+D217*B217/12,IF('Stress Test Inputs'!$C$23="FRM",-PMT($B$3/12,'Stress Test Inputs'!$E$23*12,$D$3),IF($A217,-PMT(B217/12,('Stress Test Inputs'!$E$23*12)-C217+1,D217),E216))))</f>
        <v>0</v>
      </c>
      <c r="F217" s="99">
        <f t="shared" si="16"/>
        <v>0</v>
      </c>
      <c r="G217" s="99">
        <f>IF(C217&gt;'Stress Test Inputs'!$B$23*12,0,D217*B217/12)</f>
        <v>0</v>
      </c>
      <c r="H217" s="99">
        <f t="shared" si="15"/>
        <v>0</v>
      </c>
      <c r="I217" s="99">
        <f t="shared" si="18"/>
        <v>0</v>
      </c>
      <c r="J217" s="98"/>
    </row>
    <row r="218" spans="1:10" x14ac:dyDescent="0.25">
      <c r="A218" s="77" t="b">
        <f>IF(('Stress Test Inputs'!$C$23)="FRM", FALSE, ISNUMBER(MATCH(C218,'Stress Test Inputs'!$M$18:$M$30,0)))</f>
        <v>0</v>
      </c>
      <c r="B218" s="103">
        <f>IF($A218, _xlfn.XLOOKUP(C218,'Stress Test Inputs'!$M$17:$M$29,'Stress Test Inputs'!$N$17:$N$29),$B217)</f>
        <v>6.5000000000000002E-2</v>
      </c>
      <c r="C218" s="101">
        <f t="shared" si="17"/>
        <v>216</v>
      </c>
      <c r="D218" s="99">
        <f t="shared" si="19"/>
        <v>0</v>
      </c>
      <c r="E218" s="99">
        <f>IF(OR(D218&lt;=0,C218&gt;'Stress Test Inputs'!$B$23*12),0,IF(AND(C218='Stress Test Inputs'!$B$23*12,'Stress Test Inputs'!$E$23&gt;'Stress Test Inputs'!$B$23),D218+D218*B218/12,IF('Stress Test Inputs'!$C$23="FRM",-PMT($B$3/12,'Stress Test Inputs'!$E$23*12,$D$3),IF($A218,-PMT(B218/12,('Stress Test Inputs'!$E$23*12)-C218+1,D218),E217))))</f>
        <v>0</v>
      </c>
      <c r="F218" s="99">
        <f t="shared" si="16"/>
        <v>0</v>
      </c>
      <c r="G218" s="99">
        <f>IF(C218&gt;'Stress Test Inputs'!$B$23*12,0,D218*B218/12)</f>
        <v>0</v>
      </c>
      <c r="H218" s="99">
        <f t="shared" si="15"/>
        <v>0</v>
      </c>
      <c r="I218" s="99">
        <f t="shared" si="18"/>
        <v>0</v>
      </c>
      <c r="J218" s="98"/>
    </row>
    <row r="219" spans="1:10" x14ac:dyDescent="0.25">
      <c r="A219" s="77" t="b">
        <f>IF(('Stress Test Inputs'!$C$23)="FRM", FALSE, ISNUMBER(MATCH(C219,'Stress Test Inputs'!$M$18:$M$30,0)))</f>
        <v>0</v>
      </c>
      <c r="B219" s="103">
        <f>IF($A219, _xlfn.XLOOKUP(C219,'Stress Test Inputs'!$M$17:$M$29,'Stress Test Inputs'!$N$17:$N$29),$B218)</f>
        <v>6.5000000000000002E-2</v>
      </c>
      <c r="C219" s="101">
        <f t="shared" si="17"/>
        <v>217</v>
      </c>
      <c r="D219" s="99">
        <f t="shared" si="19"/>
        <v>0</v>
      </c>
      <c r="E219" s="99">
        <f>IF(OR(D219&lt;=0,C219&gt;'Stress Test Inputs'!$B$23*12),0,IF(AND(C219='Stress Test Inputs'!$B$23*12,'Stress Test Inputs'!$E$23&gt;'Stress Test Inputs'!$B$23),D219+D219*B219/12,IF('Stress Test Inputs'!$C$23="FRM",-PMT($B$3/12,'Stress Test Inputs'!$E$23*12,$D$3),IF($A219,-PMT(B219/12,('Stress Test Inputs'!$E$23*12)-C219+1,D219),E218))))</f>
        <v>0</v>
      </c>
      <c r="F219" s="99">
        <f t="shared" si="16"/>
        <v>0</v>
      </c>
      <c r="G219" s="99">
        <f>IF(C219&gt;'Stress Test Inputs'!$B$23*12,0,D219*B219/12)</f>
        <v>0</v>
      </c>
      <c r="H219" s="99">
        <f t="shared" si="15"/>
        <v>0</v>
      </c>
      <c r="I219" s="99">
        <f t="shared" si="18"/>
        <v>0</v>
      </c>
      <c r="J219" s="98"/>
    </row>
    <row r="220" spans="1:10" x14ac:dyDescent="0.25">
      <c r="A220" s="77" t="b">
        <f>IF(('Stress Test Inputs'!$C$23)="FRM", FALSE, ISNUMBER(MATCH(C220,'Stress Test Inputs'!$M$18:$M$30,0)))</f>
        <v>0</v>
      </c>
      <c r="B220" s="103">
        <f>IF($A220, _xlfn.XLOOKUP(C220,'Stress Test Inputs'!$M$17:$M$29,'Stress Test Inputs'!$N$17:$N$29),$B219)</f>
        <v>6.5000000000000002E-2</v>
      </c>
      <c r="C220" s="101">
        <f t="shared" si="17"/>
        <v>218</v>
      </c>
      <c r="D220" s="99">
        <f t="shared" si="19"/>
        <v>0</v>
      </c>
      <c r="E220" s="99">
        <f>IF(OR(D220&lt;=0,C220&gt;'Stress Test Inputs'!$B$23*12),0,IF(AND(C220='Stress Test Inputs'!$B$23*12,'Stress Test Inputs'!$E$23&gt;'Stress Test Inputs'!$B$23),D220+D220*B220/12,IF('Stress Test Inputs'!$C$23="FRM",-PMT($B$3/12,'Stress Test Inputs'!$E$23*12,$D$3),IF($A220,-PMT(B220/12,('Stress Test Inputs'!$E$23*12)-C220+1,D220),E219))))</f>
        <v>0</v>
      </c>
      <c r="F220" s="99">
        <f t="shared" si="16"/>
        <v>0</v>
      </c>
      <c r="G220" s="99">
        <f>IF(C220&gt;'Stress Test Inputs'!$B$23*12,0,D220*B220/12)</f>
        <v>0</v>
      </c>
      <c r="H220" s="99">
        <f t="shared" si="15"/>
        <v>0</v>
      </c>
      <c r="I220" s="99">
        <f t="shared" si="18"/>
        <v>0</v>
      </c>
      <c r="J220" s="98"/>
    </row>
    <row r="221" spans="1:10" x14ac:dyDescent="0.25">
      <c r="A221" s="77" t="b">
        <f>IF(('Stress Test Inputs'!$C$23)="FRM", FALSE, ISNUMBER(MATCH(C221,'Stress Test Inputs'!$M$18:$M$30,0)))</f>
        <v>0</v>
      </c>
      <c r="B221" s="103">
        <f>IF($A221, _xlfn.XLOOKUP(C221,'Stress Test Inputs'!$M$17:$M$29,'Stress Test Inputs'!$N$17:$N$29),$B220)</f>
        <v>6.5000000000000002E-2</v>
      </c>
      <c r="C221" s="101">
        <f t="shared" si="17"/>
        <v>219</v>
      </c>
      <c r="D221" s="99">
        <f t="shared" si="19"/>
        <v>0</v>
      </c>
      <c r="E221" s="99">
        <f>IF(OR(D221&lt;=0,C221&gt;'Stress Test Inputs'!$B$23*12),0,IF(AND(C221='Stress Test Inputs'!$B$23*12,'Stress Test Inputs'!$E$23&gt;'Stress Test Inputs'!$B$23),D221+D221*B221/12,IF('Stress Test Inputs'!$C$23="FRM",-PMT($B$3/12,'Stress Test Inputs'!$E$23*12,$D$3),IF($A221,-PMT(B221/12,('Stress Test Inputs'!$E$23*12)-C221+1,D221),E220))))</f>
        <v>0</v>
      </c>
      <c r="F221" s="99">
        <f t="shared" si="16"/>
        <v>0</v>
      </c>
      <c r="G221" s="99">
        <f>IF(C221&gt;'Stress Test Inputs'!$B$23*12,0,D221*B221/12)</f>
        <v>0</v>
      </c>
      <c r="H221" s="99">
        <f t="shared" si="15"/>
        <v>0</v>
      </c>
      <c r="I221" s="99">
        <f t="shared" si="18"/>
        <v>0</v>
      </c>
      <c r="J221" s="98"/>
    </row>
    <row r="222" spans="1:10" x14ac:dyDescent="0.25">
      <c r="A222" s="77" t="b">
        <f>IF(('Stress Test Inputs'!$C$23)="FRM", FALSE, ISNUMBER(MATCH(C222,'Stress Test Inputs'!$M$18:$M$30,0)))</f>
        <v>0</v>
      </c>
      <c r="B222" s="103">
        <f>IF($A222, _xlfn.XLOOKUP(C222,'Stress Test Inputs'!$M$17:$M$29,'Stress Test Inputs'!$N$17:$N$29),$B221)</f>
        <v>6.5000000000000002E-2</v>
      </c>
      <c r="C222" s="101">
        <f t="shared" si="17"/>
        <v>220</v>
      </c>
      <c r="D222" s="99">
        <f t="shared" si="19"/>
        <v>0</v>
      </c>
      <c r="E222" s="99">
        <f>IF(OR(D222&lt;=0,C222&gt;'Stress Test Inputs'!$B$23*12),0,IF(AND(C222='Stress Test Inputs'!$B$23*12,'Stress Test Inputs'!$E$23&gt;'Stress Test Inputs'!$B$23),D222+D222*B222/12,IF('Stress Test Inputs'!$C$23="FRM",-PMT($B$3/12,'Stress Test Inputs'!$E$23*12,$D$3),IF($A222,-PMT(B222/12,('Stress Test Inputs'!$E$23*12)-C222+1,D222),E221))))</f>
        <v>0</v>
      </c>
      <c r="F222" s="99">
        <f t="shared" si="16"/>
        <v>0</v>
      </c>
      <c r="G222" s="99">
        <f>IF(C222&gt;'Stress Test Inputs'!$B$23*12,0,D222*B222/12)</f>
        <v>0</v>
      </c>
      <c r="H222" s="99">
        <f t="shared" si="15"/>
        <v>0</v>
      </c>
      <c r="I222" s="99">
        <f t="shared" si="18"/>
        <v>0</v>
      </c>
      <c r="J222" s="98"/>
    </row>
    <row r="223" spans="1:10" x14ac:dyDescent="0.25">
      <c r="A223" s="77" t="b">
        <f>IF(('Stress Test Inputs'!$C$23)="FRM", FALSE, ISNUMBER(MATCH(C223,'Stress Test Inputs'!$M$18:$M$30,0)))</f>
        <v>0</v>
      </c>
      <c r="B223" s="103">
        <f>IF($A223, _xlfn.XLOOKUP(C223,'Stress Test Inputs'!$M$17:$M$29,'Stress Test Inputs'!$N$17:$N$29),$B222)</f>
        <v>6.5000000000000002E-2</v>
      </c>
      <c r="C223" s="101">
        <f t="shared" si="17"/>
        <v>221</v>
      </c>
      <c r="D223" s="99">
        <f t="shared" si="19"/>
        <v>0</v>
      </c>
      <c r="E223" s="99">
        <f>IF(OR(D223&lt;=0,C223&gt;'Stress Test Inputs'!$B$23*12),0,IF(AND(C223='Stress Test Inputs'!$B$23*12,'Stress Test Inputs'!$E$23&gt;'Stress Test Inputs'!$B$23),D223+D223*B223/12,IF('Stress Test Inputs'!$C$23="FRM",-PMT($B$3/12,'Stress Test Inputs'!$E$23*12,$D$3),IF($A223,-PMT(B223/12,('Stress Test Inputs'!$E$23*12)-C223+1,D223),E222))))</f>
        <v>0</v>
      </c>
      <c r="F223" s="99">
        <f t="shared" si="16"/>
        <v>0</v>
      </c>
      <c r="G223" s="99">
        <f>IF(C223&gt;'Stress Test Inputs'!$B$23*12,0,D223*B223/12)</f>
        <v>0</v>
      </c>
      <c r="H223" s="99">
        <f t="shared" si="15"/>
        <v>0</v>
      </c>
      <c r="I223" s="99">
        <f t="shared" si="18"/>
        <v>0</v>
      </c>
      <c r="J223" s="98"/>
    </row>
    <row r="224" spans="1:10" x14ac:dyDescent="0.25">
      <c r="A224" s="77" t="b">
        <f>IF(('Stress Test Inputs'!$C$23)="FRM", FALSE, ISNUMBER(MATCH(C224,'Stress Test Inputs'!$M$18:$M$30,0)))</f>
        <v>0</v>
      </c>
      <c r="B224" s="103">
        <f>IF($A224, _xlfn.XLOOKUP(C224,'Stress Test Inputs'!$M$17:$M$29,'Stress Test Inputs'!$N$17:$N$29),$B223)</f>
        <v>6.5000000000000002E-2</v>
      </c>
      <c r="C224" s="101">
        <f t="shared" si="17"/>
        <v>222</v>
      </c>
      <c r="D224" s="99">
        <f t="shared" si="19"/>
        <v>0</v>
      </c>
      <c r="E224" s="99">
        <f>IF(OR(D224&lt;=0,C224&gt;'Stress Test Inputs'!$B$23*12),0,IF(AND(C224='Stress Test Inputs'!$B$23*12,'Stress Test Inputs'!$E$23&gt;'Stress Test Inputs'!$B$23),D224+D224*B224/12,IF('Stress Test Inputs'!$C$23="FRM",-PMT($B$3/12,'Stress Test Inputs'!$E$23*12,$D$3),IF($A224,-PMT(B224/12,('Stress Test Inputs'!$E$23*12)-C224+1,D224),E223))))</f>
        <v>0</v>
      </c>
      <c r="F224" s="99">
        <f t="shared" si="16"/>
        <v>0</v>
      </c>
      <c r="G224" s="99">
        <f>IF(C224&gt;'Stress Test Inputs'!$B$23*12,0,D224*B224/12)</f>
        <v>0</v>
      </c>
      <c r="H224" s="99">
        <f t="shared" si="15"/>
        <v>0</v>
      </c>
      <c r="I224" s="99">
        <f t="shared" si="18"/>
        <v>0</v>
      </c>
      <c r="J224" s="98"/>
    </row>
    <row r="225" spans="1:10" x14ac:dyDescent="0.25">
      <c r="A225" s="77" t="b">
        <f>IF(('Stress Test Inputs'!$C$23)="FRM", FALSE, ISNUMBER(MATCH(C225,'Stress Test Inputs'!$M$18:$M$30,0)))</f>
        <v>0</v>
      </c>
      <c r="B225" s="103">
        <f>IF($A225, _xlfn.XLOOKUP(C225,'Stress Test Inputs'!$M$17:$M$29,'Stress Test Inputs'!$N$17:$N$29),$B224)</f>
        <v>6.5000000000000002E-2</v>
      </c>
      <c r="C225" s="101">
        <f t="shared" si="17"/>
        <v>223</v>
      </c>
      <c r="D225" s="99">
        <f t="shared" si="19"/>
        <v>0</v>
      </c>
      <c r="E225" s="99">
        <f>IF(OR(D225&lt;=0,C225&gt;'Stress Test Inputs'!$B$23*12),0,IF(AND(C225='Stress Test Inputs'!$B$23*12,'Stress Test Inputs'!$E$23&gt;'Stress Test Inputs'!$B$23),D225+D225*B225/12,IF('Stress Test Inputs'!$C$23="FRM",-PMT($B$3/12,'Stress Test Inputs'!$E$23*12,$D$3),IF($A225,-PMT(B225/12,('Stress Test Inputs'!$E$23*12)-C225+1,D225),E224))))</f>
        <v>0</v>
      </c>
      <c r="F225" s="99">
        <f t="shared" si="16"/>
        <v>0</v>
      </c>
      <c r="G225" s="99">
        <f>IF(C225&gt;'Stress Test Inputs'!$B$23*12,0,D225*B225/12)</f>
        <v>0</v>
      </c>
      <c r="H225" s="99">
        <f t="shared" si="15"/>
        <v>0</v>
      </c>
      <c r="I225" s="99">
        <f t="shared" si="18"/>
        <v>0</v>
      </c>
      <c r="J225" s="98"/>
    </row>
    <row r="226" spans="1:10" x14ac:dyDescent="0.25">
      <c r="A226" s="77" t="b">
        <f>IF(('Stress Test Inputs'!$C$23)="FRM", FALSE, ISNUMBER(MATCH(C226,'Stress Test Inputs'!$M$18:$M$30,0)))</f>
        <v>0</v>
      </c>
      <c r="B226" s="103">
        <f>IF($A226, _xlfn.XLOOKUP(C226,'Stress Test Inputs'!$M$17:$M$29,'Stress Test Inputs'!$N$17:$N$29),$B225)</f>
        <v>6.5000000000000002E-2</v>
      </c>
      <c r="C226" s="101">
        <f t="shared" si="17"/>
        <v>224</v>
      </c>
      <c r="D226" s="99">
        <f t="shared" si="19"/>
        <v>0</v>
      </c>
      <c r="E226" s="99">
        <f>IF(OR(D226&lt;=0,C226&gt;'Stress Test Inputs'!$B$23*12),0,IF(AND(C226='Stress Test Inputs'!$B$23*12,'Stress Test Inputs'!$E$23&gt;'Stress Test Inputs'!$B$23),D226+D226*B226/12,IF('Stress Test Inputs'!$C$23="FRM",-PMT($B$3/12,'Stress Test Inputs'!$E$23*12,$D$3),IF($A226,-PMT(B226/12,('Stress Test Inputs'!$E$23*12)-C226+1,D226),E225))))</f>
        <v>0</v>
      </c>
      <c r="F226" s="99">
        <f t="shared" si="16"/>
        <v>0</v>
      </c>
      <c r="G226" s="99">
        <f>IF(C226&gt;'Stress Test Inputs'!$B$23*12,0,D226*B226/12)</f>
        <v>0</v>
      </c>
      <c r="H226" s="99">
        <f t="shared" si="15"/>
        <v>0</v>
      </c>
      <c r="I226" s="99">
        <f t="shared" si="18"/>
        <v>0</v>
      </c>
      <c r="J226" s="98"/>
    </row>
    <row r="227" spans="1:10" x14ac:dyDescent="0.25">
      <c r="A227" s="77" t="b">
        <f>IF(('Stress Test Inputs'!$C$23)="FRM", FALSE, ISNUMBER(MATCH(C227,'Stress Test Inputs'!$M$18:$M$30,0)))</f>
        <v>0</v>
      </c>
      <c r="B227" s="103">
        <f>IF($A227, _xlfn.XLOOKUP(C227,'Stress Test Inputs'!$M$17:$M$29,'Stress Test Inputs'!$N$17:$N$29),$B226)</f>
        <v>6.5000000000000002E-2</v>
      </c>
      <c r="C227" s="101">
        <f t="shared" si="17"/>
        <v>225</v>
      </c>
      <c r="D227" s="99">
        <f t="shared" si="19"/>
        <v>0</v>
      </c>
      <c r="E227" s="99">
        <f>IF(OR(D227&lt;=0,C227&gt;'Stress Test Inputs'!$B$23*12),0,IF(AND(C227='Stress Test Inputs'!$B$23*12,'Stress Test Inputs'!$E$23&gt;'Stress Test Inputs'!$B$23),D227+D227*B227/12,IF('Stress Test Inputs'!$C$23="FRM",-PMT($B$3/12,'Stress Test Inputs'!$E$23*12,$D$3),IF($A227,-PMT(B227/12,('Stress Test Inputs'!$E$23*12)-C227+1,D227),E226))))</f>
        <v>0</v>
      </c>
      <c r="F227" s="99">
        <f t="shared" si="16"/>
        <v>0</v>
      </c>
      <c r="G227" s="99">
        <f>IF(C227&gt;'Stress Test Inputs'!$B$23*12,0,D227*B227/12)</f>
        <v>0</v>
      </c>
      <c r="H227" s="99">
        <f t="shared" si="15"/>
        <v>0</v>
      </c>
      <c r="I227" s="99">
        <f t="shared" si="18"/>
        <v>0</v>
      </c>
      <c r="J227" s="98"/>
    </row>
    <row r="228" spans="1:10" x14ac:dyDescent="0.25">
      <c r="A228" s="77" t="b">
        <f>IF(('Stress Test Inputs'!$C$23)="FRM", FALSE, ISNUMBER(MATCH(C228,'Stress Test Inputs'!$M$18:$M$30,0)))</f>
        <v>0</v>
      </c>
      <c r="B228" s="103">
        <f>IF($A228, _xlfn.XLOOKUP(C228,'Stress Test Inputs'!$M$17:$M$29,'Stress Test Inputs'!$N$17:$N$29),$B227)</f>
        <v>6.5000000000000002E-2</v>
      </c>
      <c r="C228" s="101">
        <f t="shared" si="17"/>
        <v>226</v>
      </c>
      <c r="D228" s="99">
        <f t="shared" si="19"/>
        <v>0</v>
      </c>
      <c r="E228" s="99">
        <f>IF(OR(D228&lt;=0,C228&gt;'Stress Test Inputs'!$B$23*12),0,IF(AND(C228='Stress Test Inputs'!$B$23*12,'Stress Test Inputs'!$E$23&gt;'Stress Test Inputs'!$B$23),D228+D228*B228/12,IF('Stress Test Inputs'!$C$23="FRM",-PMT($B$3/12,'Stress Test Inputs'!$E$23*12,$D$3),IF($A228,-PMT(B228/12,('Stress Test Inputs'!$E$23*12)-C228+1,D228),E227))))</f>
        <v>0</v>
      </c>
      <c r="F228" s="99">
        <f t="shared" si="16"/>
        <v>0</v>
      </c>
      <c r="G228" s="99">
        <f>IF(C228&gt;'Stress Test Inputs'!$B$23*12,0,D228*B228/12)</f>
        <v>0</v>
      </c>
      <c r="H228" s="99">
        <f t="shared" si="15"/>
        <v>0</v>
      </c>
      <c r="I228" s="99">
        <f t="shared" si="18"/>
        <v>0</v>
      </c>
      <c r="J228" s="98"/>
    </row>
    <row r="229" spans="1:10" x14ac:dyDescent="0.25">
      <c r="A229" s="77" t="b">
        <f>IF(('Stress Test Inputs'!$C$23)="FRM", FALSE, ISNUMBER(MATCH(C229,'Stress Test Inputs'!$M$18:$M$30,0)))</f>
        <v>0</v>
      </c>
      <c r="B229" s="103">
        <f>IF($A229, _xlfn.XLOOKUP(C229,'Stress Test Inputs'!$M$17:$M$29,'Stress Test Inputs'!$N$17:$N$29),$B228)</f>
        <v>6.5000000000000002E-2</v>
      </c>
      <c r="C229" s="101">
        <f t="shared" si="17"/>
        <v>227</v>
      </c>
      <c r="D229" s="99">
        <f t="shared" si="19"/>
        <v>0</v>
      </c>
      <c r="E229" s="99">
        <f>IF(OR(D229&lt;=0,C229&gt;'Stress Test Inputs'!$B$23*12),0,IF(AND(C229='Stress Test Inputs'!$B$23*12,'Stress Test Inputs'!$E$23&gt;'Stress Test Inputs'!$B$23),D229+D229*B229/12,IF('Stress Test Inputs'!$C$23="FRM",-PMT($B$3/12,'Stress Test Inputs'!$E$23*12,$D$3),IF($A229,-PMT(B229/12,('Stress Test Inputs'!$E$23*12)-C229+1,D229),E228))))</f>
        <v>0</v>
      </c>
      <c r="F229" s="99">
        <f t="shared" si="16"/>
        <v>0</v>
      </c>
      <c r="G229" s="99">
        <f>IF(C229&gt;'Stress Test Inputs'!$B$23*12,0,D229*B229/12)</f>
        <v>0</v>
      </c>
      <c r="H229" s="99">
        <f t="shared" si="15"/>
        <v>0</v>
      </c>
      <c r="I229" s="99">
        <f t="shared" si="18"/>
        <v>0</v>
      </c>
      <c r="J229" s="98"/>
    </row>
    <row r="230" spans="1:10" x14ac:dyDescent="0.25">
      <c r="A230" s="77" t="b">
        <f>IF(('Stress Test Inputs'!$C$23)="FRM", FALSE, ISNUMBER(MATCH(C230,'Stress Test Inputs'!$M$18:$M$30,0)))</f>
        <v>0</v>
      </c>
      <c r="B230" s="103">
        <f>IF($A230, _xlfn.XLOOKUP(C230,'Stress Test Inputs'!$M$17:$M$29,'Stress Test Inputs'!$N$17:$N$29),$B229)</f>
        <v>6.5000000000000002E-2</v>
      </c>
      <c r="C230" s="101">
        <f t="shared" si="17"/>
        <v>228</v>
      </c>
      <c r="D230" s="99">
        <f t="shared" si="19"/>
        <v>0</v>
      </c>
      <c r="E230" s="99">
        <f>IF(OR(D230&lt;=0,C230&gt;'Stress Test Inputs'!$B$23*12),0,IF(AND(C230='Stress Test Inputs'!$B$23*12,'Stress Test Inputs'!$E$23&gt;'Stress Test Inputs'!$B$23),D230+D230*B230/12,IF('Stress Test Inputs'!$C$23="FRM",-PMT($B$3/12,'Stress Test Inputs'!$E$23*12,$D$3),IF($A230,-PMT(B230/12,('Stress Test Inputs'!$E$23*12)-C230+1,D230),E229))))</f>
        <v>0</v>
      </c>
      <c r="F230" s="99">
        <f t="shared" si="16"/>
        <v>0</v>
      </c>
      <c r="G230" s="99">
        <f>IF(C230&gt;'Stress Test Inputs'!$B$23*12,0,D230*B230/12)</f>
        <v>0</v>
      </c>
      <c r="H230" s="99">
        <f t="shared" si="15"/>
        <v>0</v>
      </c>
      <c r="I230" s="99">
        <f t="shared" si="18"/>
        <v>0</v>
      </c>
      <c r="J230" s="98"/>
    </row>
    <row r="231" spans="1:10" x14ac:dyDescent="0.25">
      <c r="A231" s="77" t="b">
        <f>IF(('Stress Test Inputs'!$C$23)="FRM", FALSE, ISNUMBER(MATCH(C231,'Stress Test Inputs'!$M$18:$M$30,0)))</f>
        <v>0</v>
      </c>
      <c r="B231" s="103">
        <f>IF($A231, _xlfn.XLOOKUP(C231,'Stress Test Inputs'!$M$17:$M$29,'Stress Test Inputs'!$N$17:$N$29),$B230)</f>
        <v>6.5000000000000002E-2</v>
      </c>
      <c r="C231" s="101">
        <f t="shared" si="17"/>
        <v>229</v>
      </c>
      <c r="D231" s="99">
        <f t="shared" si="19"/>
        <v>0</v>
      </c>
      <c r="E231" s="99">
        <f>IF(OR(D231&lt;=0,C231&gt;'Stress Test Inputs'!$B$23*12),0,IF(AND(C231='Stress Test Inputs'!$B$23*12,'Stress Test Inputs'!$E$23&gt;'Stress Test Inputs'!$B$23),D231+D231*B231/12,IF('Stress Test Inputs'!$C$23="FRM",-PMT($B$3/12,'Stress Test Inputs'!$E$23*12,$D$3),IF($A231,-PMT(B231/12,('Stress Test Inputs'!$E$23*12)-C231+1,D231),E230))))</f>
        <v>0</v>
      </c>
      <c r="F231" s="99">
        <f t="shared" si="16"/>
        <v>0</v>
      </c>
      <c r="G231" s="99">
        <f>IF(C231&gt;'Stress Test Inputs'!$B$23*12,0,D231*B231/12)</f>
        <v>0</v>
      </c>
      <c r="H231" s="99">
        <f t="shared" si="15"/>
        <v>0</v>
      </c>
      <c r="I231" s="99">
        <f t="shared" si="18"/>
        <v>0</v>
      </c>
      <c r="J231" s="98"/>
    </row>
    <row r="232" spans="1:10" x14ac:dyDescent="0.25">
      <c r="A232" s="77" t="b">
        <f>IF(('Stress Test Inputs'!$C$23)="FRM", FALSE, ISNUMBER(MATCH(C232,'Stress Test Inputs'!$M$18:$M$30,0)))</f>
        <v>0</v>
      </c>
      <c r="B232" s="103">
        <f>IF($A232, _xlfn.XLOOKUP(C232,'Stress Test Inputs'!$M$17:$M$29,'Stress Test Inputs'!$N$17:$N$29),$B231)</f>
        <v>6.5000000000000002E-2</v>
      </c>
      <c r="C232" s="101">
        <f t="shared" si="17"/>
        <v>230</v>
      </c>
      <c r="D232" s="99">
        <f t="shared" si="19"/>
        <v>0</v>
      </c>
      <c r="E232" s="99">
        <f>IF(OR(D232&lt;=0,C232&gt;'Stress Test Inputs'!$B$23*12),0,IF(AND(C232='Stress Test Inputs'!$B$23*12,'Stress Test Inputs'!$E$23&gt;'Stress Test Inputs'!$B$23),D232+D232*B232/12,IF('Stress Test Inputs'!$C$23="FRM",-PMT($B$3/12,'Stress Test Inputs'!$E$23*12,$D$3),IF($A232,-PMT(B232/12,('Stress Test Inputs'!$E$23*12)-C232+1,D232),E231))))</f>
        <v>0</v>
      </c>
      <c r="F232" s="99">
        <f t="shared" si="16"/>
        <v>0</v>
      </c>
      <c r="G232" s="99">
        <f>IF(C232&gt;'Stress Test Inputs'!$B$23*12,0,D232*B232/12)</f>
        <v>0</v>
      </c>
      <c r="H232" s="99">
        <f t="shared" si="15"/>
        <v>0</v>
      </c>
      <c r="I232" s="99">
        <f t="shared" si="18"/>
        <v>0</v>
      </c>
      <c r="J232" s="98"/>
    </row>
    <row r="233" spans="1:10" x14ac:dyDescent="0.25">
      <c r="A233" s="77" t="b">
        <f>IF(('Stress Test Inputs'!$C$23)="FRM", FALSE, ISNUMBER(MATCH(C233,'Stress Test Inputs'!$M$18:$M$30,0)))</f>
        <v>0</v>
      </c>
      <c r="B233" s="103">
        <f>IF($A233, _xlfn.XLOOKUP(C233,'Stress Test Inputs'!$M$17:$M$29,'Stress Test Inputs'!$N$17:$N$29),$B232)</f>
        <v>6.5000000000000002E-2</v>
      </c>
      <c r="C233" s="101">
        <f t="shared" si="17"/>
        <v>231</v>
      </c>
      <c r="D233" s="99">
        <f t="shared" si="19"/>
        <v>0</v>
      </c>
      <c r="E233" s="99">
        <f>IF(OR(D233&lt;=0,C233&gt;'Stress Test Inputs'!$B$23*12),0,IF(AND(C233='Stress Test Inputs'!$B$23*12,'Stress Test Inputs'!$E$23&gt;'Stress Test Inputs'!$B$23),D233+D233*B233/12,IF('Stress Test Inputs'!$C$23="FRM",-PMT($B$3/12,'Stress Test Inputs'!$E$23*12,$D$3),IF($A233,-PMT(B233/12,('Stress Test Inputs'!$E$23*12)-C233+1,D233),E232))))</f>
        <v>0</v>
      </c>
      <c r="F233" s="99">
        <f t="shared" si="16"/>
        <v>0</v>
      </c>
      <c r="G233" s="99">
        <f>IF(C233&gt;'Stress Test Inputs'!$B$23*12,0,D233*B233/12)</f>
        <v>0</v>
      </c>
      <c r="H233" s="99">
        <f t="shared" si="15"/>
        <v>0</v>
      </c>
      <c r="I233" s="99">
        <f t="shared" si="18"/>
        <v>0</v>
      </c>
      <c r="J233" s="98"/>
    </row>
    <row r="234" spans="1:10" x14ac:dyDescent="0.25">
      <c r="A234" s="77" t="b">
        <f>IF(('Stress Test Inputs'!$C$23)="FRM", FALSE, ISNUMBER(MATCH(C234,'Stress Test Inputs'!$M$18:$M$30,0)))</f>
        <v>0</v>
      </c>
      <c r="B234" s="103">
        <f>IF($A234, _xlfn.XLOOKUP(C234,'Stress Test Inputs'!$M$17:$M$29,'Stress Test Inputs'!$N$17:$N$29),$B233)</f>
        <v>6.5000000000000002E-2</v>
      </c>
      <c r="C234" s="101">
        <f t="shared" si="17"/>
        <v>232</v>
      </c>
      <c r="D234" s="99">
        <f t="shared" si="19"/>
        <v>0</v>
      </c>
      <c r="E234" s="99">
        <f>IF(OR(D234&lt;=0,C234&gt;'Stress Test Inputs'!$B$23*12),0,IF(AND(C234='Stress Test Inputs'!$B$23*12,'Stress Test Inputs'!$E$23&gt;'Stress Test Inputs'!$B$23),D234+D234*B234/12,IF('Stress Test Inputs'!$C$23="FRM",-PMT($B$3/12,'Stress Test Inputs'!$E$23*12,$D$3),IF($A234,-PMT(B234/12,('Stress Test Inputs'!$E$23*12)-C234+1,D234),E233))))</f>
        <v>0</v>
      </c>
      <c r="F234" s="99">
        <f t="shared" si="16"/>
        <v>0</v>
      </c>
      <c r="G234" s="99">
        <f>IF(C234&gt;'Stress Test Inputs'!$B$23*12,0,D234*B234/12)</f>
        <v>0</v>
      </c>
      <c r="H234" s="99">
        <f t="shared" si="15"/>
        <v>0</v>
      </c>
      <c r="I234" s="99">
        <f t="shared" si="18"/>
        <v>0</v>
      </c>
      <c r="J234" s="98"/>
    </row>
    <row r="235" spans="1:10" x14ac:dyDescent="0.25">
      <c r="A235" s="77" t="b">
        <f>IF(('Stress Test Inputs'!$C$23)="FRM", FALSE, ISNUMBER(MATCH(C235,'Stress Test Inputs'!$M$18:$M$30,0)))</f>
        <v>0</v>
      </c>
      <c r="B235" s="103">
        <f>IF($A235, _xlfn.XLOOKUP(C235,'Stress Test Inputs'!$M$17:$M$29,'Stress Test Inputs'!$N$17:$N$29),$B234)</f>
        <v>6.5000000000000002E-2</v>
      </c>
      <c r="C235" s="101">
        <f t="shared" si="17"/>
        <v>233</v>
      </c>
      <c r="D235" s="99">
        <f t="shared" si="19"/>
        <v>0</v>
      </c>
      <c r="E235" s="99">
        <f>IF(OR(D235&lt;=0,C235&gt;'Stress Test Inputs'!$B$23*12),0,IF(AND(C235='Stress Test Inputs'!$B$23*12,'Stress Test Inputs'!$E$23&gt;'Stress Test Inputs'!$B$23),D235+D235*B235/12,IF('Stress Test Inputs'!$C$23="FRM",-PMT($B$3/12,'Stress Test Inputs'!$E$23*12,$D$3),IF($A235,-PMT(B235/12,('Stress Test Inputs'!$E$23*12)-C235+1,D235),E234))))</f>
        <v>0</v>
      </c>
      <c r="F235" s="99">
        <f t="shared" si="16"/>
        <v>0</v>
      </c>
      <c r="G235" s="99">
        <f>IF(C235&gt;'Stress Test Inputs'!$B$23*12,0,D235*B235/12)</f>
        <v>0</v>
      </c>
      <c r="H235" s="99">
        <f t="shared" si="15"/>
        <v>0</v>
      </c>
      <c r="I235" s="99">
        <f t="shared" si="18"/>
        <v>0</v>
      </c>
      <c r="J235" s="98"/>
    </row>
    <row r="236" spans="1:10" x14ac:dyDescent="0.25">
      <c r="A236" s="77" t="b">
        <f>IF(('Stress Test Inputs'!$C$23)="FRM", FALSE, ISNUMBER(MATCH(C236,'Stress Test Inputs'!$M$18:$M$30,0)))</f>
        <v>0</v>
      </c>
      <c r="B236" s="103">
        <f>IF($A236, _xlfn.XLOOKUP(C236,'Stress Test Inputs'!$M$17:$M$29,'Stress Test Inputs'!$N$17:$N$29),$B235)</f>
        <v>6.5000000000000002E-2</v>
      </c>
      <c r="C236" s="101">
        <f t="shared" si="17"/>
        <v>234</v>
      </c>
      <c r="D236" s="99">
        <f t="shared" si="19"/>
        <v>0</v>
      </c>
      <c r="E236" s="99">
        <f>IF(OR(D236&lt;=0,C236&gt;'Stress Test Inputs'!$B$23*12),0,IF(AND(C236='Stress Test Inputs'!$B$23*12,'Stress Test Inputs'!$E$23&gt;'Stress Test Inputs'!$B$23),D236+D236*B236/12,IF('Stress Test Inputs'!$C$23="FRM",-PMT($B$3/12,'Stress Test Inputs'!$E$23*12,$D$3),IF($A236,-PMT(B236/12,('Stress Test Inputs'!$E$23*12)-C236+1,D236),E235))))</f>
        <v>0</v>
      </c>
      <c r="F236" s="99">
        <f t="shared" si="16"/>
        <v>0</v>
      </c>
      <c r="G236" s="99">
        <f>IF(C236&gt;'Stress Test Inputs'!$B$23*12,0,D236*B236/12)</f>
        <v>0</v>
      </c>
      <c r="H236" s="99">
        <f t="shared" si="15"/>
        <v>0</v>
      </c>
      <c r="I236" s="99">
        <f t="shared" si="18"/>
        <v>0</v>
      </c>
      <c r="J236" s="98"/>
    </row>
    <row r="237" spans="1:10" x14ac:dyDescent="0.25">
      <c r="A237" s="77" t="b">
        <f>IF(('Stress Test Inputs'!$C$23)="FRM", FALSE, ISNUMBER(MATCH(C237,'Stress Test Inputs'!$M$18:$M$30,0)))</f>
        <v>0</v>
      </c>
      <c r="B237" s="103">
        <f>IF($A237, _xlfn.XLOOKUP(C237,'Stress Test Inputs'!$M$17:$M$29,'Stress Test Inputs'!$N$17:$N$29),$B236)</f>
        <v>6.5000000000000002E-2</v>
      </c>
      <c r="C237" s="101">
        <f t="shared" si="17"/>
        <v>235</v>
      </c>
      <c r="D237" s="99">
        <f t="shared" si="19"/>
        <v>0</v>
      </c>
      <c r="E237" s="99">
        <f>IF(OR(D237&lt;=0,C237&gt;'Stress Test Inputs'!$B$23*12),0,IF(AND(C237='Stress Test Inputs'!$B$23*12,'Stress Test Inputs'!$E$23&gt;'Stress Test Inputs'!$B$23),D237+D237*B237/12,IF('Stress Test Inputs'!$C$23="FRM",-PMT($B$3/12,'Stress Test Inputs'!$E$23*12,$D$3),IF($A237,-PMT(B237/12,('Stress Test Inputs'!$E$23*12)-C237+1,D237),E236))))</f>
        <v>0</v>
      </c>
      <c r="F237" s="99">
        <f t="shared" si="16"/>
        <v>0</v>
      </c>
      <c r="G237" s="99">
        <f>IF(C237&gt;'Stress Test Inputs'!$B$23*12,0,D237*B237/12)</f>
        <v>0</v>
      </c>
      <c r="H237" s="99">
        <f t="shared" si="15"/>
        <v>0</v>
      </c>
      <c r="I237" s="99">
        <f t="shared" si="18"/>
        <v>0</v>
      </c>
      <c r="J237" s="98"/>
    </row>
    <row r="238" spans="1:10" x14ac:dyDescent="0.25">
      <c r="A238" s="77" t="b">
        <f>IF(('Stress Test Inputs'!$C$23)="FRM", FALSE, ISNUMBER(MATCH(C238,'Stress Test Inputs'!$M$18:$M$30,0)))</f>
        <v>0</v>
      </c>
      <c r="B238" s="103">
        <f>IF($A238, _xlfn.XLOOKUP(C238,'Stress Test Inputs'!$M$17:$M$29,'Stress Test Inputs'!$N$17:$N$29),$B237)</f>
        <v>6.5000000000000002E-2</v>
      </c>
      <c r="C238" s="101">
        <f t="shared" si="17"/>
        <v>236</v>
      </c>
      <c r="D238" s="99">
        <f t="shared" si="19"/>
        <v>0</v>
      </c>
      <c r="E238" s="99">
        <f>IF(OR(D238&lt;=0,C238&gt;'Stress Test Inputs'!$B$23*12),0,IF(AND(C238='Stress Test Inputs'!$B$23*12,'Stress Test Inputs'!$E$23&gt;'Stress Test Inputs'!$B$23),D238+D238*B238/12,IF('Stress Test Inputs'!$C$23="FRM",-PMT($B$3/12,'Stress Test Inputs'!$E$23*12,$D$3),IF($A238,-PMT(B238/12,('Stress Test Inputs'!$E$23*12)-C238+1,D238),E237))))</f>
        <v>0</v>
      </c>
      <c r="F238" s="99">
        <f t="shared" si="16"/>
        <v>0</v>
      </c>
      <c r="G238" s="99">
        <f>IF(C238&gt;'Stress Test Inputs'!$B$23*12,0,D238*B238/12)</f>
        <v>0</v>
      </c>
      <c r="H238" s="99">
        <f t="shared" si="15"/>
        <v>0</v>
      </c>
      <c r="I238" s="99">
        <f t="shared" si="18"/>
        <v>0</v>
      </c>
      <c r="J238" s="98"/>
    </row>
    <row r="239" spans="1:10" x14ac:dyDescent="0.25">
      <c r="A239" s="77" t="b">
        <f>IF(('Stress Test Inputs'!$C$23)="FRM", FALSE, ISNUMBER(MATCH(C239,'Stress Test Inputs'!$M$18:$M$30,0)))</f>
        <v>0</v>
      </c>
      <c r="B239" s="103">
        <f>IF($A239, _xlfn.XLOOKUP(C239,'Stress Test Inputs'!$M$17:$M$29,'Stress Test Inputs'!$N$17:$N$29),$B238)</f>
        <v>6.5000000000000002E-2</v>
      </c>
      <c r="C239" s="101">
        <f t="shared" si="17"/>
        <v>237</v>
      </c>
      <c r="D239" s="99">
        <f t="shared" si="19"/>
        <v>0</v>
      </c>
      <c r="E239" s="99">
        <f>IF(OR(D239&lt;=0,C239&gt;'Stress Test Inputs'!$B$23*12),0,IF(AND(C239='Stress Test Inputs'!$B$23*12,'Stress Test Inputs'!$E$23&gt;'Stress Test Inputs'!$B$23),D239+D239*B239/12,IF('Stress Test Inputs'!$C$23="FRM",-PMT($B$3/12,'Stress Test Inputs'!$E$23*12,$D$3),IF($A239,-PMT(B239/12,('Stress Test Inputs'!$E$23*12)-C239+1,D239),E238))))</f>
        <v>0</v>
      </c>
      <c r="F239" s="99">
        <f t="shared" si="16"/>
        <v>0</v>
      </c>
      <c r="G239" s="99">
        <f>IF(C239&gt;'Stress Test Inputs'!$B$23*12,0,D239*B239/12)</f>
        <v>0</v>
      </c>
      <c r="H239" s="99">
        <f t="shared" si="15"/>
        <v>0</v>
      </c>
      <c r="I239" s="99">
        <f t="shared" si="18"/>
        <v>0</v>
      </c>
      <c r="J239" s="98"/>
    </row>
    <row r="240" spans="1:10" x14ac:dyDescent="0.25">
      <c r="A240" s="77" t="b">
        <f>IF(('Stress Test Inputs'!$C$23)="FRM", FALSE, ISNUMBER(MATCH(C240,'Stress Test Inputs'!$M$18:$M$30,0)))</f>
        <v>0</v>
      </c>
      <c r="B240" s="103">
        <f>IF($A240, _xlfn.XLOOKUP(C240,'Stress Test Inputs'!$M$17:$M$29,'Stress Test Inputs'!$N$17:$N$29),$B239)</f>
        <v>6.5000000000000002E-2</v>
      </c>
      <c r="C240" s="101">
        <f t="shared" si="17"/>
        <v>238</v>
      </c>
      <c r="D240" s="99">
        <f t="shared" si="19"/>
        <v>0</v>
      </c>
      <c r="E240" s="99">
        <f>IF(OR(D240&lt;=0,C240&gt;'Stress Test Inputs'!$B$23*12),0,IF(AND(C240='Stress Test Inputs'!$B$23*12,'Stress Test Inputs'!$E$23&gt;'Stress Test Inputs'!$B$23),D240+D240*B240/12,IF('Stress Test Inputs'!$C$23="FRM",-PMT($B$3/12,'Stress Test Inputs'!$E$23*12,$D$3),IF($A240,-PMT(B240/12,('Stress Test Inputs'!$E$23*12)-C240+1,D240),E239))))</f>
        <v>0</v>
      </c>
      <c r="F240" s="99">
        <f t="shared" si="16"/>
        <v>0</v>
      </c>
      <c r="G240" s="99">
        <f>IF(C240&gt;'Stress Test Inputs'!$B$23*12,0,D240*B240/12)</f>
        <v>0</v>
      </c>
      <c r="H240" s="99">
        <f t="shared" si="15"/>
        <v>0</v>
      </c>
      <c r="I240" s="99">
        <f t="shared" si="18"/>
        <v>0</v>
      </c>
      <c r="J240" s="98"/>
    </row>
    <row r="241" spans="1:10" x14ac:dyDescent="0.25">
      <c r="A241" s="77" t="b">
        <f>IF(('Stress Test Inputs'!$C$23)="FRM", FALSE, ISNUMBER(MATCH(C241,'Stress Test Inputs'!$M$18:$M$30,0)))</f>
        <v>0</v>
      </c>
      <c r="B241" s="103">
        <f>IF($A241, _xlfn.XLOOKUP(C241,'Stress Test Inputs'!$M$17:$M$29,'Stress Test Inputs'!$N$17:$N$29),$B240)</f>
        <v>6.5000000000000002E-2</v>
      </c>
      <c r="C241" s="101">
        <f t="shared" si="17"/>
        <v>239</v>
      </c>
      <c r="D241" s="99">
        <f t="shared" si="19"/>
        <v>0</v>
      </c>
      <c r="E241" s="99">
        <f>IF(OR(D241&lt;=0,C241&gt;'Stress Test Inputs'!$B$23*12),0,IF(AND(C241='Stress Test Inputs'!$B$23*12,'Stress Test Inputs'!$E$23&gt;'Stress Test Inputs'!$B$23),D241+D241*B241/12,IF('Stress Test Inputs'!$C$23="FRM",-PMT($B$3/12,'Stress Test Inputs'!$E$23*12,$D$3),IF($A241,-PMT(B241/12,('Stress Test Inputs'!$E$23*12)-C241+1,D241),E240))))</f>
        <v>0</v>
      </c>
      <c r="F241" s="99">
        <f t="shared" si="16"/>
        <v>0</v>
      </c>
      <c r="G241" s="99">
        <f>IF(C241&gt;'Stress Test Inputs'!$B$23*12,0,D241*B241/12)</f>
        <v>0</v>
      </c>
      <c r="H241" s="99">
        <f t="shared" si="15"/>
        <v>0</v>
      </c>
      <c r="I241" s="99">
        <f t="shared" si="18"/>
        <v>0</v>
      </c>
      <c r="J241" s="98"/>
    </row>
    <row r="242" spans="1:10" x14ac:dyDescent="0.25">
      <c r="A242" s="77" t="b">
        <f>IF(('Stress Test Inputs'!$C$23)="FRM", FALSE, ISNUMBER(MATCH(C242,'Stress Test Inputs'!$M$18:$M$30,0)))</f>
        <v>0</v>
      </c>
      <c r="B242" s="103">
        <f>IF($A242, _xlfn.XLOOKUP(C242,'Stress Test Inputs'!$M$17:$M$29,'Stress Test Inputs'!$N$17:$N$29),$B241)</f>
        <v>6.5000000000000002E-2</v>
      </c>
      <c r="C242" s="101">
        <f t="shared" si="17"/>
        <v>240</v>
      </c>
      <c r="D242" s="99">
        <f t="shared" si="19"/>
        <v>0</v>
      </c>
      <c r="E242" s="99">
        <f>IF(OR(D242&lt;=0,C242&gt;'Stress Test Inputs'!$B$23*12),0,IF(AND(C242='Stress Test Inputs'!$B$23*12,'Stress Test Inputs'!$E$23&gt;'Stress Test Inputs'!$B$23),D242+D242*B242/12,IF('Stress Test Inputs'!$C$23="FRM",-PMT($B$3/12,'Stress Test Inputs'!$E$23*12,$D$3),IF($A242,-PMT(B242/12,('Stress Test Inputs'!$E$23*12)-C242+1,D242),E241))))</f>
        <v>0</v>
      </c>
      <c r="F242" s="99">
        <f t="shared" si="16"/>
        <v>0</v>
      </c>
      <c r="G242" s="99">
        <f>IF(C242&gt;'Stress Test Inputs'!$B$23*12,0,D242*B242/12)</f>
        <v>0</v>
      </c>
      <c r="H242" s="99">
        <f t="shared" si="15"/>
        <v>0</v>
      </c>
      <c r="I242" s="99">
        <f t="shared" si="18"/>
        <v>0</v>
      </c>
      <c r="J242" s="98"/>
    </row>
    <row r="243" spans="1:10" x14ac:dyDescent="0.25">
      <c r="A243" s="77" t="b">
        <f>IF(('Stress Test Inputs'!$C$23)="FRM", FALSE, ISNUMBER(MATCH(C243,'Stress Test Inputs'!$M$18:$M$30,0)))</f>
        <v>0</v>
      </c>
      <c r="B243" s="103">
        <f>IF($A243, _xlfn.XLOOKUP(C243,'Stress Test Inputs'!$M$17:$M$29,'Stress Test Inputs'!$N$17:$N$29),$B242)</f>
        <v>6.5000000000000002E-2</v>
      </c>
      <c r="C243" s="101">
        <f t="shared" si="17"/>
        <v>241</v>
      </c>
      <c r="D243" s="99">
        <f t="shared" si="19"/>
        <v>0</v>
      </c>
      <c r="E243" s="99">
        <f>IF(OR(D243&lt;=0,C243&gt;'Stress Test Inputs'!$B$23*12),0,IF(AND(C243='Stress Test Inputs'!$B$23*12,'Stress Test Inputs'!$E$23&gt;'Stress Test Inputs'!$B$23),D243+D243*B243/12,IF('Stress Test Inputs'!$C$23="FRM",-PMT($B$3/12,'Stress Test Inputs'!$E$23*12,$D$3),IF($A243,-PMT(B243/12,('Stress Test Inputs'!$E$23*12)-C243+1,D243),E242))))</f>
        <v>0</v>
      </c>
      <c r="F243" s="99">
        <f t="shared" si="16"/>
        <v>0</v>
      </c>
      <c r="G243" s="99">
        <f>IF(C243&gt;'Stress Test Inputs'!$B$23*12,0,D243*B243/12)</f>
        <v>0</v>
      </c>
      <c r="H243" s="99">
        <f t="shared" si="15"/>
        <v>0</v>
      </c>
      <c r="I243" s="99">
        <f t="shared" si="18"/>
        <v>0</v>
      </c>
      <c r="J243" s="98"/>
    </row>
    <row r="244" spans="1:10" x14ac:dyDescent="0.25">
      <c r="A244" s="77" t="b">
        <f>IF(('Stress Test Inputs'!$C$23)="FRM", FALSE, ISNUMBER(MATCH(C244,'Stress Test Inputs'!$M$18:$M$30,0)))</f>
        <v>0</v>
      </c>
      <c r="B244" s="103">
        <f>IF($A244, _xlfn.XLOOKUP(C244,'Stress Test Inputs'!$M$17:$M$29,'Stress Test Inputs'!$N$17:$N$29),$B243)</f>
        <v>6.5000000000000002E-2</v>
      </c>
      <c r="C244" s="101">
        <f t="shared" si="17"/>
        <v>242</v>
      </c>
      <c r="D244" s="99">
        <f t="shared" si="19"/>
        <v>0</v>
      </c>
      <c r="E244" s="99">
        <f>IF(OR(D244&lt;=0,C244&gt;'Stress Test Inputs'!$B$23*12),0,IF(AND(C244='Stress Test Inputs'!$B$23*12,'Stress Test Inputs'!$E$23&gt;'Stress Test Inputs'!$B$23),D244+D244*B244/12,IF('Stress Test Inputs'!$C$23="FRM",-PMT($B$3/12,'Stress Test Inputs'!$E$23*12,$D$3),IF($A244,-PMT(B244/12,('Stress Test Inputs'!$E$23*12)-C244+1,D244),E243))))</f>
        <v>0</v>
      </c>
      <c r="F244" s="99">
        <f t="shared" si="16"/>
        <v>0</v>
      </c>
      <c r="G244" s="99">
        <f>IF(C244&gt;'Stress Test Inputs'!$B$23*12,0,D244*B244/12)</f>
        <v>0</v>
      </c>
      <c r="H244" s="99">
        <f t="shared" si="15"/>
        <v>0</v>
      </c>
      <c r="I244" s="99">
        <f t="shared" si="18"/>
        <v>0</v>
      </c>
      <c r="J244" s="98"/>
    </row>
    <row r="245" spans="1:10" x14ac:dyDescent="0.25">
      <c r="A245" s="77" t="b">
        <f>IF(('Stress Test Inputs'!$C$23)="FRM", FALSE, ISNUMBER(MATCH(C245,'Stress Test Inputs'!$M$18:$M$30,0)))</f>
        <v>0</v>
      </c>
      <c r="B245" s="103">
        <f>IF($A245, _xlfn.XLOOKUP(C245,'Stress Test Inputs'!$M$17:$M$29,'Stress Test Inputs'!$N$17:$N$29),$B244)</f>
        <v>6.5000000000000002E-2</v>
      </c>
      <c r="C245" s="101">
        <f t="shared" si="17"/>
        <v>243</v>
      </c>
      <c r="D245" s="99">
        <f t="shared" si="19"/>
        <v>0</v>
      </c>
      <c r="E245" s="99">
        <f>IF(OR(D245&lt;=0,C245&gt;'Stress Test Inputs'!$B$23*12),0,IF(AND(C245='Stress Test Inputs'!$B$23*12,'Stress Test Inputs'!$E$23&gt;'Stress Test Inputs'!$B$23),D245+D245*B245/12,IF('Stress Test Inputs'!$C$23="FRM",-PMT($B$3/12,'Stress Test Inputs'!$E$23*12,$D$3),IF($A245,-PMT(B245/12,('Stress Test Inputs'!$E$23*12)-C245+1,D245),E244))))</f>
        <v>0</v>
      </c>
      <c r="F245" s="99">
        <f t="shared" si="16"/>
        <v>0</v>
      </c>
      <c r="G245" s="99">
        <f>IF(C245&gt;'Stress Test Inputs'!$B$23*12,0,D245*B245/12)</f>
        <v>0</v>
      </c>
      <c r="H245" s="99">
        <f t="shared" si="15"/>
        <v>0</v>
      </c>
      <c r="I245" s="99">
        <f t="shared" si="18"/>
        <v>0</v>
      </c>
      <c r="J245" s="98"/>
    </row>
    <row r="246" spans="1:10" x14ac:dyDescent="0.25">
      <c r="A246" s="77" t="b">
        <f>IF(('Stress Test Inputs'!$C$23)="FRM", FALSE, ISNUMBER(MATCH(C246,'Stress Test Inputs'!$M$18:$M$30,0)))</f>
        <v>0</v>
      </c>
      <c r="B246" s="103">
        <f>IF($A246, _xlfn.XLOOKUP(C246,'Stress Test Inputs'!$M$17:$M$29,'Stress Test Inputs'!$N$17:$N$29),$B245)</f>
        <v>6.5000000000000002E-2</v>
      </c>
      <c r="C246" s="101">
        <f t="shared" si="17"/>
        <v>244</v>
      </c>
      <c r="D246" s="99">
        <f t="shared" si="19"/>
        <v>0</v>
      </c>
      <c r="E246" s="99">
        <f>IF(OR(D246&lt;=0,C246&gt;'Stress Test Inputs'!$B$23*12),0,IF(AND(C246='Stress Test Inputs'!$B$23*12,'Stress Test Inputs'!$E$23&gt;'Stress Test Inputs'!$B$23),D246+D246*B246/12,IF('Stress Test Inputs'!$C$23="FRM",-PMT($B$3/12,'Stress Test Inputs'!$E$23*12,$D$3),IF($A246,-PMT(B246/12,('Stress Test Inputs'!$E$23*12)-C246+1,D246),E245))))</f>
        <v>0</v>
      </c>
      <c r="F246" s="99">
        <f t="shared" si="16"/>
        <v>0</v>
      </c>
      <c r="G246" s="99">
        <f>IF(C246&gt;'Stress Test Inputs'!$B$23*12,0,D246*B246/12)</f>
        <v>0</v>
      </c>
      <c r="H246" s="99">
        <f t="shared" si="15"/>
        <v>0</v>
      </c>
      <c r="I246" s="99">
        <f t="shared" si="18"/>
        <v>0</v>
      </c>
      <c r="J246" s="98"/>
    </row>
    <row r="247" spans="1:10" x14ac:dyDescent="0.25">
      <c r="A247" s="77" t="b">
        <f>IF(('Stress Test Inputs'!$C$23)="FRM", FALSE, ISNUMBER(MATCH(C247,'Stress Test Inputs'!$M$18:$M$30,0)))</f>
        <v>0</v>
      </c>
      <c r="B247" s="103">
        <f>IF($A247, _xlfn.XLOOKUP(C247,'Stress Test Inputs'!$M$17:$M$29,'Stress Test Inputs'!$N$17:$N$29),$B246)</f>
        <v>6.5000000000000002E-2</v>
      </c>
      <c r="C247" s="101">
        <f t="shared" si="17"/>
        <v>245</v>
      </c>
      <c r="D247" s="99">
        <f t="shared" si="19"/>
        <v>0</v>
      </c>
      <c r="E247" s="99">
        <f>IF(OR(D247&lt;=0,C247&gt;'Stress Test Inputs'!$B$23*12),0,IF(AND(C247='Stress Test Inputs'!$B$23*12,'Stress Test Inputs'!$E$23&gt;'Stress Test Inputs'!$B$23),D247+D247*B247/12,IF('Stress Test Inputs'!$C$23="FRM",-PMT($B$3/12,'Stress Test Inputs'!$E$23*12,$D$3),IF($A247,-PMT(B247/12,('Stress Test Inputs'!$E$23*12)-C247+1,D247),E246))))</f>
        <v>0</v>
      </c>
      <c r="F247" s="99">
        <f t="shared" si="16"/>
        <v>0</v>
      </c>
      <c r="G247" s="99">
        <f>IF(C247&gt;'Stress Test Inputs'!$B$23*12,0,D247*B247/12)</f>
        <v>0</v>
      </c>
      <c r="H247" s="99">
        <f t="shared" si="15"/>
        <v>0</v>
      </c>
      <c r="I247" s="99">
        <f t="shared" si="18"/>
        <v>0</v>
      </c>
      <c r="J247" s="98"/>
    </row>
    <row r="248" spans="1:10" x14ac:dyDescent="0.25">
      <c r="A248" s="77" t="b">
        <f>IF(('Stress Test Inputs'!$C$23)="FRM", FALSE, ISNUMBER(MATCH(C248,'Stress Test Inputs'!$M$18:$M$30,0)))</f>
        <v>0</v>
      </c>
      <c r="B248" s="103">
        <f>IF($A248, _xlfn.XLOOKUP(C248,'Stress Test Inputs'!$M$17:$M$29,'Stress Test Inputs'!$N$17:$N$29),$B247)</f>
        <v>6.5000000000000002E-2</v>
      </c>
      <c r="C248" s="101">
        <f t="shared" si="17"/>
        <v>246</v>
      </c>
      <c r="D248" s="99">
        <f t="shared" si="19"/>
        <v>0</v>
      </c>
      <c r="E248" s="99">
        <f>IF(OR(D248&lt;=0,C248&gt;'Stress Test Inputs'!$B$23*12),0,IF(AND(C248='Stress Test Inputs'!$B$23*12,'Stress Test Inputs'!$E$23&gt;'Stress Test Inputs'!$B$23),D248+D248*B248/12,IF('Stress Test Inputs'!$C$23="FRM",-PMT($B$3/12,'Stress Test Inputs'!$E$23*12,$D$3),IF($A248,-PMT(B248/12,('Stress Test Inputs'!$E$23*12)-C248+1,D248),E247))))</f>
        <v>0</v>
      </c>
      <c r="F248" s="99">
        <f t="shared" si="16"/>
        <v>0</v>
      </c>
      <c r="G248" s="99">
        <f>IF(C248&gt;'Stress Test Inputs'!$B$23*12,0,D248*B248/12)</f>
        <v>0</v>
      </c>
      <c r="H248" s="99">
        <f t="shared" si="15"/>
        <v>0</v>
      </c>
      <c r="I248" s="99">
        <f t="shared" si="18"/>
        <v>0</v>
      </c>
      <c r="J248" s="98"/>
    </row>
    <row r="249" spans="1:10" x14ac:dyDescent="0.25">
      <c r="A249" s="77" t="b">
        <f>IF(('Stress Test Inputs'!$C$23)="FRM", FALSE, ISNUMBER(MATCH(C249,'Stress Test Inputs'!$M$18:$M$30,0)))</f>
        <v>0</v>
      </c>
      <c r="B249" s="103">
        <f>IF($A249, _xlfn.XLOOKUP(C249,'Stress Test Inputs'!$M$17:$M$29,'Stress Test Inputs'!$N$17:$N$29),$B248)</f>
        <v>6.5000000000000002E-2</v>
      </c>
      <c r="C249" s="101">
        <f t="shared" si="17"/>
        <v>247</v>
      </c>
      <c r="D249" s="99">
        <f t="shared" si="19"/>
        <v>0</v>
      </c>
      <c r="E249" s="99">
        <f>IF(OR(D249&lt;=0,C249&gt;'Stress Test Inputs'!$B$23*12),0,IF(AND(C249='Stress Test Inputs'!$B$23*12,'Stress Test Inputs'!$E$23&gt;'Stress Test Inputs'!$B$23),D249+D249*B249/12,IF('Stress Test Inputs'!$C$23="FRM",-PMT($B$3/12,'Stress Test Inputs'!$E$23*12,$D$3),IF($A249,-PMT(B249/12,('Stress Test Inputs'!$E$23*12)-C249+1,D249),E248))))</f>
        <v>0</v>
      </c>
      <c r="F249" s="99">
        <f t="shared" si="16"/>
        <v>0</v>
      </c>
      <c r="G249" s="99">
        <f>IF(C249&gt;'Stress Test Inputs'!$B$23*12,0,D249*B249/12)</f>
        <v>0</v>
      </c>
      <c r="H249" s="99">
        <f t="shared" si="15"/>
        <v>0</v>
      </c>
      <c r="I249" s="99">
        <f t="shared" si="18"/>
        <v>0</v>
      </c>
      <c r="J249" s="98"/>
    </row>
    <row r="250" spans="1:10" x14ac:dyDescent="0.25">
      <c r="A250" s="77" t="b">
        <f>IF(('Stress Test Inputs'!$C$23)="FRM", FALSE, ISNUMBER(MATCH(C250,'Stress Test Inputs'!$M$18:$M$30,0)))</f>
        <v>0</v>
      </c>
      <c r="B250" s="103">
        <f>IF($A250, _xlfn.XLOOKUP(C250,'Stress Test Inputs'!$M$17:$M$29,'Stress Test Inputs'!$N$17:$N$29),$B249)</f>
        <v>6.5000000000000002E-2</v>
      </c>
      <c r="C250" s="101">
        <f t="shared" si="17"/>
        <v>248</v>
      </c>
      <c r="D250" s="99">
        <f t="shared" si="19"/>
        <v>0</v>
      </c>
      <c r="E250" s="99">
        <f>IF(OR(D250&lt;=0,C250&gt;'Stress Test Inputs'!$B$23*12),0,IF(AND(C250='Stress Test Inputs'!$B$23*12,'Stress Test Inputs'!$E$23&gt;'Stress Test Inputs'!$B$23),D250+D250*B250/12,IF('Stress Test Inputs'!$C$23="FRM",-PMT($B$3/12,'Stress Test Inputs'!$E$23*12,$D$3),IF($A250,-PMT(B250/12,('Stress Test Inputs'!$E$23*12)-C250+1,D250),E249))))</f>
        <v>0</v>
      </c>
      <c r="F250" s="99">
        <f t="shared" si="16"/>
        <v>0</v>
      </c>
      <c r="G250" s="99">
        <f>IF(C250&gt;'Stress Test Inputs'!$B$23*12,0,D250*B250/12)</f>
        <v>0</v>
      </c>
      <c r="H250" s="99">
        <f t="shared" si="15"/>
        <v>0</v>
      </c>
      <c r="I250" s="99">
        <f t="shared" si="18"/>
        <v>0</v>
      </c>
      <c r="J250" s="98"/>
    </row>
    <row r="251" spans="1:10" x14ac:dyDescent="0.25">
      <c r="A251" s="77" t="b">
        <f>IF(('Stress Test Inputs'!$C$23)="FRM", FALSE, ISNUMBER(MATCH(C251,'Stress Test Inputs'!$M$18:$M$30,0)))</f>
        <v>0</v>
      </c>
      <c r="B251" s="103">
        <f>IF($A251, _xlfn.XLOOKUP(C251,'Stress Test Inputs'!$M$17:$M$29,'Stress Test Inputs'!$N$17:$N$29),$B250)</f>
        <v>6.5000000000000002E-2</v>
      </c>
      <c r="C251" s="101">
        <f t="shared" si="17"/>
        <v>249</v>
      </c>
      <c r="D251" s="99">
        <f t="shared" si="19"/>
        <v>0</v>
      </c>
      <c r="E251" s="99">
        <f>IF(OR(D251&lt;=0,C251&gt;'Stress Test Inputs'!$B$23*12),0,IF(AND(C251='Stress Test Inputs'!$B$23*12,'Stress Test Inputs'!$E$23&gt;'Stress Test Inputs'!$B$23),D251+D251*B251/12,IF('Stress Test Inputs'!$C$23="FRM",-PMT($B$3/12,'Stress Test Inputs'!$E$23*12,$D$3),IF($A251,-PMT(B251/12,('Stress Test Inputs'!$E$23*12)-C251+1,D251),E250))))</f>
        <v>0</v>
      </c>
      <c r="F251" s="99">
        <f t="shared" si="16"/>
        <v>0</v>
      </c>
      <c r="G251" s="99">
        <f>IF(C251&gt;'Stress Test Inputs'!$B$23*12,0,D251*B251/12)</f>
        <v>0</v>
      </c>
      <c r="H251" s="99">
        <f t="shared" si="15"/>
        <v>0</v>
      </c>
      <c r="I251" s="99">
        <f t="shared" si="18"/>
        <v>0</v>
      </c>
      <c r="J251" s="98"/>
    </row>
    <row r="252" spans="1:10" x14ac:dyDescent="0.25">
      <c r="A252" s="77" t="b">
        <f>IF(('Stress Test Inputs'!$C$23)="FRM", FALSE, ISNUMBER(MATCH(C252,'Stress Test Inputs'!$M$18:$M$30,0)))</f>
        <v>0</v>
      </c>
      <c r="B252" s="103">
        <f>IF($A252, _xlfn.XLOOKUP(C252,'Stress Test Inputs'!$M$17:$M$29,'Stress Test Inputs'!$N$17:$N$29),$B251)</f>
        <v>6.5000000000000002E-2</v>
      </c>
      <c r="C252" s="101">
        <f t="shared" si="17"/>
        <v>250</v>
      </c>
      <c r="D252" s="99">
        <f t="shared" si="19"/>
        <v>0</v>
      </c>
      <c r="E252" s="99">
        <f>IF(OR(D252&lt;=0,C252&gt;'Stress Test Inputs'!$B$23*12),0,IF(AND(C252='Stress Test Inputs'!$B$23*12,'Stress Test Inputs'!$E$23&gt;'Stress Test Inputs'!$B$23),D252+D252*B252/12,IF('Stress Test Inputs'!$C$23="FRM",-PMT($B$3/12,'Stress Test Inputs'!$E$23*12,$D$3),IF($A252,-PMT(B252/12,('Stress Test Inputs'!$E$23*12)-C252+1,D252),E251))))</f>
        <v>0</v>
      </c>
      <c r="F252" s="99">
        <f t="shared" si="16"/>
        <v>0</v>
      </c>
      <c r="G252" s="99">
        <f>IF(C252&gt;'Stress Test Inputs'!$B$23*12,0,D252*B252/12)</f>
        <v>0</v>
      </c>
      <c r="H252" s="99">
        <f t="shared" si="15"/>
        <v>0</v>
      </c>
      <c r="I252" s="99">
        <f t="shared" si="18"/>
        <v>0</v>
      </c>
      <c r="J252" s="98"/>
    </row>
    <row r="253" spans="1:10" x14ac:dyDescent="0.25">
      <c r="A253" s="77" t="b">
        <f>IF(('Stress Test Inputs'!$C$23)="FRM", FALSE, ISNUMBER(MATCH(C253,'Stress Test Inputs'!$M$18:$M$30,0)))</f>
        <v>0</v>
      </c>
      <c r="B253" s="103">
        <f>IF($A253, _xlfn.XLOOKUP(C253,'Stress Test Inputs'!$M$17:$M$29,'Stress Test Inputs'!$N$17:$N$29),$B252)</f>
        <v>6.5000000000000002E-2</v>
      </c>
      <c r="C253" s="101">
        <f t="shared" si="17"/>
        <v>251</v>
      </c>
      <c r="D253" s="99">
        <f t="shared" si="19"/>
        <v>0</v>
      </c>
      <c r="E253" s="99">
        <f>IF(OR(D253&lt;=0,C253&gt;'Stress Test Inputs'!$B$23*12),0,IF(AND(C253='Stress Test Inputs'!$B$23*12,'Stress Test Inputs'!$E$23&gt;'Stress Test Inputs'!$B$23),D253+D253*B253/12,IF('Stress Test Inputs'!$C$23="FRM",-PMT($B$3/12,'Stress Test Inputs'!$E$23*12,$D$3),IF($A253,-PMT(B253/12,('Stress Test Inputs'!$E$23*12)-C253+1,D253),E252))))</f>
        <v>0</v>
      </c>
      <c r="F253" s="99">
        <f t="shared" si="16"/>
        <v>0</v>
      </c>
      <c r="G253" s="99">
        <f>IF(C253&gt;'Stress Test Inputs'!$B$23*12,0,D253*B253/12)</f>
        <v>0</v>
      </c>
      <c r="H253" s="99">
        <f t="shared" si="15"/>
        <v>0</v>
      </c>
      <c r="I253" s="99">
        <f t="shared" si="18"/>
        <v>0</v>
      </c>
      <c r="J253" s="98"/>
    </row>
    <row r="254" spans="1:10" x14ac:dyDescent="0.25">
      <c r="A254" s="77" t="b">
        <f>IF(('Stress Test Inputs'!$C$23)="FRM", FALSE, ISNUMBER(MATCH(C254,'Stress Test Inputs'!$M$18:$M$30,0)))</f>
        <v>0</v>
      </c>
      <c r="B254" s="103">
        <f>IF($A254, _xlfn.XLOOKUP(C254,'Stress Test Inputs'!$M$17:$M$29,'Stress Test Inputs'!$N$17:$N$29),$B253)</f>
        <v>6.5000000000000002E-2</v>
      </c>
      <c r="C254" s="101">
        <f t="shared" si="17"/>
        <v>252</v>
      </c>
      <c r="D254" s="99">
        <f t="shared" si="19"/>
        <v>0</v>
      </c>
      <c r="E254" s="99">
        <f>IF(OR(D254&lt;=0,C254&gt;'Stress Test Inputs'!$B$23*12),0,IF(AND(C254='Stress Test Inputs'!$B$23*12,'Stress Test Inputs'!$E$23&gt;'Stress Test Inputs'!$B$23),D254+D254*B254/12,IF('Stress Test Inputs'!$C$23="FRM",-PMT($B$3/12,'Stress Test Inputs'!$E$23*12,$D$3),IF($A254,-PMT(B254/12,('Stress Test Inputs'!$E$23*12)-C254+1,D254),E253))))</f>
        <v>0</v>
      </c>
      <c r="F254" s="99">
        <f t="shared" si="16"/>
        <v>0</v>
      </c>
      <c r="G254" s="99">
        <f>IF(C254&gt;'Stress Test Inputs'!$B$23*12,0,D254*B254/12)</f>
        <v>0</v>
      </c>
      <c r="H254" s="99">
        <f t="shared" si="15"/>
        <v>0</v>
      </c>
      <c r="I254" s="99">
        <f t="shared" si="18"/>
        <v>0</v>
      </c>
      <c r="J254" s="98"/>
    </row>
    <row r="255" spans="1:10" x14ac:dyDescent="0.25">
      <c r="A255" s="77" t="b">
        <f>IF(('Stress Test Inputs'!$C$23)="FRM", FALSE, ISNUMBER(MATCH(C255,'Stress Test Inputs'!$M$18:$M$30,0)))</f>
        <v>0</v>
      </c>
      <c r="B255" s="103">
        <f>IF($A255, _xlfn.XLOOKUP(C255,'Stress Test Inputs'!$M$17:$M$29,'Stress Test Inputs'!$N$17:$N$29),$B254)</f>
        <v>6.5000000000000002E-2</v>
      </c>
      <c r="C255" s="101">
        <f t="shared" si="17"/>
        <v>253</v>
      </c>
      <c r="D255" s="99">
        <f t="shared" si="19"/>
        <v>0</v>
      </c>
      <c r="E255" s="99">
        <f>IF(OR(D255&lt;=0,C255&gt;'Stress Test Inputs'!$B$23*12),0,IF(AND(C255='Stress Test Inputs'!$B$23*12,'Stress Test Inputs'!$E$23&gt;'Stress Test Inputs'!$B$23),D255+D255*B255/12,IF('Stress Test Inputs'!$C$23="FRM",-PMT($B$3/12,'Stress Test Inputs'!$E$23*12,$D$3),IF($A255,-PMT(B255/12,('Stress Test Inputs'!$E$23*12)-C255+1,D255),E254))))</f>
        <v>0</v>
      </c>
      <c r="F255" s="99">
        <f t="shared" si="16"/>
        <v>0</v>
      </c>
      <c r="G255" s="99">
        <f>IF(C255&gt;'Stress Test Inputs'!$B$23*12,0,D255*B255/12)</f>
        <v>0</v>
      </c>
      <c r="H255" s="99">
        <f t="shared" si="15"/>
        <v>0</v>
      </c>
      <c r="I255" s="99">
        <f t="shared" si="18"/>
        <v>0</v>
      </c>
      <c r="J255" s="98"/>
    </row>
    <row r="256" spans="1:10" x14ac:dyDescent="0.25">
      <c r="A256" s="77" t="b">
        <f>IF(('Stress Test Inputs'!$C$23)="FRM", FALSE, ISNUMBER(MATCH(C256,'Stress Test Inputs'!$M$18:$M$30,0)))</f>
        <v>0</v>
      </c>
      <c r="B256" s="103">
        <f>IF($A256, _xlfn.XLOOKUP(C256,'Stress Test Inputs'!$M$17:$M$29,'Stress Test Inputs'!$N$17:$N$29),$B255)</f>
        <v>6.5000000000000002E-2</v>
      </c>
      <c r="C256" s="101">
        <f t="shared" si="17"/>
        <v>254</v>
      </c>
      <c r="D256" s="99">
        <f t="shared" si="19"/>
        <v>0</v>
      </c>
      <c r="E256" s="99">
        <f>IF(OR(D256&lt;=0,C256&gt;'Stress Test Inputs'!$B$23*12),0,IF(AND(C256='Stress Test Inputs'!$B$23*12,'Stress Test Inputs'!$E$23&gt;'Stress Test Inputs'!$B$23),D256+D256*B256/12,IF('Stress Test Inputs'!$C$23="FRM",-PMT($B$3/12,'Stress Test Inputs'!$E$23*12,$D$3),IF($A256,-PMT(B256/12,('Stress Test Inputs'!$E$23*12)-C256+1,D256),E255))))</f>
        <v>0</v>
      </c>
      <c r="F256" s="99">
        <f t="shared" si="16"/>
        <v>0</v>
      </c>
      <c r="G256" s="99">
        <f>IF(C256&gt;'Stress Test Inputs'!$B$23*12,0,D256*B256/12)</f>
        <v>0</v>
      </c>
      <c r="H256" s="99">
        <f t="shared" si="15"/>
        <v>0</v>
      </c>
      <c r="I256" s="99">
        <f t="shared" si="18"/>
        <v>0</v>
      </c>
      <c r="J256" s="98"/>
    </row>
    <row r="257" spans="1:10" x14ac:dyDescent="0.25">
      <c r="A257" s="77" t="b">
        <f>IF(('Stress Test Inputs'!$C$23)="FRM", FALSE, ISNUMBER(MATCH(C257,'Stress Test Inputs'!$M$18:$M$30,0)))</f>
        <v>0</v>
      </c>
      <c r="B257" s="103">
        <f>IF($A257, _xlfn.XLOOKUP(C257,'Stress Test Inputs'!$M$17:$M$29,'Stress Test Inputs'!$N$17:$N$29),$B256)</f>
        <v>6.5000000000000002E-2</v>
      </c>
      <c r="C257" s="101">
        <f t="shared" si="17"/>
        <v>255</v>
      </c>
      <c r="D257" s="99">
        <f t="shared" si="19"/>
        <v>0</v>
      </c>
      <c r="E257" s="99">
        <f>IF(OR(D257&lt;=0,C257&gt;'Stress Test Inputs'!$B$23*12),0,IF(AND(C257='Stress Test Inputs'!$B$23*12,'Stress Test Inputs'!$E$23&gt;'Stress Test Inputs'!$B$23),D257+D257*B257/12,IF('Stress Test Inputs'!$C$23="FRM",-PMT($B$3/12,'Stress Test Inputs'!$E$23*12,$D$3),IF($A257,-PMT(B257/12,('Stress Test Inputs'!$E$23*12)-C257+1,D257),E256))))</f>
        <v>0</v>
      </c>
      <c r="F257" s="99">
        <f t="shared" si="16"/>
        <v>0</v>
      </c>
      <c r="G257" s="99">
        <f>IF(C257&gt;'Stress Test Inputs'!$B$23*12,0,D257*B257/12)</f>
        <v>0</v>
      </c>
      <c r="H257" s="99">
        <f t="shared" si="15"/>
        <v>0</v>
      </c>
      <c r="I257" s="99">
        <f t="shared" si="18"/>
        <v>0</v>
      </c>
      <c r="J257" s="98"/>
    </row>
    <row r="258" spans="1:10" x14ac:dyDescent="0.25">
      <c r="A258" s="77" t="b">
        <f>IF(('Stress Test Inputs'!$C$23)="FRM", FALSE, ISNUMBER(MATCH(C258,'Stress Test Inputs'!$M$18:$M$30,0)))</f>
        <v>0</v>
      </c>
      <c r="B258" s="103">
        <f>IF($A258, _xlfn.XLOOKUP(C258,'Stress Test Inputs'!$M$17:$M$29,'Stress Test Inputs'!$N$17:$N$29),$B257)</f>
        <v>6.5000000000000002E-2</v>
      </c>
      <c r="C258" s="101">
        <f t="shared" si="17"/>
        <v>256</v>
      </c>
      <c r="D258" s="99">
        <f t="shared" si="19"/>
        <v>0</v>
      </c>
      <c r="E258" s="99">
        <f>IF(OR(D258&lt;=0,C258&gt;'Stress Test Inputs'!$B$23*12),0,IF(AND(C258='Stress Test Inputs'!$B$23*12,'Stress Test Inputs'!$E$23&gt;'Stress Test Inputs'!$B$23),D258+D258*B258/12,IF('Stress Test Inputs'!$C$23="FRM",-PMT($B$3/12,'Stress Test Inputs'!$E$23*12,$D$3),IF($A258,-PMT(B258/12,('Stress Test Inputs'!$E$23*12)-C258+1,D258),E257))))</f>
        <v>0</v>
      </c>
      <c r="F258" s="99">
        <f t="shared" si="16"/>
        <v>0</v>
      </c>
      <c r="G258" s="99">
        <f>IF(C258&gt;'Stress Test Inputs'!$B$23*12,0,D258*B258/12)</f>
        <v>0</v>
      </c>
      <c r="H258" s="99">
        <f t="shared" si="15"/>
        <v>0</v>
      </c>
      <c r="I258" s="99">
        <f t="shared" si="18"/>
        <v>0</v>
      </c>
      <c r="J258" s="98"/>
    </row>
    <row r="259" spans="1:10" x14ac:dyDescent="0.25">
      <c r="A259" s="77" t="b">
        <f>IF(('Stress Test Inputs'!$C$23)="FRM", FALSE, ISNUMBER(MATCH(C259,'Stress Test Inputs'!$M$18:$M$30,0)))</f>
        <v>0</v>
      </c>
      <c r="B259" s="103">
        <f>IF($A259, _xlfn.XLOOKUP(C259,'Stress Test Inputs'!$M$17:$M$29,'Stress Test Inputs'!$N$17:$N$29),$B258)</f>
        <v>6.5000000000000002E-2</v>
      </c>
      <c r="C259" s="101">
        <f t="shared" si="17"/>
        <v>257</v>
      </c>
      <c r="D259" s="99">
        <f t="shared" si="19"/>
        <v>0</v>
      </c>
      <c r="E259" s="99">
        <f>IF(OR(D259&lt;=0,C259&gt;'Stress Test Inputs'!$B$23*12),0,IF(AND(C259='Stress Test Inputs'!$B$23*12,'Stress Test Inputs'!$E$23&gt;'Stress Test Inputs'!$B$23),D259+D259*B259/12,IF('Stress Test Inputs'!$C$23="FRM",-PMT($B$3/12,'Stress Test Inputs'!$E$23*12,$D$3),IF($A259,-PMT(B259/12,('Stress Test Inputs'!$E$23*12)-C259+1,D259),E258))))</f>
        <v>0</v>
      </c>
      <c r="F259" s="99">
        <f t="shared" si="16"/>
        <v>0</v>
      </c>
      <c r="G259" s="99">
        <f>IF(C259&gt;'Stress Test Inputs'!$B$23*12,0,D259*B259/12)</f>
        <v>0</v>
      </c>
      <c r="H259" s="99">
        <f t="shared" ref="H259:H322" si="20">MIN(E259-G259,D259)</f>
        <v>0</v>
      </c>
      <c r="I259" s="99">
        <f t="shared" si="18"/>
        <v>0</v>
      </c>
      <c r="J259" s="98"/>
    </row>
    <row r="260" spans="1:10" x14ac:dyDescent="0.25">
      <c r="A260" s="77" t="b">
        <f>IF(('Stress Test Inputs'!$C$23)="FRM", FALSE, ISNUMBER(MATCH(C260,'Stress Test Inputs'!$M$18:$M$30,0)))</f>
        <v>0</v>
      </c>
      <c r="B260" s="103">
        <f>IF($A260, _xlfn.XLOOKUP(C260,'Stress Test Inputs'!$M$17:$M$29,'Stress Test Inputs'!$N$17:$N$29),$B259)</f>
        <v>6.5000000000000002E-2</v>
      </c>
      <c r="C260" s="101">
        <f t="shared" si="17"/>
        <v>258</v>
      </c>
      <c r="D260" s="99">
        <f t="shared" si="19"/>
        <v>0</v>
      </c>
      <c r="E260" s="99">
        <f>IF(OR(D260&lt;=0,C260&gt;'Stress Test Inputs'!$B$23*12),0,IF(AND(C260='Stress Test Inputs'!$B$23*12,'Stress Test Inputs'!$E$23&gt;'Stress Test Inputs'!$B$23),D260+D260*B260/12,IF('Stress Test Inputs'!$C$23="FRM",-PMT($B$3/12,'Stress Test Inputs'!$E$23*12,$D$3),IF($A260,-PMT(B260/12,('Stress Test Inputs'!$E$23*12)-C260+1,D260),E259))))</f>
        <v>0</v>
      </c>
      <c r="F260" s="99">
        <f t="shared" ref="F260:F323" si="21">IF(D260-E260&lt;0,0,D260-E260)</f>
        <v>0</v>
      </c>
      <c r="G260" s="99">
        <f>IF(C260&gt;'Stress Test Inputs'!$B$23*12,0,D260*B260/12)</f>
        <v>0</v>
      </c>
      <c r="H260" s="99">
        <f t="shared" si="20"/>
        <v>0</v>
      </c>
      <c r="I260" s="99">
        <f t="shared" si="18"/>
        <v>0</v>
      </c>
      <c r="J260" s="98"/>
    </row>
    <row r="261" spans="1:10" x14ac:dyDescent="0.25">
      <c r="A261" s="77" t="b">
        <f>IF(('Stress Test Inputs'!$C$23)="FRM", FALSE, ISNUMBER(MATCH(C261,'Stress Test Inputs'!$M$18:$M$30,0)))</f>
        <v>0</v>
      </c>
      <c r="B261" s="103">
        <f>IF($A261, _xlfn.XLOOKUP(C261,'Stress Test Inputs'!$M$17:$M$29,'Stress Test Inputs'!$N$17:$N$29),$B260)</f>
        <v>6.5000000000000002E-2</v>
      </c>
      <c r="C261" s="101">
        <f t="shared" ref="C261:C324" si="22">C260+1</f>
        <v>259</v>
      </c>
      <c r="D261" s="99">
        <f t="shared" si="19"/>
        <v>0</v>
      </c>
      <c r="E261" s="99">
        <f>IF(OR(D261&lt;=0,C261&gt;'Stress Test Inputs'!$B$23*12),0,IF(AND(C261='Stress Test Inputs'!$B$23*12,'Stress Test Inputs'!$E$23&gt;'Stress Test Inputs'!$B$23),D261+D261*B261/12,IF('Stress Test Inputs'!$C$23="FRM",-PMT($B$3/12,'Stress Test Inputs'!$E$23*12,$D$3),IF($A261,-PMT(B261/12,('Stress Test Inputs'!$E$23*12)-C261+1,D261),E260))))</f>
        <v>0</v>
      </c>
      <c r="F261" s="99">
        <f t="shared" si="21"/>
        <v>0</v>
      </c>
      <c r="G261" s="99">
        <f>IF(C261&gt;'Stress Test Inputs'!$B$23*12,0,D261*B261/12)</f>
        <v>0</v>
      </c>
      <c r="H261" s="99">
        <f t="shared" si="20"/>
        <v>0</v>
      </c>
      <c r="I261" s="99">
        <f t="shared" ref="I261:I324" si="23">IF(ROUND(D261-H261,2)=0,0,D261-H261)</f>
        <v>0</v>
      </c>
      <c r="J261" s="98"/>
    </row>
    <row r="262" spans="1:10" x14ac:dyDescent="0.25">
      <c r="A262" s="77" t="b">
        <f>IF(('Stress Test Inputs'!$C$23)="FRM", FALSE, ISNUMBER(MATCH(C262,'Stress Test Inputs'!$M$18:$M$30,0)))</f>
        <v>0</v>
      </c>
      <c r="B262" s="103">
        <f>IF($A262, _xlfn.XLOOKUP(C262,'Stress Test Inputs'!$M$17:$M$29,'Stress Test Inputs'!$N$17:$N$29),$B261)</f>
        <v>6.5000000000000002E-2</v>
      </c>
      <c r="C262" s="101">
        <f t="shared" si="22"/>
        <v>260</v>
      </c>
      <c r="D262" s="99">
        <f t="shared" si="19"/>
        <v>0</v>
      </c>
      <c r="E262" s="99">
        <f>IF(OR(D262&lt;=0,C262&gt;'Stress Test Inputs'!$B$23*12),0,IF(AND(C262='Stress Test Inputs'!$B$23*12,'Stress Test Inputs'!$E$23&gt;'Stress Test Inputs'!$B$23),D262+D262*B262/12,IF('Stress Test Inputs'!$C$23="FRM",-PMT($B$3/12,'Stress Test Inputs'!$E$23*12,$D$3),IF($A262,-PMT(B262/12,('Stress Test Inputs'!$E$23*12)-C262+1,D262),E261))))</f>
        <v>0</v>
      </c>
      <c r="F262" s="99">
        <f t="shared" si="21"/>
        <v>0</v>
      </c>
      <c r="G262" s="99">
        <f>IF(C262&gt;'Stress Test Inputs'!$B$23*12,0,D262*B262/12)</f>
        <v>0</v>
      </c>
      <c r="H262" s="99">
        <f t="shared" si="20"/>
        <v>0</v>
      </c>
      <c r="I262" s="99">
        <f t="shared" si="23"/>
        <v>0</v>
      </c>
      <c r="J262" s="98"/>
    </row>
    <row r="263" spans="1:10" x14ac:dyDescent="0.25">
      <c r="A263" s="77" t="b">
        <f>IF(('Stress Test Inputs'!$C$23)="FRM", FALSE, ISNUMBER(MATCH(C263,'Stress Test Inputs'!$M$18:$M$30,0)))</f>
        <v>0</v>
      </c>
      <c r="B263" s="103">
        <f>IF($A263, _xlfn.XLOOKUP(C263,'Stress Test Inputs'!$M$17:$M$29,'Stress Test Inputs'!$N$17:$N$29),$B262)</f>
        <v>6.5000000000000002E-2</v>
      </c>
      <c r="C263" s="101">
        <f t="shared" si="22"/>
        <v>261</v>
      </c>
      <c r="D263" s="99">
        <f t="shared" ref="D263:D326" si="24">IF(I262&gt;0,I262-J262,0)</f>
        <v>0</v>
      </c>
      <c r="E263" s="99">
        <f>IF(OR(D263&lt;=0,C263&gt;'Stress Test Inputs'!$B$23*12),0,IF(AND(C263='Stress Test Inputs'!$B$23*12,'Stress Test Inputs'!$E$23&gt;'Stress Test Inputs'!$B$23),D263+D263*B263/12,IF('Stress Test Inputs'!$C$23="FRM",-PMT($B$3/12,'Stress Test Inputs'!$E$23*12,$D$3),IF($A263,-PMT(B263/12,('Stress Test Inputs'!$E$23*12)-C263+1,D263),E262))))</f>
        <v>0</v>
      </c>
      <c r="F263" s="99">
        <f t="shared" si="21"/>
        <v>0</v>
      </c>
      <c r="G263" s="99">
        <f>IF(C263&gt;'Stress Test Inputs'!$B$23*12,0,D263*B263/12)</f>
        <v>0</v>
      </c>
      <c r="H263" s="99">
        <f t="shared" si="20"/>
        <v>0</v>
      </c>
      <c r="I263" s="99">
        <f t="shared" si="23"/>
        <v>0</v>
      </c>
      <c r="J263" s="98"/>
    </row>
    <row r="264" spans="1:10" x14ac:dyDescent="0.25">
      <c r="A264" s="77" t="b">
        <f>IF(('Stress Test Inputs'!$C$23)="FRM", FALSE, ISNUMBER(MATCH(C264,'Stress Test Inputs'!$M$18:$M$30,0)))</f>
        <v>0</v>
      </c>
      <c r="B264" s="103">
        <f>IF($A264, _xlfn.XLOOKUP(C264,'Stress Test Inputs'!$M$17:$M$29,'Stress Test Inputs'!$N$17:$N$29),$B263)</f>
        <v>6.5000000000000002E-2</v>
      </c>
      <c r="C264" s="101">
        <f t="shared" si="22"/>
        <v>262</v>
      </c>
      <c r="D264" s="99">
        <f t="shared" si="24"/>
        <v>0</v>
      </c>
      <c r="E264" s="99">
        <f>IF(OR(D264&lt;=0,C264&gt;'Stress Test Inputs'!$B$23*12),0,IF(AND(C264='Stress Test Inputs'!$B$23*12,'Stress Test Inputs'!$E$23&gt;'Stress Test Inputs'!$B$23),D264+D264*B264/12,IF('Stress Test Inputs'!$C$23="FRM",-PMT($B$3/12,'Stress Test Inputs'!$E$23*12,$D$3),IF($A264,-PMT(B264/12,('Stress Test Inputs'!$E$23*12)-C264+1,D264),E263))))</f>
        <v>0</v>
      </c>
      <c r="F264" s="99">
        <f t="shared" si="21"/>
        <v>0</v>
      </c>
      <c r="G264" s="99">
        <f>IF(C264&gt;'Stress Test Inputs'!$B$23*12,0,D264*B264/12)</f>
        <v>0</v>
      </c>
      <c r="H264" s="99">
        <f t="shared" si="20"/>
        <v>0</v>
      </c>
      <c r="I264" s="99">
        <f t="shared" si="23"/>
        <v>0</v>
      </c>
      <c r="J264" s="98"/>
    </row>
    <row r="265" spans="1:10" x14ac:dyDescent="0.25">
      <c r="A265" s="77" t="b">
        <f>IF(('Stress Test Inputs'!$C$23)="FRM", FALSE, ISNUMBER(MATCH(C265,'Stress Test Inputs'!$M$18:$M$30,0)))</f>
        <v>0</v>
      </c>
      <c r="B265" s="103">
        <f>IF($A265, _xlfn.XLOOKUP(C265,'Stress Test Inputs'!$M$17:$M$29,'Stress Test Inputs'!$N$17:$N$29),$B264)</f>
        <v>6.5000000000000002E-2</v>
      </c>
      <c r="C265" s="101">
        <f t="shared" si="22"/>
        <v>263</v>
      </c>
      <c r="D265" s="99">
        <f t="shared" si="24"/>
        <v>0</v>
      </c>
      <c r="E265" s="99">
        <f>IF(OR(D265&lt;=0,C265&gt;'Stress Test Inputs'!$B$23*12),0,IF(AND(C265='Stress Test Inputs'!$B$23*12,'Stress Test Inputs'!$E$23&gt;'Stress Test Inputs'!$B$23),D265+D265*B265/12,IF('Stress Test Inputs'!$C$23="FRM",-PMT($B$3/12,'Stress Test Inputs'!$E$23*12,$D$3),IF($A265,-PMT(B265/12,('Stress Test Inputs'!$E$23*12)-C265+1,D265),E264))))</f>
        <v>0</v>
      </c>
      <c r="F265" s="99">
        <f t="shared" si="21"/>
        <v>0</v>
      </c>
      <c r="G265" s="99">
        <f>IF(C265&gt;'Stress Test Inputs'!$B$23*12,0,D265*B265/12)</f>
        <v>0</v>
      </c>
      <c r="H265" s="99">
        <f t="shared" si="20"/>
        <v>0</v>
      </c>
      <c r="I265" s="99">
        <f t="shared" si="23"/>
        <v>0</v>
      </c>
      <c r="J265" s="98"/>
    </row>
    <row r="266" spans="1:10" x14ac:dyDescent="0.25">
      <c r="A266" s="77" t="b">
        <f>IF(('Stress Test Inputs'!$C$23)="FRM", FALSE, ISNUMBER(MATCH(C266,'Stress Test Inputs'!$M$18:$M$30,0)))</f>
        <v>0</v>
      </c>
      <c r="B266" s="103">
        <f>IF($A266, _xlfn.XLOOKUP(C266,'Stress Test Inputs'!$M$17:$M$29,'Stress Test Inputs'!$N$17:$N$29),$B265)</f>
        <v>6.5000000000000002E-2</v>
      </c>
      <c r="C266" s="101">
        <f t="shared" si="22"/>
        <v>264</v>
      </c>
      <c r="D266" s="99">
        <f t="shared" si="24"/>
        <v>0</v>
      </c>
      <c r="E266" s="99">
        <f>IF(OR(D266&lt;=0,C266&gt;'Stress Test Inputs'!$B$23*12),0,IF(AND(C266='Stress Test Inputs'!$B$23*12,'Stress Test Inputs'!$E$23&gt;'Stress Test Inputs'!$B$23),D266+D266*B266/12,IF('Stress Test Inputs'!$C$23="FRM",-PMT($B$3/12,'Stress Test Inputs'!$E$23*12,$D$3),IF($A266,-PMT(B266/12,('Stress Test Inputs'!$E$23*12)-C266+1,D266),E265))))</f>
        <v>0</v>
      </c>
      <c r="F266" s="99">
        <f t="shared" si="21"/>
        <v>0</v>
      </c>
      <c r="G266" s="99">
        <f>IF(C266&gt;'Stress Test Inputs'!$B$23*12,0,D266*B266/12)</f>
        <v>0</v>
      </c>
      <c r="H266" s="99">
        <f t="shared" si="20"/>
        <v>0</v>
      </c>
      <c r="I266" s="99">
        <f t="shared" si="23"/>
        <v>0</v>
      </c>
      <c r="J266" s="98"/>
    </row>
    <row r="267" spans="1:10" x14ac:dyDescent="0.25">
      <c r="A267" s="77" t="b">
        <f>IF(('Stress Test Inputs'!$C$23)="FRM", FALSE, ISNUMBER(MATCH(C267,'Stress Test Inputs'!$M$18:$M$30,0)))</f>
        <v>0</v>
      </c>
      <c r="B267" s="103">
        <f>IF($A267, _xlfn.XLOOKUP(C267,'Stress Test Inputs'!$M$17:$M$29,'Stress Test Inputs'!$N$17:$N$29),$B266)</f>
        <v>6.5000000000000002E-2</v>
      </c>
      <c r="C267" s="101">
        <f t="shared" si="22"/>
        <v>265</v>
      </c>
      <c r="D267" s="99">
        <f t="shared" si="24"/>
        <v>0</v>
      </c>
      <c r="E267" s="99">
        <f>IF(OR(D267&lt;=0,C267&gt;'Stress Test Inputs'!$B$23*12),0,IF(AND(C267='Stress Test Inputs'!$B$23*12,'Stress Test Inputs'!$E$23&gt;'Stress Test Inputs'!$B$23),D267+D267*B267/12,IF('Stress Test Inputs'!$C$23="FRM",-PMT($B$3/12,'Stress Test Inputs'!$E$23*12,$D$3),IF($A267,-PMT(B267/12,('Stress Test Inputs'!$E$23*12)-C267+1,D267),E266))))</f>
        <v>0</v>
      </c>
      <c r="F267" s="99">
        <f t="shared" si="21"/>
        <v>0</v>
      </c>
      <c r="G267" s="99">
        <f>IF(C267&gt;'Stress Test Inputs'!$B$23*12,0,D267*B267/12)</f>
        <v>0</v>
      </c>
      <c r="H267" s="99">
        <f t="shared" si="20"/>
        <v>0</v>
      </c>
      <c r="I267" s="99">
        <f t="shared" si="23"/>
        <v>0</v>
      </c>
      <c r="J267" s="98"/>
    </row>
    <row r="268" spans="1:10" x14ac:dyDescent="0.25">
      <c r="A268" s="77" t="b">
        <f>IF(('Stress Test Inputs'!$C$23)="FRM", FALSE, ISNUMBER(MATCH(C268,'Stress Test Inputs'!$M$18:$M$30,0)))</f>
        <v>0</v>
      </c>
      <c r="B268" s="103">
        <f>IF($A268, _xlfn.XLOOKUP(C268,'Stress Test Inputs'!$M$17:$M$29,'Stress Test Inputs'!$N$17:$N$29),$B267)</f>
        <v>6.5000000000000002E-2</v>
      </c>
      <c r="C268" s="101">
        <f t="shared" si="22"/>
        <v>266</v>
      </c>
      <c r="D268" s="99">
        <f t="shared" si="24"/>
        <v>0</v>
      </c>
      <c r="E268" s="99">
        <f>IF(OR(D268&lt;=0,C268&gt;'Stress Test Inputs'!$B$23*12),0,IF(AND(C268='Stress Test Inputs'!$B$23*12,'Stress Test Inputs'!$E$23&gt;'Stress Test Inputs'!$B$23),D268+D268*B268/12,IF('Stress Test Inputs'!$C$23="FRM",-PMT($B$3/12,'Stress Test Inputs'!$E$23*12,$D$3),IF($A268,-PMT(B268/12,('Stress Test Inputs'!$E$23*12)-C268+1,D268),E267))))</f>
        <v>0</v>
      </c>
      <c r="F268" s="99">
        <f t="shared" si="21"/>
        <v>0</v>
      </c>
      <c r="G268" s="99">
        <f>IF(C268&gt;'Stress Test Inputs'!$B$23*12,0,D268*B268/12)</f>
        <v>0</v>
      </c>
      <c r="H268" s="99">
        <f t="shared" si="20"/>
        <v>0</v>
      </c>
      <c r="I268" s="99">
        <f t="shared" si="23"/>
        <v>0</v>
      </c>
      <c r="J268" s="98"/>
    </row>
    <row r="269" spans="1:10" x14ac:dyDescent="0.25">
      <c r="A269" s="77" t="b">
        <f>IF(('Stress Test Inputs'!$C$23)="FRM", FALSE, ISNUMBER(MATCH(C269,'Stress Test Inputs'!$M$18:$M$30,0)))</f>
        <v>0</v>
      </c>
      <c r="B269" s="103">
        <f>IF($A269, _xlfn.XLOOKUP(C269,'Stress Test Inputs'!$M$17:$M$29,'Stress Test Inputs'!$N$17:$N$29),$B268)</f>
        <v>6.5000000000000002E-2</v>
      </c>
      <c r="C269" s="101">
        <f t="shared" si="22"/>
        <v>267</v>
      </c>
      <c r="D269" s="99">
        <f t="shared" si="24"/>
        <v>0</v>
      </c>
      <c r="E269" s="99">
        <f>IF(OR(D269&lt;=0,C269&gt;'Stress Test Inputs'!$B$23*12),0,IF(AND(C269='Stress Test Inputs'!$B$23*12,'Stress Test Inputs'!$E$23&gt;'Stress Test Inputs'!$B$23),D269+D269*B269/12,IF('Stress Test Inputs'!$C$23="FRM",-PMT($B$3/12,'Stress Test Inputs'!$E$23*12,$D$3),IF($A269,-PMT(B269/12,('Stress Test Inputs'!$E$23*12)-C269+1,D269),E268))))</f>
        <v>0</v>
      </c>
      <c r="F269" s="99">
        <f t="shared" si="21"/>
        <v>0</v>
      </c>
      <c r="G269" s="99">
        <f>IF(C269&gt;'Stress Test Inputs'!$B$23*12,0,D269*B269/12)</f>
        <v>0</v>
      </c>
      <c r="H269" s="99">
        <f t="shared" si="20"/>
        <v>0</v>
      </c>
      <c r="I269" s="99">
        <f t="shared" si="23"/>
        <v>0</v>
      </c>
      <c r="J269" s="98"/>
    </row>
    <row r="270" spans="1:10" x14ac:dyDescent="0.25">
      <c r="A270" s="77" t="b">
        <f>IF(('Stress Test Inputs'!$C$23)="FRM", FALSE, ISNUMBER(MATCH(C270,'Stress Test Inputs'!$M$18:$M$30,0)))</f>
        <v>0</v>
      </c>
      <c r="B270" s="103">
        <f>IF($A270, _xlfn.XLOOKUP(C270,'Stress Test Inputs'!$M$17:$M$29,'Stress Test Inputs'!$N$17:$N$29),$B269)</f>
        <v>6.5000000000000002E-2</v>
      </c>
      <c r="C270" s="101">
        <f t="shared" si="22"/>
        <v>268</v>
      </c>
      <c r="D270" s="99">
        <f t="shared" si="24"/>
        <v>0</v>
      </c>
      <c r="E270" s="99">
        <f>IF(OR(D270&lt;=0,C270&gt;'Stress Test Inputs'!$B$23*12),0,IF(AND(C270='Stress Test Inputs'!$B$23*12,'Stress Test Inputs'!$E$23&gt;'Stress Test Inputs'!$B$23),D270+D270*B270/12,IF('Stress Test Inputs'!$C$23="FRM",-PMT($B$3/12,'Stress Test Inputs'!$E$23*12,$D$3),IF($A270,-PMT(B270/12,('Stress Test Inputs'!$E$23*12)-C270+1,D270),E269))))</f>
        <v>0</v>
      </c>
      <c r="F270" s="99">
        <f t="shared" si="21"/>
        <v>0</v>
      </c>
      <c r="G270" s="99">
        <f>IF(C270&gt;'Stress Test Inputs'!$B$23*12,0,D270*B270/12)</f>
        <v>0</v>
      </c>
      <c r="H270" s="99">
        <f t="shared" si="20"/>
        <v>0</v>
      </c>
      <c r="I270" s="99">
        <f t="shared" si="23"/>
        <v>0</v>
      </c>
      <c r="J270" s="98"/>
    </row>
    <row r="271" spans="1:10" x14ac:dyDescent="0.25">
      <c r="A271" s="77" t="b">
        <f>IF(('Stress Test Inputs'!$C$23)="FRM", FALSE, ISNUMBER(MATCH(C271,'Stress Test Inputs'!$M$18:$M$30,0)))</f>
        <v>0</v>
      </c>
      <c r="B271" s="103">
        <f>IF($A271, _xlfn.XLOOKUP(C271,'Stress Test Inputs'!$M$17:$M$29,'Stress Test Inputs'!$N$17:$N$29),$B270)</f>
        <v>6.5000000000000002E-2</v>
      </c>
      <c r="C271" s="101">
        <f t="shared" si="22"/>
        <v>269</v>
      </c>
      <c r="D271" s="99">
        <f t="shared" si="24"/>
        <v>0</v>
      </c>
      <c r="E271" s="99">
        <f>IF(OR(D271&lt;=0,C271&gt;'Stress Test Inputs'!$B$23*12),0,IF(AND(C271='Stress Test Inputs'!$B$23*12,'Stress Test Inputs'!$E$23&gt;'Stress Test Inputs'!$B$23),D271+D271*B271/12,IF('Stress Test Inputs'!$C$23="FRM",-PMT($B$3/12,'Stress Test Inputs'!$E$23*12,$D$3),IF($A271,-PMT(B271/12,('Stress Test Inputs'!$E$23*12)-C271+1,D271),E270))))</f>
        <v>0</v>
      </c>
      <c r="F271" s="99">
        <f t="shared" si="21"/>
        <v>0</v>
      </c>
      <c r="G271" s="99">
        <f>IF(C271&gt;'Stress Test Inputs'!$B$23*12,0,D271*B271/12)</f>
        <v>0</v>
      </c>
      <c r="H271" s="99">
        <f t="shared" si="20"/>
        <v>0</v>
      </c>
      <c r="I271" s="99">
        <f t="shared" si="23"/>
        <v>0</v>
      </c>
      <c r="J271" s="98"/>
    </row>
    <row r="272" spans="1:10" x14ac:dyDescent="0.25">
      <c r="A272" s="77" t="b">
        <f>IF(('Stress Test Inputs'!$C$23)="FRM", FALSE, ISNUMBER(MATCH(C272,'Stress Test Inputs'!$M$18:$M$30,0)))</f>
        <v>0</v>
      </c>
      <c r="B272" s="103">
        <f>IF($A272, _xlfn.XLOOKUP(C272,'Stress Test Inputs'!$M$17:$M$29,'Stress Test Inputs'!$N$17:$N$29),$B271)</f>
        <v>6.5000000000000002E-2</v>
      </c>
      <c r="C272" s="101">
        <f t="shared" si="22"/>
        <v>270</v>
      </c>
      <c r="D272" s="99">
        <f t="shared" si="24"/>
        <v>0</v>
      </c>
      <c r="E272" s="99">
        <f>IF(OR(D272&lt;=0,C272&gt;'Stress Test Inputs'!$B$23*12),0,IF(AND(C272='Stress Test Inputs'!$B$23*12,'Stress Test Inputs'!$E$23&gt;'Stress Test Inputs'!$B$23),D272+D272*B272/12,IF('Stress Test Inputs'!$C$23="FRM",-PMT($B$3/12,'Stress Test Inputs'!$E$23*12,$D$3),IF($A272,-PMT(B272/12,('Stress Test Inputs'!$E$23*12)-C272+1,D272),E271))))</f>
        <v>0</v>
      </c>
      <c r="F272" s="99">
        <f t="shared" si="21"/>
        <v>0</v>
      </c>
      <c r="G272" s="99">
        <f>IF(C272&gt;'Stress Test Inputs'!$B$23*12,0,D272*B272/12)</f>
        <v>0</v>
      </c>
      <c r="H272" s="99">
        <f t="shared" si="20"/>
        <v>0</v>
      </c>
      <c r="I272" s="99">
        <f t="shared" si="23"/>
        <v>0</v>
      </c>
      <c r="J272" s="98"/>
    </row>
    <row r="273" spans="1:10" x14ac:dyDescent="0.25">
      <c r="A273" s="77" t="b">
        <f>IF(('Stress Test Inputs'!$C$23)="FRM", FALSE, ISNUMBER(MATCH(C273,'Stress Test Inputs'!$M$18:$M$30,0)))</f>
        <v>0</v>
      </c>
      <c r="B273" s="103">
        <f>IF($A273, _xlfn.XLOOKUP(C273,'Stress Test Inputs'!$M$17:$M$29,'Stress Test Inputs'!$N$17:$N$29),$B272)</f>
        <v>6.5000000000000002E-2</v>
      </c>
      <c r="C273" s="101">
        <f t="shared" si="22"/>
        <v>271</v>
      </c>
      <c r="D273" s="99">
        <f t="shared" si="24"/>
        <v>0</v>
      </c>
      <c r="E273" s="99">
        <f>IF(OR(D273&lt;=0,C273&gt;'Stress Test Inputs'!$B$23*12),0,IF(AND(C273='Stress Test Inputs'!$B$23*12,'Stress Test Inputs'!$E$23&gt;'Stress Test Inputs'!$B$23),D273+D273*B273/12,IF('Stress Test Inputs'!$C$23="FRM",-PMT($B$3/12,'Stress Test Inputs'!$E$23*12,$D$3),IF($A273,-PMT(B273/12,('Stress Test Inputs'!$E$23*12)-C273+1,D273),E272))))</f>
        <v>0</v>
      </c>
      <c r="F273" s="99">
        <f t="shared" si="21"/>
        <v>0</v>
      </c>
      <c r="G273" s="99">
        <f>IF(C273&gt;'Stress Test Inputs'!$B$23*12,0,D273*B273/12)</f>
        <v>0</v>
      </c>
      <c r="H273" s="99">
        <f t="shared" si="20"/>
        <v>0</v>
      </c>
      <c r="I273" s="99">
        <f t="shared" si="23"/>
        <v>0</v>
      </c>
      <c r="J273" s="98"/>
    </row>
    <row r="274" spans="1:10" x14ac:dyDescent="0.25">
      <c r="A274" s="77" t="b">
        <f>IF(('Stress Test Inputs'!$C$23)="FRM", FALSE, ISNUMBER(MATCH(C274,'Stress Test Inputs'!$M$18:$M$30,0)))</f>
        <v>0</v>
      </c>
      <c r="B274" s="103">
        <f>IF($A274, _xlfn.XLOOKUP(C274,'Stress Test Inputs'!$M$17:$M$29,'Stress Test Inputs'!$N$17:$N$29),$B273)</f>
        <v>6.5000000000000002E-2</v>
      </c>
      <c r="C274" s="101">
        <f t="shared" si="22"/>
        <v>272</v>
      </c>
      <c r="D274" s="99">
        <f t="shared" si="24"/>
        <v>0</v>
      </c>
      <c r="E274" s="99">
        <f>IF(OR(D274&lt;=0,C274&gt;'Stress Test Inputs'!$B$23*12),0,IF(AND(C274='Stress Test Inputs'!$B$23*12,'Stress Test Inputs'!$E$23&gt;'Stress Test Inputs'!$B$23),D274+D274*B274/12,IF('Stress Test Inputs'!$C$23="FRM",-PMT($B$3/12,'Stress Test Inputs'!$E$23*12,$D$3),IF($A274,-PMT(B274/12,('Stress Test Inputs'!$E$23*12)-C274+1,D274),E273))))</f>
        <v>0</v>
      </c>
      <c r="F274" s="99">
        <f t="shared" si="21"/>
        <v>0</v>
      </c>
      <c r="G274" s="99">
        <f>IF(C274&gt;'Stress Test Inputs'!$B$23*12,0,D274*B274/12)</f>
        <v>0</v>
      </c>
      <c r="H274" s="99">
        <f t="shared" si="20"/>
        <v>0</v>
      </c>
      <c r="I274" s="99">
        <f t="shared" si="23"/>
        <v>0</v>
      </c>
      <c r="J274" s="98"/>
    </row>
    <row r="275" spans="1:10" x14ac:dyDescent="0.25">
      <c r="A275" s="77" t="b">
        <f>IF(('Stress Test Inputs'!$C$23)="FRM", FALSE, ISNUMBER(MATCH(C275,'Stress Test Inputs'!$M$18:$M$30,0)))</f>
        <v>0</v>
      </c>
      <c r="B275" s="103">
        <f>IF($A275, _xlfn.XLOOKUP(C275,'Stress Test Inputs'!$M$17:$M$29,'Stress Test Inputs'!$N$17:$N$29),$B274)</f>
        <v>6.5000000000000002E-2</v>
      </c>
      <c r="C275" s="101">
        <f t="shared" si="22"/>
        <v>273</v>
      </c>
      <c r="D275" s="99">
        <f t="shared" si="24"/>
        <v>0</v>
      </c>
      <c r="E275" s="99">
        <f>IF(OR(D275&lt;=0,C275&gt;'Stress Test Inputs'!$B$23*12),0,IF(AND(C275='Stress Test Inputs'!$B$23*12,'Stress Test Inputs'!$E$23&gt;'Stress Test Inputs'!$B$23),D275+D275*B275/12,IF('Stress Test Inputs'!$C$23="FRM",-PMT($B$3/12,'Stress Test Inputs'!$E$23*12,$D$3),IF($A275,-PMT(B275/12,('Stress Test Inputs'!$E$23*12)-C275+1,D275),E274))))</f>
        <v>0</v>
      </c>
      <c r="F275" s="99">
        <f t="shared" si="21"/>
        <v>0</v>
      </c>
      <c r="G275" s="99">
        <f>IF(C275&gt;'Stress Test Inputs'!$B$23*12,0,D275*B275/12)</f>
        <v>0</v>
      </c>
      <c r="H275" s="99">
        <f t="shared" si="20"/>
        <v>0</v>
      </c>
      <c r="I275" s="99">
        <f t="shared" si="23"/>
        <v>0</v>
      </c>
      <c r="J275" s="98"/>
    </row>
    <row r="276" spans="1:10" x14ac:dyDescent="0.25">
      <c r="A276" s="77" t="b">
        <f>IF(('Stress Test Inputs'!$C$23)="FRM", FALSE, ISNUMBER(MATCH(C276,'Stress Test Inputs'!$M$18:$M$30,0)))</f>
        <v>0</v>
      </c>
      <c r="B276" s="103">
        <f>IF($A276, _xlfn.XLOOKUP(C276,'Stress Test Inputs'!$M$17:$M$29,'Stress Test Inputs'!$N$17:$N$29),$B275)</f>
        <v>6.5000000000000002E-2</v>
      </c>
      <c r="C276" s="101">
        <f t="shared" si="22"/>
        <v>274</v>
      </c>
      <c r="D276" s="99">
        <f t="shared" si="24"/>
        <v>0</v>
      </c>
      <c r="E276" s="99">
        <f>IF(OR(D276&lt;=0,C276&gt;'Stress Test Inputs'!$B$23*12),0,IF(AND(C276='Stress Test Inputs'!$B$23*12,'Stress Test Inputs'!$E$23&gt;'Stress Test Inputs'!$B$23),D276+D276*B276/12,IF('Stress Test Inputs'!$C$23="FRM",-PMT($B$3/12,'Stress Test Inputs'!$E$23*12,$D$3),IF($A276,-PMT(B276/12,('Stress Test Inputs'!$E$23*12)-C276+1,D276),E275))))</f>
        <v>0</v>
      </c>
      <c r="F276" s="99">
        <f t="shared" si="21"/>
        <v>0</v>
      </c>
      <c r="G276" s="99">
        <f>IF(C276&gt;'Stress Test Inputs'!$B$23*12,0,D276*B276/12)</f>
        <v>0</v>
      </c>
      <c r="H276" s="99">
        <f t="shared" si="20"/>
        <v>0</v>
      </c>
      <c r="I276" s="99">
        <f t="shared" si="23"/>
        <v>0</v>
      </c>
      <c r="J276" s="98"/>
    </row>
    <row r="277" spans="1:10" x14ac:dyDescent="0.25">
      <c r="A277" s="77" t="b">
        <f>IF(('Stress Test Inputs'!$C$23)="FRM", FALSE, ISNUMBER(MATCH(C277,'Stress Test Inputs'!$M$18:$M$30,0)))</f>
        <v>0</v>
      </c>
      <c r="B277" s="103">
        <f>IF($A277, _xlfn.XLOOKUP(C277,'Stress Test Inputs'!$M$17:$M$29,'Stress Test Inputs'!$N$17:$N$29),$B276)</f>
        <v>6.5000000000000002E-2</v>
      </c>
      <c r="C277" s="101">
        <f t="shared" si="22"/>
        <v>275</v>
      </c>
      <c r="D277" s="99">
        <f t="shared" si="24"/>
        <v>0</v>
      </c>
      <c r="E277" s="99">
        <f>IF(OR(D277&lt;=0,C277&gt;'Stress Test Inputs'!$B$23*12),0,IF(AND(C277='Stress Test Inputs'!$B$23*12,'Stress Test Inputs'!$E$23&gt;'Stress Test Inputs'!$B$23),D277+D277*B277/12,IF('Stress Test Inputs'!$C$23="FRM",-PMT($B$3/12,'Stress Test Inputs'!$E$23*12,$D$3),IF($A277,-PMT(B277/12,('Stress Test Inputs'!$E$23*12)-C277+1,D277),E276))))</f>
        <v>0</v>
      </c>
      <c r="F277" s="99">
        <f t="shared" si="21"/>
        <v>0</v>
      </c>
      <c r="G277" s="99">
        <f>IF(C277&gt;'Stress Test Inputs'!$B$23*12,0,D277*B277/12)</f>
        <v>0</v>
      </c>
      <c r="H277" s="99">
        <f t="shared" si="20"/>
        <v>0</v>
      </c>
      <c r="I277" s="99">
        <f t="shared" si="23"/>
        <v>0</v>
      </c>
      <c r="J277" s="98"/>
    </row>
    <row r="278" spans="1:10" x14ac:dyDescent="0.25">
      <c r="A278" s="77" t="b">
        <f>IF(('Stress Test Inputs'!$C$23)="FRM", FALSE, ISNUMBER(MATCH(C278,'Stress Test Inputs'!$M$18:$M$30,0)))</f>
        <v>0</v>
      </c>
      <c r="B278" s="103">
        <f>IF($A278, _xlfn.XLOOKUP(C278,'Stress Test Inputs'!$M$17:$M$29,'Stress Test Inputs'!$N$17:$N$29),$B277)</f>
        <v>6.5000000000000002E-2</v>
      </c>
      <c r="C278" s="101">
        <f t="shared" si="22"/>
        <v>276</v>
      </c>
      <c r="D278" s="99">
        <f t="shared" si="24"/>
        <v>0</v>
      </c>
      <c r="E278" s="99">
        <f>IF(OR(D278&lt;=0,C278&gt;'Stress Test Inputs'!$B$23*12),0,IF(AND(C278='Stress Test Inputs'!$B$23*12,'Stress Test Inputs'!$E$23&gt;'Stress Test Inputs'!$B$23),D278+D278*B278/12,IF('Stress Test Inputs'!$C$23="FRM",-PMT($B$3/12,'Stress Test Inputs'!$E$23*12,$D$3),IF($A278,-PMT(B278/12,('Stress Test Inputs'!$E$23*12)-C278+1,D278),E277))))</f>
        <v>0</v>
      </c>
      <c r="F278" s="99">
        <f t="shared" si="21"/>
        <v>0</v>
      </c>
      <c r="G278" s="99">
        <f>IF(C278&gt;'Stress Test Inputs'!$B$23*12,0,D278*B278/12)</f>
        <v>0</v>
      </c>
      <c r="H278" s="99">
        <f t="shared" si="20"/>
        <v>0</v>
      </c>
      <c r="I278" s="99">
        <f t="shared" si="23"/>
        <v>0</v>
      </c>
      <c r="J278" s="98"/>
    </row>
    <row r="279" spans="1:10" x14ac:dyDescent="0.25">
      <c r="A279" s="77" t="b">
        <f>IF(('Stress Test Inputs'!$C$23)="FRM", FALSE, ISNUMBER(MATCH(C279,'Stress Test Inputs'!$M$18:$M$30,0)))</f>
        <v>0</v>
      </c>
      <c r="B279" s="103">
        <f>IF($A279, _xlfn.XLOOKUP(C279,'Stress Test Inputs'!$M$17:$M$29,'Stress Test Inputs'!$N$17:$N$29),$B278)</f>
        <v>6.5000000000000002E-2</v>
      </c>
      <c r="C279" s="101">
        <f t="shared" si="22"/>
        <v>277</v>
      </c>
      <c r="D279" s="99">
        <f t="shared" si="24"/>
        <v>0</v>
      </c>
      <c r="E279" s="99">
        <f>IF(OR(D279&lt;=0,C279&gt;'Stress Test Inputs'!$B$23*12),0,IF(AND(C279='Stress Test Inputs'!$B$23*12,'Stress Test Inputs'!$E$23&gt;'Stress Test Inputs'!$B$23),D279+D279*B279/12,IF('Stress Test Inputs'!$C$23="FRM",-PMT($B$3/12,'Stress Test Inputs'!$E$23*12,$D$3),IF($A279,-PMT(B279/12,('Stress Test Inputs'!$E$23*12)-C279+1,D279),E278))))</f>
        <v>0</v>
      </c>
      <c r="F279" s="99">
        <f t="shared" si="21"/>
        <v>0</v>
      </c>
      <c r="G279" s="99">
        <f>IF(C279&gt;'Stress Test Inputs'!$B$23*12,0,D279*B279/12)</f>
        <v>0</v>
      </c>
      <c r="H279" s="99">
        <f t="shared" si="20"/>
        <v>0</v>
      </c>
      <c r="I279" s="99">
        <f t="shared" si="23"/>
        <v>0</v>
      </c>
      <c r="J279" s="98"/>
    </row>
    <row r="280" spans="1:10" x14ac:dyDescent="0.25">
      <c r="A280" s="77" t="b">
        <f>IF(('Stress Test Inputs'!$C$23)="FRM", FALSE, ISNUMBER(MATCH(C280,'Stress Test Inputs'!$M$18:$M$30,0)))</f>
        <v>0</v>
      </c>
      <c r="B280" s="103">
        <f>IF($A280, _xlfn.XLOOKUP(C280,'Stress Test Inputs'!$M$17:$M$29,'Stress Test Inputs'!$N$17:$N$29),$B279)</f>
        <v>6.5000000000000002E-2</v>
      </c>
      <c r="C280" s="101">
        <f t="shared" si="22"/>
        <v>278</v>
      </c>
      <c r="D280" s="99">
        <f t="shared" si="24"/>
        <v>0</v>
      </c>
      <c r="E280" s="99">
        <f>IF(OR(D280&lt;=0,C280&gt;'Stress Test Inputs'!$B$23*12),0,IF(AND(C280='Stress Test Inputs'!$B$23*12,'Stress Test Inputs'!$E$23&gt;'Stress Test Inputs'!$B$23),D280+D280*B280/12,IF('Stress Test Inputs'!$C$23="FRM",-PMT($B$3/12,'Stress Test Inputs'!$E$23*12,$D$3),IF($A280,-PMT(B280/12,('Stress Test Inputs'!$E$23*12)-C280+1,D280),E279))))</f>
        <v>0</v>
      </c>
      <c r="F280" s="99">
        <f t="shared" si="21"/>
        <v>0</v>
      </c>
      <c r="G280" s="99">
        <f>IF(C280&gt;'Stress Test Inputs'!$B$23*12,0,D280*B280/12)</f>
        <v>0</v>
      </c>
      <c r="H280" s="99">
        <f t="shared" si="20"/>
        <v>0</v>
      </c>
      <c r="I280" s="99">
        <f t="shared" si="23"/>
        <v>0</v>
      </c>
      <c r="J280" s="98"/>
    </row>
    <row r="281" spans="1:10" x14ac:dyDescent="0.25">
      <c r="A281" s="77" t="b">
        <f>IF(('Stress Test Inputs'!$C$23)="FRM", FALSE, ISNUMBER(MATCH(C281,'Stress Test Inputs'!$M$18:$M$30,0)))</f>
        <v>0</v>
      </c>
      <c r="B281" s="103">
        <f>IF($A281, _xlfn.XLOOKUP(C281,'Stress Test Inputs'!$M$17:$M$29,'Stress Test Inputs'!$N$17:$N$29),$B280)</f>
        <v>6.5000000000000002E-2</v>
      </c>
      <c r="C281" s="101">
        <f t="shared" si="22"/>
        <v>279</v>
      </c>
      <c r="D281" s="99">
        <f t="shared" si="24"/>
        <v>0</v>
      </c>
      <c r="E281" s="99">
        <f>IF(OR(D281&lt;=0,C281&gt;'Stress Test Inputs'!$B$23*12),0,IF(AND(C281='Stress Test Inputs'!$B$23*12,'Stress Test Inputs'!$E$23&gt;'Stress Test Inputs'!$B$23),D281+D281*B281/12,IF('Stress Test Inputs'!$C$23="FRM",-PMT($B$3/12,'Stress Test Inputs'!$E$23*12,$D$3),IF($A281,-PMT(B281/12,('Stress Test Inputs'!$E$23*12)-C281+1,D281),E280))))</f>
        <v>0</v>
      </c>
      <c r="F281" s="99">
        <f t="shared" si="21"/>
        <v>0</v>
      </c>
      <c r="G281" s="99">
        <f>IF(C281&gt;'Stress Test Inputs'!$B$23*12,0,D281*B281/12)</f>
        <v>0</v>
      </c>
      <c r="H281" s="99">
        <f t="shared" si="20"/>
        <v>0</v>
      </c>
      <c r="I281" s="99">
        <f t="shared" si="23"/>
        <v>0</v>
      </c>
      <c r="J281" s="98"/>
    </row>
    <row r="282" spans="1:10" x14ac:dyDescent="0.25">
      <c r="A282" s="77" t="b">
        <f>IF(('Stress Test Inputs'!$C$23)="FRM", FALSE, ISNUMBER(MATCH(C282,'Stress Test Inputs'!$M$18:$M$30,0)))</f>
        <v>0</v>
      </c>
      <c r="B282" s="103">
        <f>IF($A282, _xlfn.XLOOKUP(C282,'Stress Test Inputs'!$M$17:$M$29,'Stress Test Inputs'!$N$17:$N$29),$B281)</f>
        <v>6.5000000000000002E-2</v>
      </c>
      <c r="C282" s="101">
        <f t="shared" si="22"/>
        <v>280</v>
      </c>
      <c r="D282" s="99">
        <f t="shared" si="24"/>
        <v>0</v>
      </c>
      <c r="E282" s="99">
        <f>IF(OR(D282&lt;=0,C282&gt;'Stress Test Inputs'!$B$23*12),0,IF(AND(C282='Stress Test Inputs'!$B$23*12,'Stress Test Inputs'!$E$23&gt;'Stress Test Inputs'!$B$23),D282+D282*B282/12,IF('Stress Test Inputs'!$C$23="FRM",-PMT($B$3/12,'Stress Test Inputs'!$E$23*12,$D$3),IF($A282,-PMT(B282/12,('Stress Test Inputs'!$E$23*12)-C282+1,D282),E281))))</f>
        <v>0</v>
      </c>
      <c r="F282" s="99">
        <f t="shared" si="21"/>
        <v>0</v>
      </c>
      <c r="G282" s="99">
        <f>IF(C282&gt;'Stress Test Inputs'!$B$23*12,0,D282*B282/12)</f>
        <v>0</v>
      </c>
      <c r="H282" s="99">
        <f t="shared" si="20"/>
        <v>0</v>
      </c>
      <c r="I282" s="99">
        <f t="shared" si="23"/>
        <v>0</v>
      </c>
      <c r="J282" s="98"/>
    </row>
    <row r="283" spans="1:10" x14ac:dyDescent="0.25">
      <c r="A283" s="77" t="b">
        <f>IF(('Stress Test Inputs'!$C$23)="FRM", FALSE, ISNUMBER(MATCH(C283,'Stress Test Inputs'!$M$18:$M$30,0)))</f>
        <v>0</v>
      </c>
      <c r="B283" s="103">
        <f>IF($A283, _xlfn.XLOOKUP(C283,'Stress Test Inputs'!$M$17:$M$29,'Stress Test Inputs'!$N$17:$N$29),$B282)</f>
        <v>6.5000000000000002E-2</v>
      </c>
      <c r="C283" s="101">
        <f t="shared" si="22"/>
        <v>281</v>
      </c>
      <c r="D283" s="99">
        <f t="shared" si="24"/>
        <v>0</v>
      </c>
      <c r="E283" s="99">
        <f>IF(OR(D283&lt;=0,C283&gt;'Stress Test Inputs'!$B$23*12),0,IF(AND(C283='Stress Test Inputs'!$B$23*12,'Stress Test Inputs'!$E$23&gt;'Stress Test Inputs'!$B$23),D283+D283*B283/12,IF('Stress Test Inputs'!$C$23="FRM",-PMT($B$3/12,'Stress Test Inputs'!$E$23*12,$D$3),IF($A283,-PMT(B283/12,('Stress Test Inputs'!$E$23*12)-C283+1,D283),E282))))</f>
        <v>0</v>
      </c>
      <c r="F283" s="99">
        <f t="shared" si="21"/>
        <v>0</v>
      </c>
      <c r="G283" s="99">
        <f>IF(C283&gt;'Stress Test Inputs'!$B$23*12,0,D283*B283/12)</f>
        <v>0</v>
      </c>
      <c r="H283" s="99">
        <f t="shared" si="20"/>
        <v>0</v>
      </c>
      <c r="I283" s="99">
        <f t="shared" si="23"/>
        <v>0</v>
      </c>
      <c r="J283" s="98"/>
    </row>
    <row r="284" spans="1:10" x14ac:dyDescent="0.25">
      <c r="A284" s="77" t="b">
        <f>IF(('Stress Test Inputs'!$C$23)="FRM", FALSE, ISNUMBER(MATCH(C284,'Stress Test Inputs'!$M$18:$M$30,0)))</f>
        <v>0</v>
      </c>
      <c r="B284" s="103">
        <f>IF($A284, _xlfn.XLOOKUP(C284,'Stress Test Inputs'!$M$17:$M$29,'Stress Test Inputs'!$N$17:$N$29),$B283)</f>
        <v>6.5000000000000002E-2</v>
      </c>
      <c r="C284" s="101">
        <f t="shared" si="22"/>
        <v>282</v>
      </c>
      <c r="D284" s="99">
        <f t="shared" si="24"/>
        <v>0</v>
      </c>
      <c r="E284" s="99">
        <f>IF(OR(D284&lt;=0,C284&gt;'Stress Test Inputs'!$B$23*12),0,IF(AND(C284='Stress Test Inputs'!$B$23*12,'Stress Test Inputs'!$E$23&gt;'Stress Test Inputs'!$B$23),D284+D284*B284/12,IF('Stress Test Inputs'!$C$23="FRM",-PMT($B$3/12,'Stress Test Inputs'!$E$23*12,$D$3),IF($A284,-PMT(B284/12,('Stress Test Inputs'!$E$23*12)-C284+1,D284),E283))))</f>
        <v>0</v>
      </c>
      <c r="F284" s="99">
        <f t="shared" si="21"/>
        <v>0</v>
      </c>
      <c r="G284" s="99">
        <f>IF(C284&gt;'Stress Test Inputs'!$B$23*12,0,D284*B284/12)</f>
        <v>0</v>
      </c>
      <c r="H284" s="99">
        <f t="shared" si="20"/>
        <v>0</v>
      </c>
      <c r="I284" s="99">
        <f t="shared" si="23"/>
        <v>0</v>
      </c>
      <c r="J284" s="98"/>
    </row>
    <row r="285" spans="1:10" x14ac:dyDescent="0.25">
      <c r="A285" s="77" t="b">
        <f>IF(('Stress Test Inputs'!$C$23)="FRM", FALSE, ISNUMBER(MATCH(C285,'Stress Test Inputs'!$M$18:$M$30,0)))</f>
        <v>0</v>
      </c>
      <c r="B285" s="103">
        <f>IF($A285, _xlfn.XLOOKUP(C285,'Stress Test Inputs'!$M$17:$M$29,'Stress Test Inputs'!$N$17:$N$29),$B284)</f>
        <v>6.5000000000000002E-2</v>
      </c>
      <c r="C285" s="101">
        <f t="shared" si="22"/>
        <v>283</v>
      </c>
      <c r="D285" s="99">
        <f t="shared" si="24"/>
        <v>0</v>
      </c>
      <c r="E285" s="99">
        <f>IF(OR(D285&lt;=0,C285&gt;'Stress Test Inputs'!$B$23*12),0,IF(AND(C285='Stress Test Inputs'!$B$23*12,'Stress Test Inputs'!$E$23&gt;'Stress Test Inputs'!$B$23),D285+D285*B285/12,IF('Stress Test Inputs'!$C$23="FRM",-PMT($B$3/12,'Stress Test Inputs'!$E$23*12,$D$3),IF($A285,-PMT(B285/12,('Stress Test Inputs'!$E$23*12)-C285+1,D285),E284))))</f>
        <v>0</v>
      </c>
      <c r="F285" s="99">
        <f t="shared" si="21"/>
        <v>0</v>
      </c>
      <c r="G285" s="99">
        <f>IF(C285&gt;'Stress Test Inputs'!$B$23*12,0,D285*B285/12)</f>
        <v>0</v>
      </c>
      <c r="H285" s="99">
        <f t="shared" si="20"/>
        <v>0</v>
      </c>
      <c r="I285" s="99">
        <f t="shared" si="23"/>
        <v>0</v>
      </c>
      <c r="J285" s="98"/>
    </row>
    <row r="286" spans="1:10" x14ac:dyDescent="0.25">
      <c r="A286" s="77" t="b">
        <f>IF(('Stress Test Inputs'!$C$23)="FRM", FALSE, ISNUMBER(MATCH(C286,'Stress Test Inputs'!$M$18:$M$30,0)))</f>
        <v>0</v>
      </c>
      <c r="B286" s="103">
        <f>IF($A286, _xlfn.XLOOKUP(C286,'Stress Test Inputs'!$M$17:$M$29,'Stress Test Inputs'!$N$17:$N$29),$B285)</f>
        <v>6.5000000000000002E-2</v>
      </c>
      <c r="C286" s="101">
        <f t="shared" si="22"/>
        <v>284</v>
      </c>
      <c r="D286" s="99">
        <f t="shared" si="24"/>
        <v>0</v>
      </c>
      <c r="E286" s="99">
        <f>IF(OR(D286&lt;=0,C286&gt;'Stress Test Inputs'!$B$23*12),0,IF(AND(C286='Stress Test Inputs'!$B$23*12,'Stress Test Inputs'!$E$23&gt;'Stress Test Inputs'!$B$23),D286+D286*B286/12,IF('Stress Test Inputs'!$C$23="FRM",-PMT($B$3/12,'Stress Test Inputs'!$E$23*12,$D$3),IF($A286,-PMT(B286/12,('Stress Test Inputs'!$E$23*12)-C286+1,D286),E285))))</f>
        <v>0</v>
      </c>
      <c r="F286" s="99">
        <f t="shared" si="21"/>
        <v>0</v>
      </c>
      <c r="G286" s="99">
        <f>IF(C286&gt;'Stress Test Inputs'!$B$23*12,0,D286*B286/12)</f>
        <v>0</v>
      </c>
      <c r="H286" s="99">
        <f t="shared" si="20"/>
        <v>0</v>
      </c>
      <c r="I286" s="99">
        <f t="shared" si="23"/>
        <v>0</v>
      </c>
      <c r="J286" s="98"/>
    </row>
    <row r="287" spans="1:10" x14ac:dyDescent="0.25">
      <c r="A287" s="77" t="b">
        <f>IF(('Stress Test Inputs'!$C$23)="FRM", FALSE, ISNUMBER(MATCH(C287,'Stress Test Inputs'!$M$18:$M$30,0)))</f>
        <v>0</v>
      </c>
      <c r="B287" s="103">
        <f>IF($A287, _xlfn.XLOOKUP(C287,'Stress Test Inputs'!$M$17:$M$29,'Stress Test Inputs'!$N$17:$N$29),$B286)</f>
        <v>6.5000000000000002E-2</v>
      </c>
      <c r="C287" s="101">
        <f t="shared" si="22"/>
        <v>285</v>
      </c>
      <c r="D287" s="99">
        <f t="shared" si="24"/>
        <v>0</v>
      </c>
      <c r="E287" s="99">
        <f>IF(OR(D287&lt;=0,C287&gt;'Stress Test Inputs'!$B$23*12),0,IF(AND(C287='Stress Test Inputs'!$B$23*12,'Stress Test Inputs'!$E$23&gt;'Stress Test Inputs'!$B$23),D287+D287*B287/12,IF('Stress Test Inputs'!$C$23="FRM",-PMT($B$3/12,'Stress Test Inputs'!$E$23*12,$D$3),IF($A287,-PMT(B287/12,('Stress Test Inputs'!$E$23*12)-C287+1,D287),E286))))</f>
        <v>0</v>
      </c>
      <c r="F287" s="99">
        <f t="shared" si="21"/>
        <v>0</v>
      </c>
      <c r="G287" s="99">
        <f>IF(C287&gt;'Stress Test Inputs'!$B$23*12,0,D287*B287/12)</f>
        <v>0</v>
      </c>
      <c r="H287" s="99">
        <f t="shared" si="20"/>
        <v>0</v>
      </c>
      <c r="I287" s="99">
        <f t="shared" si="23"/>
        <v>0</v>
      </c>
      <c r="J287" s="98"/>
    </row>
    <row r="288" spans="1:10" x14ac:dyDescent="0.25">
      <c r="A288" s="77" t="b">
        <f>IF(('Stress Test Inputs'!$C$23)="FRM", FALSE, ISNUMBER(MATCH(C288,'Stress Test Inputs'!$M$18:$M$30,0)))</f>
        <v>0</v>
      </c>
      <c r="B288" s="103">
        <f>IF($A288, _xlfn.XLOOKUP(C288,'Stress Test Inputs'!$M$17:$M$29,'Stress Test Inputs'!$N$17:$N$29),$B287)</f>
        <v>6.5000000000000002E-2</v>
      </c>
      <c r="C288" s="101">
        <f t="shared" si="22"/>
        <v>286</v>
      </c>
      <c r="D288" s="99">
        <f t="shared" si="24"/>
        <v>0</v>
      </c>
      <c r="E288" s="99">
        <f>IF(OR(D288&lt;=0,C288&gt;'Stress Test Inputs'!$B$23*12),0,IF(AND(C288='Stress Test Inputs'!$B$23*12,'Stress Test Inputs'!$E$23&gt;'Stress Test Inputs'!$B$23),D288+D288*B288/12,IF('Stress Test Inputs'!$C$23="FRM",-PMT($B$3/12,'Stress Test Inputs'!$E$23*12,$D$3),IF($A288,-PMT(B288/12,('Stress Test Inputs'!$E$23*12)-C288+1,D288),E287))))</f>
        <v>0</v>
      </c>
      <c r="F288" s="99">
        <f t="shared" si="21"/>
        <v>0</v>
      </c>
      <c r="G288" s="99">
        <f>IF(C288&gt;'Stress Test Inputs'!$B$23*12,0,D288*B288/12)</f>
        <v>0</v>
      </c>
      <c r="H288" s="99">
        <f t="shared" si="20"/>
        <v>0</v>
      </c>
      <c r="I288" s="99">
        <f t="shared" si="23"/>
        <v>0</v>
      </c>
      <c r="J288" s="98"/>
    </row>
    <row r="289" spans="1:10" x14ac:dyDescent="0.25">
      <c r="A289" s="77" t="b">
        <f>IF(('Stress Test Inputs'!$C$23)="FRM", FALSE, ISNUMBER(MATCH(C289,'Stress Test Inputs'!$M$18:$M$30,0)))</f>
        <v>0</v>
      </c>
      <c r="B289" s="103">
        <f>IF($A289, _xlfn.XLOOKUP(C289,'Stress Test Inputs'!$M$17:$M$29,'Stress Test Inputs'!$N$17:$N$29),$B288)</f>
        <v>6.5000000000000002E-2</v>
      </c>
      <c r="C289" s="101">
        <f t="shared" si="22"/>
        <v>287</v>
      </c>
      <c r="D289" s="99">
        <f t="shared" si="24"/>
        <v>0</v>
      </c>
      <c r="E289" s="99">
        <f>IF(OR(D289&lt;=0,C289&gt;'Stress Test Inputs'!$B$23*12),0,IF(AND(C289='Stress Test Inputs'!$B$23*12,'Stress Test Inputs'!$E$23&gt;'Stress Test Inputs'!$B$23),D289+D289*B289/12,IF('Stress Test Inputs'!$C$23="FRM",-PMT($B$3/12,'Stress Test Inputs'!$E$23*12,$D$3),IF($A289,-PMT(B289/12,('Stress Test Inputs'!$E$23*12)-C289+1,D289),E288))))</f>
        <v>0</v>
      </c>
      <c r="F289" s="99">
        <f t="shared" si="21"/>
        <v>0</v>
      </c>
      <c r="G289" s="99">
        <f>IF(C289&gt;'Stress Test Inputs'!$B$23*12,0,D289*B289/12)</f>
        <v>0</v>
      </c>
      <c r="H289" s="99">
        <f t="shared" si="20"/>
        <v>0</v>
      </c>
      <c r="I289" s="99">
        <f t="shared" si="23"/>
        <v>0</v>
      </c>
      <c r="J289" s="98"/>
    </row>
    <row r="290" spans="1:10" x14ac:dyDescent="0.25">
      <c r="A290" s="77" t="b">
        <f>IF(('Stress Test Inputs'!$C$23)="FRM", FALSE, ISNUMBER(MATCH(C290,'Stress Test Inputs'!$M$18:$M$30,0)))</f>
        <v>0</v>
      </c>
      <c r="B290" s="103">
        <f>IF($A290, _xlfn.XLOOKUP(C290,'Stress Test Inputs'!$M$17:$M$29,'Stress Test Inputs'!$N$17:$N$29),$B289)</f>
        <v>6.5000000000000002E-2</v>
      </c>
      <c r="C290" s="101">
        <f t="shared" si="22"/>
        <v>288</v>
      </c>
      <c r="D290" s="99">
        <f t="shared" si="24"/>
        <v>0</v>
      </c>
      <c r="E290" s="99">
        <f>IF(OR(D290&lt;=0,C290&gt;'Stress Test Inputs'!$B$23*12),0,IF(AND(C290='Stress Test Inputs'!$B$23*12,'Stress Test Inputs'!$E$23&gt;'Stress Test Inputs'!$B$23),D290+D290*B290/12,IF('Stress Test Inputs'!$C$23="FRM",-PMT($B$3/12,'Stress Test Inputs'!$E$23*12,$D$3),IF($A290,-PMT(B290/12,('Stress Test Inputs'!$E$23*12)-C290+1,D290),E289))))</f>
        <v>0</v>
      </c>
      <c r="F290" s="99">
        <f t="shared" si="21"/>
        <v>0</v>
      </c>
      <c r="G290" s="99">
        <f>IF(C290&gt;'Stress Test Inputs'!$B$23*12,0,D290*B290/12)</f>
        <v>0</v>
      </c>
      <c r="H290" s="99">
        <f t="shared" si="20"/>
        <v>0</v>
      </c>
      <c r="I290" s="99">
        <f t="shared" si="23"/>
        <v>0</v>
      </c>
      <c r="J290" s="98"/>
    </row>
    <row r="291" spans="1:10" x14ac:dyDescent="0.25">
      <c r="A291" s="77" t="b">
        <f>IF(('Stress Test Inputs'!$C$23)="FRM", FALSE, ISNUMBER(MATCH(C291,'Stress Test Inputs'!$M$18:$M$30,0)))</f>
        <v>0</v>
      </c>
      <c r="B291" s="103">
        <f>IF($A291, _xlfn.XLOOKUP(C291,'Stress Test Inputs'!$M$17:$M$29,'Stress Test Inputs'!$N$17:$N$29),$B290)</f>
        <v>6.5000000000000002E-2</v>
      </c>
      <c r="C291" s="101">
        <f t="shared" si="22"/>
        <v>289</v>
      </c>
      <c r="D291" s="99">
        <f t="shared" si="24"/>
        <v>0</v>
      </c>
      <c r="E291" s="99">
        <f>IF(OR(D291&lt;=0,C291&gt;'Stress Test Inputs'!$B$23*12),0,IF(AND(C291='Stress Test Inputs'!$B$23*12,'Stress Test Inputs'!$E$23&gt;'Stress Test Inputs'!$B$23),D291+D291*B291/12,IF('Stress Test Inputs'!$C$23="FRM",-PMT($B$3/12,'Stress Test Inputs'!$E$23*12,$D$3),IF($A291,-PMT(B291/12,('Stress Test Inputs'!$E$23*12)-C291+1,D291),E290))))</f>
        <v>0</v>
      </c>
      <c r="F291" s="99">
        <f t="shared" si="21"/>
        <v>0</v>
      </c>
      <c r="G291" s="99">
        <f>IF(C291&gt;'Stress Test Inputs'!$B$23*12,0,D291*B291/12)</f>
        <v>0</v>
      </c>
      <c r="H291" s="99">
        <f t="shared" si="20"/>
        <v>0</v>
      </c>
      <c r="I291" s="99">
        <f t="shared" si="23"/>
        <v>0</v>
      </c>
      <c r="J291" s="98"/>
    </row>
    <row r="292" spans="1:10" x14ac:dyDescent="0.25">
      <c r="A292" s="77" t="b">
        <f>IF(('Stress Test Inputs'!$C$23)="FRM", FALSE, ISNUMBER(MATCH(C292,'Stress Test Inputs'!$M$18:$M$30,0)))</f>
        <v>0</v>
      </c>
      <c r="B292" s="103">
        <f>IF($A292, _xlfn.XLOOKUP(C292,'Stress Test Inputs'!$M$17:$M$29,'Stress Test Inputs'!$N$17:$N$29),$B291)</f>
        <v>6.5000000000000002E-2</v>
      </c>
      <c r="C292" s="101">
        <f t="shared" si="22"/>
        <v>290</v>
      </c>
      <c r="D292" s="99">
        <f t="shared" si="24"/>
        <v>0</v>
      </c>
      <c r="E292" s="99">
        <f>IF(OR(D292&lt;=0,C292&gt;'Stress Test Inputs'!$B$23*12),0,IF(AND(C292='Stress Test Inputs'!$B$23*12,'Stress Test Inputs'!$E$23&gt;'Stress Test Inputs'!$B$23),D292+D292*B292/12,IF('Stress Test Inputs'!$C$23="FRM",-PMT($B$3/12,'Stress Test Inputs'!$E$23*12,$D$3),IF($A292,-PMT(B292/12,('Stress Test Inputs'!$E$23*12)-C292+1,D292),E291))))</f>
        <v>0</v>
      </c>
      <c r="F292" s="99">
        <f t="shared" si="21"/>
        <v>0</v>
      </c>
      <c r="G292" s="99">
        <f>IF(C292&gt;'Stress Test Inputs'!$B$23*12,0,D292*B292/12)</f>
        <v>0</v>
      </c>
      <c r="H292" s="99">
        <f t="shared" si="20"/>
        <v>0</v>
      </c>
      <c r="I292" s="99">
        <f t="shared" si="23"/>
        <v>0</v>
      </c>
      <c r="J292" s="98"/>
    </row>
    <row r="293" spans="1:10" x14ac:dyDescent="0.25">
      <c r="A293" s="77" t="b">
        <f>IF(('Stress Test Inputs'!$C$23)="FRM", FALSE, ISNUMBER(MATCH(C293,'Stress Test Inputs'!$M$18:$M$30,0)))</f>
        <v>0</v>
      </c>
      <c r="B293" s="103">
        <f>IF($A293, _xlfn.XLOOKUP(C293,'Stress Test Inputs'!$M$17:$M$29,'Stress Test Inputs'!$N$17:$N$29),$B292)</f>
        <v>6.5000000000000002E-2</v>
      </c>
      <c r="C293" s="101">
        <f t="shared" si="22"/>
        <v>291</v>
      </c>
      <c r="D293" s="99">
        <f t="shared" si="24"/>
        <v>0</v>
      </c>
      <c r="E293" s="99">
        <f>IF(OR(D293&lt;=0,C293&gt;'Stress Test Inputs'!$B$23*12),0,IF(AND(C293='Stress Test Inputs'!$B$23*12,'Stress Test Inputs'!$E$23&gt;'Stress Test Inputs'!$B$23),D293+D293*B293/12,IF('Stress Test Inputs'!$C$23="FRM",-PMT($B$3/12,'Stress Test Inputs'!$E$23*12,$D$3),IF($A293,-PMT(B293/12,('Stress Test Inputs'!$E$23*12)-C293+1,D293),E292))))</f>
        <v>0</v>
      </c>
      <c r="F293" s="99">
        <f t="shared" si="21"/>
        <v>0</v>
      </c>
      <c r="G293" s="99">
        <f>IF(C293&gt;'Stress Test Inputs'!$B$23*12,0,D293*B293/12)</f>
        <v>0</v>
      </c>
      <c r="H293" s="99">
        <f t="shared" si="20"/>
        <v>0</v>
      </c>
      <c r="I293" s="99">
        <f t="shared" si="23"/>
        <v>0</v>
      </c>
      <c r="J293" s="98"/>
    </row>
    <row r="294" spans="1:10" x14ac:dyDescent="0.25">
      <c r="A294" s="77" t="b">
        <f>IF(('Stress Test Inputs'!$C$23)="FRM", FALSE, ISNUMBER(MATCH(C294,'Stress Test Inputs'!$M$18:$M$30,0)))</f>
        <v>0</v>
      </c>
      <c r="B294" s="103">
        <f>IF($A294, _xlfn.XLOOKUP(C294,'Stress Test Inputs'!$M$17:$M$29,'Stress Test Inputs'!$N$17:$N$29),$B293)</f>
        <v>6.5000000000000002E-2</v>
      </c>
      <c r="C294" s="101">
        <f t="shared" si="22"/>
        <v>292</v>
      </c>
      <c r="D294" s="99">
        <f t="shared" si="24"/>
        <v>0</v>
      </c>
      <c r="E294" s="99">
        <f>IF(OR(D294&lt;=0,C294&gt;'Stress Test Inputs'!$B$23*12),0,IF(AND(C294='Stress Test Inputs'!$B$23*12,'Stress Test Inputs'!$E$23&gt;'Stress Test Inputs'!$B$23),D294+D294*B294/12,IF('Stress Test Inputs'!$C$23="FRM",-PMT($B$3/12,'Stress Test Inputs'!$E$23*12,$D$3),IF($A294,-PMT(B294/12,('Stress Test Inputs'!$E$23*12)-C294+1,D294),E293))))</f>
        <v>0</v>
      </c>
      <c r="F294" s="99">
        <f t="shared" si="21"/>
        <v>0</v>
      </c>
      <c r="G294" s="99">
        <f>IF(C294&gt;'Stress Test Inputs'!$B$23*12,0,D294*B294/12)</f>
        <v>0</v>
      </c>
      <c r="H294" s="99">
        <f t="shared" si="20"/>
        <v>0</v>
      </c>
      <c r="I294" s="99">
        <f t="shared" si="23"/>
        <v>0</v>
      </c>
      <c r="J294" s="98"/>
    </row>
    <row r="295" spans="1:10" x14ac:dyDescent="0.25">
      <c r="A295" s="77" t="b">
        <f>IF(('Stress Test Inputs'!$C$23)="FRM", FALSE, ISNUMBER(MATCH(C295,'Stress Test Inputs'!$M$18:$M$30,0)))</f>
        <v>0</v>
      </c>
      <c r="B295" s="103">
        <f>IF($A295, _xlfn.XLOOKUP(C295,'Stress Test Inputs'!$M$17:$M$29,'Stress Test Inputs'!$N$17:$N$29),$B294)</f>
        <v>6.5000000000000002E-2</v>
      </c>
      <c r="C295" s="101">
        <f t="shared" si="22"/>
        <v>293</v>
      </c>
      <c r="D295" s="99">
        <f t="shared" si="24"/>
        <v>0</v>
      </c>
      <c r="E295" s="99">
        <f>IF(OR(D295&lt;=0,C295&gt;'Stress Test Inputs'!$B$23*12),0,IF(AND(C295='Stress Test Inputs'!$B$23*12,'Stress Test Inputs'!$E$23&gt;'Stress Test Inputs'!$B$23),D295+D295*B295/12,IF('Stress Test Inputs'!$C$23="FRM",-PMT($B$3/12,'Stress Test Inputs'!$E$23*12,$D$3),IF($A295,-PMT(B295/12,('Stress Test Inputs'!$E$23*12)-C295+1,D295),E294))))</f>
        <v>0</v>
      </c>
      <c r="F295" s="99">
        <f t="shared" si="21"/>
        <v>0</v>
      </c>
      <c r="G295" s="99">
        <f>IF(C295&gt;'Stress Test Inputs'!$B$23*12,0,D295*B295/12)</f>
        <v>0</v>
      </c>
      <c r="H295" s="99">
        <f t="shared" si="20"/>
        <v>0</v>
      </c>
      <c r="I295" s="99">
        <f t="shared" si="23"/>
        <v>0</v>
      </c>
      <c r="J295" s="98"/>
    </row>
    <row r="296" spans="1:10" x14ac:dyDescent="0.25">
      <c r="A296" s="77" t="b">
        <f>IF(('Stress Test Inputs'!$C$23)="FRM", FALSE, ISNUMBER(MATCH(C296,'Stress Test Inputs'!$M$18:$M$30,0)))</f>
        <v>0</v>
      </c>
      <c r="B296" s="103">
        <f>IF($A296, _xlfn.XLOOKUP(C296,'Stress Test Inputs'!$M$17:$M$29,'Stress Test Inputs'!$N$17:$N$29),$B295)</f>
        <v>6.5000000000000002E-2</v>
      </c>
      <c r="C296" s="101">
        <f t="shared" si="22"/>
        <v>294</v>
      </c>
      <c r="D296" s="99">
        <f t="shared" si="24"/>
        <v>0</v>
      </c>
      <c r="E296" s="99">
        <f>IF(OR(D296&lt;=0,C296&gt;'Stress Test Inputs'!$B$23*12),0,IF(AND(C296='Stress Test Inputs'!$B$23*12,'Stress Test Inputs'!$E$23&gt;'Stress Test Inputs'!$B$23),D296+D296*B296/12,IF('Stress Test Inputs'!$C$23="FRM",-PMT($B$3/12,'Stress Test Inputs'!$E$23*12,$D$3),IF($A296,-PMT(B296/12,('Stress Test Inputs'!$E$23*12)-C296+1,D296),E295))))</f>
        <v>0</v>
      </c>
      <c r="F296" s="99">
        <f t="shared" si="21"/>
        <v>0</v>
      </c>
      <c r="G296" s="99">
        <f>IF(C296&gt;'Stress Test Inputs'!$B$23*12,0,D296*B296/12)</f>
        <v>0</v>
      </c>
      <c r="H296" s="99">
        <f t="shared" si="20"/>
        <v>0</v>
      </c>
      <c r="I296" s="99">
        <f t="shared" si="23"/>
        <v>0</v>
      </c>
      <c r="J296" s="98"/>
    </row>
    <row r="297" spans="1:10" x14ac:dyDescent="0.25">
      <c r="A297" s="77" t="b">
        <f>IF(('Stress Test Inputs'!$C$23)="FRM", FALSE, ISNUMBER(MATCH(C297,'Stress Test Inputs'!$M$18:$M$30,0)))</f>
        <v>0</v>
      </c>
      <c r="B297" s="103">
        <f>IF($A297, _xlfn.XLOOKUP(C297,'Stress Test Inputs'!$M$17:$M$29,'Stress Test Inputs'!$N$17:$N$29),$B296)</f>
        <v>6.5000000000000002E-2</v>
      </c>
      <c r="C297" s="101">
        <f t="shared" si="22"/>
        <v>295</v>
      </c>
      <c r="D297" s="99">
        <f t="shared" si="24"/>
        <v>0</v>
      </c>
      <c r="E297" s="99">
        <f>IF(OR(D297&lt;=0,C297&gt;'Stress Test Inputs'!$B$23*12),0,IF(AND(C297='Stress Test Inputs'!$B$23*12,'Stress Test Inputs'!$E$23&gt;'Stress Test Inputs'!$B$23),D297+D297*B297/12,IF('Stress Test Inputs'!$C$23="FRM",-PMT($B$3/12,'Stress Test Inputs'!$E$23*12,$D$3),IF($A297,-PMT(B297/12,('Stress Test Inputs'!$E$23*12)-C297+1,D297),E296))))</f>
        <v>0</v>
      </c>
      <c r="F297" s="99">
        <f t="shared" si="21"/>
        <v>0</v>
      </c>
      <c r="G297" s="99">
        <f>IF(C297&gt;'Stress Test Inputs'!$B$23*12,0,D297*B297/12)</f>
        <v>0</v>
      </c>
      <c r="H297" s="99">
        <f t="shared" si="20"/>
        <v>0</v>
      </c>
      <c r="I297" s="99">
        <f t="shared" si="23"/>
        <v>0</v>
      </c>
      <c r="J297" s="98"/>
    </row>
    <row r="298" spans="1:10" x14ac:dyDescent="0.25">
      <c r="A298" s="77" t="b">
        <f>IF(('Stress Test Inputs'!$C$23)="FRM", FALSE, ISNUMBER(MATCH(C298,'Stress Test Inputs'!$M$18:$M$30,0)))</f>
        <v>0</v>
      </c>
      <c r="B298" s="103">
        <f>IF($A298, _xlfn.XLOOKUP(C298,'Stress Test Inputs'!$M$17:$M$29,'Stress Test Inputs'!$N$17:$N$29),$B297)</f>
        <v>6.5000000000000002E-2</v>
      </c>
      <c r="C298" s="101">
        <f t="shared" si="22"/>
        <v>296</v>
      </c>
      <c r="D298" s="99">
        <f t="shared" si="24"/>
        <v>0</v>
      </c>
      <c r="E298" s="99">
        <f>IF(OR(D298&lt;=0,C298&gt;'Stress Test Inputs'!$B$23*12),0,IF(AND(C298='Stress Test Inputs'!$B$23*12,'Stress Test Inputs'!$E$23&gt;'Stress Test Inputs'!$B$23),D298+D298*B298/12,IF('Stress Test Inputs'!$C$23="FRM",-PMT($B$3/12,'Stress Test Inputs'!$E$23*12,$D$3),IF($A298,-PMT(B298/12,('Stress Test Inputs'!$E$23*12)-C298+1,D298),E297))))</f>
        <v>0</v>
      </c>
      <c r="F298" s="99">
        <f t="shared" si="21"/>
        <v>0</v>
      </c>
      <c r="G298" s="99">
        <f>IF(C298&gt;'Stress Test Inputs'!$B$23*12,0,D298*B298/12)</f>
        <v>0</v>
      </c>
      <c r="H298" s="99">
        <f t="shared" si="20"/>
        <v>0</v>
      </c>
      <c r="I298" s="99">
        <f t="shared" si="23"/>
        <v>0</v>
      </c>
      <c r="J298" s="98"/>
    </row>
    <row r="299" spans="1:10" x14ac:dyDescent="0.25">
      <c r="A299" s="77" t="b">
        <f>IF(('Stress Test Inputs'!$C$23)="FRM", FALSE, ISNUMBER(MATCH(C299,'Stress Test Inputs'!$M$18:$M$30,0)))</f>
        <v>0</v>
      </c>
      <c r="B299" s="103">
        <f>IF($A299, _xlfn.XLOOKUP(C299,'Stress Test Inputs'!$M$17:$M$29,'Stress Test Inputs'!$N$17:$N$29),$B298)</f>
        <v>6.5000000000000002E-2</v>
      </c>
      <c r="C299" s="101">
        <f t="shared" si="22"/>
        <v>297</v>
      </c>
      <c r="D299" s="99">
        <f t="shared" si="24"/>
        <v>0</v>
      </c>
      <c r="E299" s="99">
        <f>IF(OR(D299&lt;=0,C299&gt;'Stress Test Inputs'!$B$23*12),0,IF(AND(C299='Stress Test Inputs'!$B$23*12,'Stress Test Inputs'!$E$23&gt;'Stress Test Inputs'!$B$23),D299+D299*B299/12,IF('Stress Test Inputs'!$C$23="FRM",-PMT($B$3/12,'Stress Test Inputs'!$E$23*12,$D$3),IF($A299,-PMT(B299/12,('Stress Test Inputs'!$E$23*12)-C299+1,D299),E298))))</f>
        <v>0</v>
      </c>
      <c r="F299" s="99">
        <f t="shared" si="21"/>
        <v>0</v>
      </c>
      <c r="G299" s="99">
        <f>IF(C299&gt;'Stress Test Inputs'!$B$23*12,0,D299*B299/12)</f>
        <v>0</v>
      </c>
      <c r="H299" s="99">
        <f t="shared" si="20"/>
        <v>0</v>
      </c>
      <c r="I299" s="99">
        <f t="shared" si="23"/>
        <v>0</v>
      </c>
      <c r="J299" s="98"/>
    </row>
    <row r="300" spans="1:10" x14ac:dyDescent="0.25">
      <c r="A300" s="77" t="b">
        <f>IF(('Stress Test Inputs'!$C$23)="FRM", FALSE, ISNUMBER(MATCH(C300,'Stress Test Inputs'!$M$18:$M$30,0)))</f>
        <v>0</v>
      </c>
      <c r="B300" s="103">
        <f>IF($A300, _xlfn.XLOOKUP(C300,'Stress Test Inputs'!$M$17:$M$29,'Stress Test Inputs'!$N$17:$N$29),$B299)</f>
        <v>6.5000000000000002E-2</v>
      </c>
      <c r="C300" s="101">
        <f t="shared" si="22"/>
        <v>298</v>
      </c>
      <c r="D300" s="99">
        <f t="shared" si="24"/>
        <v>0</v>
      </c>
      <c r="E300" s="99">
        <f>IF(OR(D300&lt;=0,C300&gt;'Stress Test Inputs'!$B$23*12),0,IF(AND(C300='Stress Test Inputs'!$B$23*12,'Stress Test Inputs'!$E$23&gt;'Stress Test Inputs'!$B$23),D300+D300*B300/12,IF('Stress Test Inputs'!$C$23="FRM",-PMT($B$3/12,'Stress Test Inputs'!$E$23*12,$D$3),IF($A300,-PMT(B300/12,('Stress Test Inputs'!$E$23*12)-C300+1,D300),E299))))</f>
        <v>0</v>
      </c>
      <c r="F300" s="99">
        <f t="shared" si="21"/>
        <v>0</v>
      </c>
      <c r="G300" s="99">
        <f>IF(C300&gt;'Stress Test Inputs'!$B$23*12,0,D300*B300/12)</f>
        <v>0</v>
      </c>
      <c r="H300" s="99">
        <f t="shared" si="20"/>
        <v>0</v>
      </c>
      <c r="I300" s="99">
        <f t="shared" si="23"/>
        <v>0</v>
      </c>
      <c r="J300" s="98"/>
    </row>
    <row r="301" spans="1:10" x14ac:dyDescent="0.25">
      <c r="A301" s="77" t="b">
        <f>IF(('Stress Test Inputs'!$C$23)="FRM", FALSE, ISNUMBER(MATCH(C301,'Stress Test Inputs'!$M$18:$M$30,0)))</f>
        <v>0</v>
      </c>
      <c r="B301" s="103">
        <f>IF($A301, _xlfn.XLOOKUP(C301,'Stress Test Inputs'!$M$17:$M$29,'Stress Test Inputs'!$N$17:$N$29),$B300)</f>
        <v>6.5000000000000002E-2</v>
      </c>
      <c r="C301" s="101">
        <f t="shared" si="22"/>
        <v>299</v>
      </c>
      <c r="D301" s="99">
        <f t="shared" si="24"/>
        <v>0</v>
      </c>
      <c r="E301" s="99">
        <f>IF(OR(D301&lt;=0,C301&gt;'Stress Test Inputs'!$B$23*12),0,IF(AND(C301='Stress Test Inputs'!$B$23*12,'Stress Test Inputs'!$E$23&gt;'Stress Test Inputs'!$B$23),D301+D301*B301/12,IF('Stress Test Inputs'!$C$23="FRM",-PMT($B$3/12,'Stress Test Inputs'!$E$23*12,$D$3),IF($A301,-PMT(B301/12,('Stress Test Inputs'!$E$23*12)-C301+1,D301),E300))))</f>
        <v>0</v>
      </c>
      <c r="F301" s="99">
        <f t="shared" si="21"/>
        <v>0</v>
      </c>
      <c r="G301" s="99">
        <f>IF(C301&gt;'Stress Test Inputs'!$B$23*12,0,D301*B301/12)</f>
        <v>0</v>
      </c>
      <c r="H301" s="99">
        <f t="shared" si="20"/>
        <v>0</v>
      </c>
      <c r="I301" s="99">
        <f t="shared" si="23"/>
        <v>0</v>
      </c>
      <c r="J301" s="98"/>
    </row>
    <row r="302" spans="1:10" x14ac:dyDescent="0.25">
      <c r="A302" s="77" t="b">
        <f>IF(('Stress Test Inputs'!$C$23)="FRM", FALSE, ISNUMBER(MATCH(C302,'Stress Test Inputs'!$M$18:$M$30,0)))</f>
        <v>0</v>
      </c>
      <c r="B302" s="103">
        <f>IF($A302, _xlfn.XLOOKUP(C302,'Stress Test Inputs'!$M$17:$M$29,'Stress Test Inputs'!$N$17:$N$29),$B301)</f>
        <v>6.5000000000000002E-2</v>
      </c>
      <c r="C302" s="101">
        <f t="shared" si="22"/>
        <v>300</v>
      </c>
      <c r="D302" s="99">
        <f t="shared" si="24"/>
        <v>0</v>
      </c>
      <c r="E302" s="99">
        <f>IF(OR(D302&lt;=0,C302&gt;'Stress Test Inputs'!$B$23*12),0,IF(AND(C302='Stress Test Inputs'!$B$23*12,'Stress Test Inputs'!$E$23&gt;'Stress Test Inputs'!$B$23),D302+D302*B302/12,IF('Stress Test Inputs'!$C$23="FRM",-PMT($B$3/12,'Stress Test Inputs'!$E$23*12,$D$3),IF($A302,-PMT(B302/12,('Stress Test Inputs'!$E$23*12)-C302+1,D302),E301))))</f>
        <v>0</v>
      </c>
      <c r="F302" s="99">
        <f t="shared" si="21"/>
        <v>0</v>
      </c>
      <c r="G302" s="99">
        <f>IF(C302&gt;'Stress Test Inputs'!$B$23*12,0,D302*B302/12)</f>
        <v>0</v>
      </c>
      <c r="H302" s="99">
        <f t="shared" si="20"/>
        <v>0</v>
      </c>
      <c r="I302" s="99">
        <f t="shared" si="23"/>
        <v>0</v>
      </c>
      <c r="J302" s="98"/>
    </row>
    <row r="303" spans="1:10" x14ac:dyDescent="0.25">
      <c r="A303" s="77" t="b">
        <f>IF(('Stress Test Inputs'!$C$23)="FRM", FALSE, ISNUMBER(MATCH(C303,'Stress Test Inputs'!$M$18:$M$30,0)))</f>
        <v>0</v>
      </c>
      <c r="B303" s="103">
        <f>IF($A303, _xlfn.XLOOKUP(C303,'Stress Test Inputs'!$M$17:$M$29,'Stress Test Inputs'!$N$17:$N$29),$B302)</f>
        <v>6.5000000000000002E-2</v>
      </c>
      <c r="C303" s="101">
        <f t="shared" si="22"/>
        <v>301</v>
      </c>
      <c r="D303" s="99">
        <f t="shared" si="24"/>
        <v>0</v>
      </c>
      <c r="E303" s="99">
        <f>IF(OR(D303&lt;=0,C303&gt;'Stress Test Inputs'!$B$23*12),0,IF(AND(C303='Stress Test Inputs'!$B$23*12,'Stress Test Inputs'!$E$23&gt;'Stress Test Inputs'!$B$23),D303+D303*B303/12,IF('Stress Test Inputs'!$C$23="FRM",-PMT($B$3/12,'Stress Test Inputs'!$E$23*12,$D$3),IF($A303,-PMT(B303/12,('Stress Test Inputs'!$E$23*12)-C303+1,D303),E302))))</f>
        <v>0</v>
      </c>
      <c r="F303" s="99">
        <f t="shared" si="21"/>
        <v>0</v>
      </c>
      <c r="G303" s="99">
        <f>IF(C303&gt;'Stress Test Inputs'!$B$23*12,0,D303*B303/12)</f>
        <v>0</v>
      </c>
      <c r="H303" s="99">
        <f t="shared" si="20"/>
        <v>0</v>
      </c>
      <c r="I303" s="99">
        <f t="shared" si="23"/>
        <v>0</v>
      </c>
      <c r="J303" s="98"/>
    </row>
    <row r="304" spans="1:10" x14ac:dyDescent="0.25">
      <c r="A304" s="77" t="b">
        <f>IF(('Stress Test Inputs'!$C$23)="FRM", FALSE, ISNUMBER(MATCH(C304,'Stress Test Inputs'!$M$18:$M$30,0)))</f>
        <v>0</v>
      </c>
      <c r="B304" s="103">
        <f>IF($A304, _xlfn.XLOOKUP(C304,'Stress Test Inputs'!$M$17:$M$29,'Stress Test Inputs'!$N$17:$N$29),$B303)</f>
        <v>6.5000000000000002E-2</v>
      </c>
      <c r="C304" s="101">
        <f t="shared" si="22"/>
        <v>302</v>
      </c>
      <c r="D304" s="99">
        <f t="shared" si="24"/>
        <v>0</v>
      </c>
      <c r="E304" s="99">
        <f>IF(OR(D304&lt;=0,C304&gt;'Stress Test Inputs'!$B$23*12),0,IF(AND(C304='Stress Test Inputs'!$B$23*12,'Stress Test Inputs'!$E$23&gt;'Stress Test Inputs'!$B$23),D304+D304*B304/12,IF('Stress Test Inputs'!$C$23="FRM",-PMT($B$3/12,'Stress Test Inputs'!$E$23*12,$D$3),IF($A304,-PMT(B304/12,('Stress Test Inputs'!$E$23*12)-C304+1,D304),E303))))</f>
        <v>0</v>
      </c>
      <c r="F304" s="99">
        <f t="shared" si="21"/>
        <v>0</v>
      </c>
      <c r="G304" s="99">
        <f>IF(C304&gt;'Stress Test Inputs'!$B$23*12,0,D304*B304/12)</f>
        <v>0</v>
      </c>
      <c r="H304" s="99">
        <f t="shared" si="20"/>
        <v>0</v>
      </c>
      <c r="I304" s="99">
        <f t="shared" si="23"/>
        <v>0</v>
      </c>
      <c r="J304" s="98"/>
    </row>
    <row r="305" spans="1:10" x14ac:dyDescent="0.25">
      <c r="A305" s="77" t="b">
        <f>IF(('Stress Test Inputs'!$C$23)="FRM", FALSE, ISNUMBER(MATCH(C305,'Stress Test Inputs'!$M$18:$M$30,0)))</f>
        <v>0</v>
      </c>
      <c r="B305" s="103">
        <f>IF($A305, _xlfn.XLOOKUP(C305,'Stress Test Inputs'!$M$17:$M$29,'Stress Test Inputs'!$N$17:$N$29),$B304)</f>
        <v>6.5000000000000002E-2</v>
      </c>
      <c r="C305" s="101">
        <f t="shared" si="22"/>
        <v>303</v>
      </c>
      <c r="D305" s="99">
        <f t="shared" si="24"/>
        <v>0</v>
      </c>
      <c r="E305" s="99">
        <f>IF(OR(D305&lt;=0,C305&gt;'Stress Test Inputs'!$B$23*12),0,IF(AND(C305='Stress Test Inputs'!$B$23*12,'Stress Test Inputs'!$E$23&gt;'Stress Test Inputs'!$B$23),D305+D305*B305/12,IF('Stress Test Inputs'!$C$23="FRM",-PMT($B$3/12,'Stress Test Inputs'!$E$23*12,$D$3),IF($A305,-PMT(B305/12,('Stress Test Inputs'!$E$23*12)-C305+1,D305),E304))))</f>
        <v>0</v>
      </c>
      <c r="F305" s="99">
        <f t="shared" si="21"/>
        <v>0</v>
      </c>
      <c r="G305" s="99">
        <f>IF(C305&gt;'Stress Test Inputs'!$B$23*12,0,D305*B305/12)</f>
        <v>0</v>
      </c>
      <c r="H305" s="99">
        <f t="shared" si="20"/>
        <v>0</v>
      </c>
      <c r="I305" s="99">
        <f t="shared" si="23"/>
        <v>0</v>
      </c>
      <c r="J305" s="98"/>
    </row>
    <row r="306" spans="1:10" x14ac:dyDescent="0.25">
      <c r="A306" s="77" t="b">
        <f>IF(('Stress Test Inputs'!$C$23)="FRM", FALSE, ISNUMBER(MATCH(C306,'Stress Test Inputs'!$M$18:$M$30,0)))</f>
        <v>0</v>
      </c>
      <c r="B306" s="103">
        <f>IF($A306, _xlfn.XLOOKUP(C306,'Stress Test Inputs'!$M$17:$M$29,'Stress Test Inputs'!$N$17:$N$29),$B305)</f>
        <v>6.5000000000000002E-2</v>
      </c>
      <c r="C306" s="101">
        <f t="shared" si="22"/>
        <v>304</v>
      </c>
      <c r="D306" s="99">
        <f t="shared" si="24"/>
        <v>0</v>
      </c>
      <c r="E306" s="99">
        <f>IF(OR(D306&lt;=0,C306&gt;'Stress Test Inputs'!$B$23*12),0,IF(AND(C306='Stress Test Inputs'!$B$23*12,'Stress Test Inputs'!$E$23&gt;'Stress Test Inputs'!$B$23),D306+D306*B306/12,IF('Stress Test Inputs'!$C$23="FRM",-PMT($B$3/12,'Stress Test Inputs'!$E$23*12,$D$3),IF($A306,-PMT(B306/12,('Stress Test Inputs'!$E$23*12)-C306+1,D306),E305))))</f>
        <v>0</v>
      </c>
      <c r="F306" s="99">
        <f t="shared" si="21"/>
        <v>0</v>
      </c>
      <c r="G306" s="99">
        <f>IF(C306&gt;'Stress Test Inputs'!$B$23*12,0,D306*B306/12)</f>
        <v>0</v>
      </c>
      <c r="H306" s="99">
        <f t="shared" si="20"/>
        <v>0</v>
      </c>
      <c r="I306" s="99">
        <f t="shared" si="23"/>
        <v>0</v>
      </c>
      <c r="J306" s="98"/>
    </row>
    <row r="307" spans="1:10" x14ac:dyDescent="0.25">
      <c r="A307" s="77" t="b">
        <f>IF(('Stress Test Inputs'!$C$23)="FRM", FALSE, ISNUMBER(MATCH(C307,'Stress Test Inputs'!$M$18:$M$30,0)))</f>
        <v>0</v>
      </c>
      <c r="B307" s="103">
        <f>IF($A307, _xlfn.XLOOKUP(C307,'Stress Test Inputs'!$M$17:$M$29,'Stress Test Inputs'!$N$17:$N$29),$B306)</f>
        <v>6.5000000000000002E-2</v>
      </c>
      <c r="C307" s="101">
        <f t="shared" si="22"/>
        <v>305</v>
      </c>
      <c r="D307" s="99">
        <f t="shared" si="24"/>
        <v>0</v>
      </c>
      <c r="E307" s="99">
        <f>IF(OR(D307&lt;=0,C307&gt;'Stress Test Inputs'!$B$23*12),0,IF(AND(C307='Stress Test Inputs'!$B$23*12,'Stress Test Inputs'!$E$23&gt;'Stress Test Inputs'!$B$23),D307+D307*B307/12,IF('Stress Test Inputs'!$C$23="FRM",-PMT($B$3/12,'Stress Test Inputs'!$E$23*12,$D$3),IF($A307,-PMT(B307/12,('Stress Test Inputs'!$E$23*12)-C307+1,D307),E306))))</f>
        <v>0</v>
      </c>
      <c r="F307" s="99">
        <f t="shared" si="21"/>
        <v>0</v>
      </c>
      <c r="G307" s="99">
        <f>IF(C307&gt;'Stress Test Inputs'!$B$23*12,0,D307*B307/12)</f>
        <v>0</v>
      </c>
      <c r="H307" s="99">
        <f t="shared" si="20"/>
        <v>0</v>
      </c>
      <c r="I307" s="99">
        <f t="shared" si="23"/>
        <v>0</v>
      </c>
      <c r="J307" s="98"/>
    </row>
    <row r="308" spans="1:10" x14ac:dyDescent="0.25">
      <c r="A308" s="77" t="b">
        <f>IF(('Stress Test Inputs'!$C$23)="FRM", FALSE, ISNUMBER(MATCH(C308,'Stress Test Inputs'!$M$18:$M$30,0)))</f>
        <v>0</v>
      </c>
      <c r="B308" s="103">
        <f>IF($A308, _xlfn.XLOOKUP(C308,'Stress Test Inputs'!$M$17:$M$29,'Stress Test Inputs'!$N$17:$N$29),$B307)</f>
        <v>6.5000000000000002E-2</v>
      </c>
      <c r="C308" s="101">
        <f t="shared" si="22"/>
        <v>306</v>
      </c>
      <c r="D308" s="99">
        <f t="shared" si="24"/>
        <v>0</v>
      </c>
      <c r="E308" s="99">
        <f>IF(OR(D308&lt;=0,C308&gt;'Stress Test Inputs'!$B$23*12),0,IF(AND(C308='Stress Test Inputs'!$B$23*12,'Stress Test Inputs'!$E$23&gt;'Stress Test Inputs'!$B$23),D308+D308*B308/12,IF('Stress Test Inputs'!$C$23="FRM",-PMT($B$3/12,'Stress Test Inputs'!$E$23*12,$D$3),IF($A308,-PMT(B308/12,('Stress Test Inputs'!$E$23*12)-C308+1,D308),E307))))</f>
        <v>0</v>
      </c>
      <c r="F308" s="99">
        <f t="shared" si="21"/>
        <v>0</v>
      </c>
      <c r="G308" s="99">
        <f>IF(C308&gt;'Stress Test Inputs'!$B$23*12,0,D308*B308/12)</f>
        <v>0</v>
      </c>
      <c r="H308" s="99">
        <f t="shared" si="20"/>
        <v>0</v>
      </c>
      <c r="I308" s="99">
        <f t="shared" si="23"/>
        <v>0</v>
      </c>
      <c r="J308" s="98"/>
    </row>
    <row r="309" spans="1:10" x14ac:dyDescent="0.25">
      <c r="A309" s="77" t="b">
        <f>IF(('Stress Test Inputs'!$C$23)="FRM", FALSE, ISNUMBER(MATCH(C309,'Stress Test Inputs'!$M$18:$M$30,0)))</f>
        <v>0</v>
      </c>
      <c r="B309" s="103">
        <f>IF($A309, _xlfn.XLOOKUP(C309,'Stress Test Inputs'!$M$17:$M$29,'Stress Test Inputs'!$N$17:$N$29),$B308)</f>
        <v>6.5000000000000002E-2</v>
      </c>
      <c r="C309" s="101">
        <f t="shared" si="22"/>
        <v>307</v>
      </c>
      <c r="D309" s="99">
        <f t="shared" si="24"/>
        <v>0</v>
      </c>
      <c r="E309" s="99">
        <f>IF(OR(D309&lt;=0,C309&gt;'Stress Test Inputs'!$B$23*12),0,IF(AND(C309='Stress Test Inputs'!$B$23*12,'Stress Test Inputs'!$E$23&gt;'Stress Test Inputs'!$B$23),D309+D309*B309/12,IF('Stress Test Inputs'!$C$23="FRM",-PMT($B$3/12,'Stress Test Inputs'!$E$23*12,$D$3),IF($A309,-PMT(B309/12,('Stress Test Inputs'!$E$23*12)-C309+1,D309),E308))))</f>
        <v>0</v>
      </c>
      <c r="F309" s="99">
        <f t="shared" si="21"/>
        <v>0</v>
      </c>
      <c r="G309" s="99">
        <f>IF(C309&gt;'Stress Test Inputs'!$B$23*12,0,D309*B309/12)</f>
        <v>0</v>
      </c>
      <c r="H309" s="99">
        <f t="shared" si="20"/>
        <v>0</v>
      </c>
      <c r="I309" s="99">
        <f t="shared" si="23"/>
        <v>0</v>
      </c>
      <c r="J309" s="98"/>
    </row>
    <row r="310" spans="1:10" x14ac:dyDescent="0.25">
      <c r="A310" s="77" t="b">
        <f>IF(('Stress Test Inputs'!$C$23)="FRM", FALSE, ISNUMBER(MATCH(C310,'Stress Test Inputs'!$M$18:$M$30,0)))</f>
        <v>0</v>
      </c>
      <c r="B310" s="103">
        <f>IF($A310, _xlfn.XLOOKUP(C310,'Stress Test Inputs'!$M$17:$M$29,'Stress Test Inputs'!$N$17:$N$29),$B309)</f>
        <v>6.5000000000000002E-2</v>
      </c>
      <c r="C310" s="101">
        <f t="shared" si="22"/>
        <v>308</v>
      </c>
      <c r="D310" s="99">
        <f t="shared" si="24"/>
        <v>0</v>
      </c>
      <c r="E310" s="99">
        <f>IF(OR(D310&lt;=0,C310&gt;'Stress Test Inputs'!$B$23*12),0,IF(AND(C310='Stress Test Inputs'!$B$23*12,'Stress Test Inputs'!$E$23&gt;'Stress Test Inputs'!$B$23),D310+D310*B310/12,IF('Stress Test Inputs'!$C$23="FRM",-PMT($B$3/12,'Stress Test Inputs'!$E$23*12,$D$3),IF($A310,-PMT(B310/12,('Stress Test Inputs'!$E$23*12)-C310+1,D310),E309))))</f>
        <v>0</v>
      </c>
      <c r="F310" s="99">
        <f t="shared" si="21"/>
        <v>0</v>
      </c>
      <c r="G310" s="99">
        <f>IF(C310&gt;'Stress Test Inputs'!$B$23*12,0,D310*B310/12)</f>
        <v>0</v>
      </c>
      <c r="H310" s="99">
        <f t="shared" si="20"/>
        <v>0</v>
      </c>
      <c r="I310" s="99">
        <f t="shared" si="23"/>
        <v>0</v>
      </c>
      <c r="J310" s="98"/>
    </row>
    <row r="311" spans="1:10" x14ac:dyDescent="0.25">
      <c r="A311" s="77" t="b">
        <f>IF(('Stress Test Inputs'!$C$23)="FRM", FALSE, ISNUMBER(MATCH(C311,'Stress Test Inputs'!$M$18:$M$30,0)))</f>
        <v>0</v>
      </c>
      <c r="B311" s="103">
        <f>IF($A311, _xlfn.XLOOKUP(C311,'Stress Test Inputs'!$M$17:$M$29,'Stress Test Inputs'!$N$17:$N$29),$B310)</f>
        <v>6.5000000000000002E-2</v>
      </c>
      <c r="C311" s="101">
        <f t="shared" si="22"/>
        <v>309</v>
      </c>
      <c r="D311" s="99">
        <f t="shared" si="24"/>
        <v>0</v>
      </c>
      <c r="E311" s="99">
        <f>IF(OR(D311&lt;=0,C311&gt;'Stress Test Inputs'!$B$23*12),0,IF(AND(C311='Stress Test Inputs'!$B$23*12,'Stress Test Inputs'!$E$23&gt;'Stress Test Inputs'!$B$23),D311+D311*B311/12,IF('Stress Test Inputs'!$C$23="FRM",-PMT($B$3/12,'Stress Test Inputs'!$E$23*12,$D$3),IF($A311,-PMT(B311/12,('Stress Test Inputs'!$E$23*12)-C311+1,D311),E310))))</f>
        <v>0</v>
      </c>
      <c r="F311" s="99">
        <f t="shared" si="21"/>
        <v>0</v>
      </c>
      <c r="G311" s="99">
        <f>IF(C311&gt;'Stress Test Inputs'!$B$23*12,0,D311*B311/12)</f>
        <v>0</v>
      </c>
      <c r="H311" s="99">
        <f t="shared" si="20"/>
        <v>0</v>
      </c>
      <c r="I311" s="99">
        <f t="shared" si="23"/>
        <v>0</v>
      </c>
      <c r="J311" s="98"/>
    </row>
    <row r="312" spans="1:10" x14ac:dyDescent="0.25">
      <c r="A312" s="77" t="b">
        <f>IF(('Stress Test Inputs'!$C$23)="FRM", FALSE, ISNUMBER(MATCH(C312,'Stress Test Inputs'!$M$18:$M$30,0)))</f>
        <v>0</v>
      </c>
      <c r="B312" s="103">
        <f>IF($A312, _xlfn.XLOOKUP(C312,'Stress Test Inputs'!$M$17:$M$29,'Stress Test Inputs'!$N$17:$N$29),$B311)</f>
        <v>6.5000000000000002E-2</v>
      </c>
      <c r="C312" s="101">
        <f t="shared" si="22"/>
        <v>310</v>
      </c>
      <c r="D312" s="99">
        <f t="shared" si="24"/>
        <v>0</v>
      </c>
      <c r="E312" s="99">
        <f>IF(OR(D312&lt;=0,C312&gt;'Stress Test Inputs'!$B$23*12),0,IF(AND(C312='Stress Test Inputs'!$B$23*12,'Stress Test Inputs'!$E$23&gt;'Stress Test Inputs'!$B$23),D312+D312*B312/12,IF('Stress Test Inputs'!$C$23="FRM",-PMT($B$3/12,'Stress Test Inputs'!$E$23*12,$D$3),IF($A312,-PMT(B312/12,('Stress Test Inputs'!$E$23*12)-C312+1,D312),E311))))</f>
        <v>0</v>
      </c>
      <c r="F312" s="99">
        <f t="shared" si="21"/>
        <v>0</v>
      </c>
      <c r="G312" s="99">
        <f>IF(C312&gt;'Stress Test Inputs'!$B$23*12,0,D312*B312/12)</f>
        <v>0</v>
      </c>
      <c r="H312" s="99">
        <f t="shared" si="20"/>
        <v>0</v>
      </c>
      <c r="I312" s="99">
        <f t="shared" si="23"/>
        <v>0</v>
      </c>
      <c r="J312" s="98"/>
    </row>
    <row r="313" spans="1:10" x14ac:dyDescent="0.25">
      <c r="A313" s="77" t="b">
        <f>IF(('Stress Test Inputs'!$C$23)="FRM", FALSE, ISNUMBER(MATCH(C313,'Stress Test Inputs'!$M$18:$M$30,0)))</f>
        <v>0</v>
      </c>
      <c r="B313" s="103">
        <f>IF($A313, _xlfn.XLOOKUP(C313,'Stress Test Inputs'!$M$17:$M$29,'Stress Test Inputs'!$N$17:$N$29),$B312)</f>
        <v>6.5000000000000002E-2</v>
      </c>
      <c r="C313" s="101">
        <f t="shared" si="22"/>
        <v>311</v>
      </c>
      <c r="D313" s="99">
        <f t="shared" si="24"/>
        <v>0</v>
      </c>
      <c r="E313" s="99">
        <f>IF(OR(D313&lt;=0,C313&gt;'Stress Test Inputs'!$B$23*12),0,IF(AND(C313='Stress Test Inputs'!$B$23*12,'Stress Test Inputs'!$E$23&gt;'Stress Test Inputs'!$B$23),D313+D313*B313/12,IF('Stress Test Inputs'!$C$23="FRM",-PMT($B$3/12,'Stress Test Inputs'!$E$23*12,$D$3),IF($A313,-PMT(B313/12,('Stress Test Inputs'!$E$23*12)-C313+1,D313),E312))))</f>
        <v>0</v>
      </c>
      <c r="F313" s="99">
        <f t="shared" si="21"/>
        <v>0</v>
      </c>
      <c r="G313" s="99">
        <f>IF(C313&gt;'Stress Test Inputs'!$B$23*12,0,D313*B313/12)</f>
        <v>0</v>
      </c>
      <c r="H313" s="99">
        <f t="shared" si="20"/>
        <v>0</v>
      </c>
      <c r="I313" s="99">
        <f t="shared" si="23"/>
        <v>0</v>
      </c>
      <c r="J313" s="98"/>
    </row>
    <row r="314" spans="1:10" x14ac:dyDescent="0.25">
      <c r="A314" s="77" t="b">
        <f>IF(('Stress Test Inputs'!$C$23)="FRM", FALSE, ISNUMBER(MATCH(C314,'Stress Test Inputs'!$M$18:$M$30,0)))</f>
        <v>0</v>
      </c>
      <c r="B314" s="103">
        <f>IF($A314, _xlfn.XLOOKUP(C314,'Stress Test Inputs'!$M$17:$M$29,'Stress Test Inputs'!$N$17:$N$29),$B313)</f>
        <v>6.5000000000000002E-2</v>
      </c>
      <c r="C314" s="101">
        <f t="shared" si="22"/>
        <v>312</v>
      </c>
      <c r="D314" s="99">
        <f t="shared" si="24"/>
        <v>0</v>
      </c>
      <c r="E314" s="99">
        <f>IF(OR(D314&lt;=0,C314&gt;'Stress Test Inputs'!$B$23*12),0,IF(AND(C314='Stress Test Inputs'!$B$23*12,'Stress Test Inputs'!$E$23&gt;'Stress Test Inputs'!$B$23),D314+D314*B314/12,IF('Stress Test Inputs'!$C$23="FRM",-PMT($B$3/12,'Stress Test Inputs'!$E$23*12,$D$3),IF($A314,-PMT(B314/12,('Stress Test Inputs'!$E$23*12)-C314+1,D314),E313))))</f>
        <v>0</v>
      </c>
      <c r="F314" s="99">
        <f t="shared" si="21"/>
        <v>0</v>
      </c>
      <c r="G314" s="99">
        <f>IF(C314&gt;'Stress Test Inputs'!$B$23*12,0,D314*B314/12)</f>
        <v>0</v>
      </c>
      <c r="H314" s="99">
        <f t="shared" si="20"/>
        <v>0</v>
      </c>
      <c r="I314" s="99">
        <f t="shared" si="23"/>
        <v>0</v>
      </c>
      <c r="J314" s="98"/>
    </row>
    <row r="315" spans="1:10" x14ac:dyDescent="0.25">
      <c r="A315" s="77" t="b">
        <f>IF(('Stress Test Inputs'!$C$23)="FRM", FALSE, ISNUMBER(MATCH(C315,'Stress Test Inputs'!$M$18:$M$30,0)))</f>
        <v>0</v>
      </c>
      <c r="B315" s="103">
        <f>IF($A315, _xlfn.XLOOKUP(C315,'Stress Test Inputs'!$M$17:$M$29,'Stress Test Inputs'!$N$17:$N$29),$B314)</f>
        <v>6.5000000000000002E-2</v>
      </c>
      <c r="C315" s="101">
        <f t="shared" si="22"/>
        <v>313</v>
      </c>
      <c r="D315" s="99">
        <f t="shared" si="24"/>
        <v>0</v>
      </c>
      <c r="E315" s="99">
        <f>IF(OR(D315&lt;=0,C315&gt;'Stress Test Inputs'!$B$23*12),0,IF(AND(C315='Stress Test Inputs'!$B$23*12,'Stress Test Inputs'!$E$23&gt;'Stress Test Inputs'!$B$23),D315+D315*B315/12,IF('Stress Test Inputs'!$C$23="FRM",-PMT($B$3/12,'Stress Test Inputs'!$E$23*12,$D$3),IF($A315,-PMT(B315/12,('Stress Test Inputs'!$E$23*12)-C315+1,D315),E314))))</f>
        <v>0</v>
      </c>
      <c r="F315" s="99">
        <f t="shared" si="21"/>
        <v>0</v>
      </c>
      <c r="G315" s="99">
        <f>IF(C315&gt;'Stress Test Inputs'!$B$23*12,0,D315*B315/12)</f>
        <v>0</v>
      </c>
      <c r="H315" s="99">
        <f t="shared" si="20"/>
        <v>0</v>
      </c>
      <c r="I315" s="99">
        <f t="shared" si="23"/>
        <v>0</v>
      </c>
      <c r="J315" s="98"/>
    </row>
    <row r="316" spans="1:10" x14ac:dyDescent="0.25">
      <c r="A316" s="77" t="b">
        <f>IF(('Stress Test Inputs'!$C$23)="FRM", FALSE, ISNUMBER(MATCH(C316,'Stress Test Inputs'!$M$18:$M$30,0)))</f>
        <v>0</v>
      </c>
      <c r="B316" s="103">
        <f>IF($A316, _xlfn.XLOOKUP(C316,'Stress Test Inputs'!$M$17:$M$29,'Stress Test Inputs'!$N$17:$N$29),$B315)</f>
        <v>6.5000000000000002E-2</v>
      </c>
      <c r="C316" s="101">
        <f t="shared" si="22"/>
        <v>314</v>
      </c>
      <c r="D316" s="99">
        <f t="shared" si="24"/>
        <v>0</v>
      </c>
      <c r="E316" s="99">
        <f>IF(OR(D316&lt;=0,C316&gt;'Stress Test Inputs'!$B$23*12),0,IF(AND(C316='Stress Test Inputs'!$B$23*12,'Stress Test Inputs'!$E$23&gt;'Stress Test Inputs'!$B$23),D316+D316*B316/12,IF('Stress Test Inputs'!$C$23="FRM",-PMT($B$3/12,'Stress Test Inputs'!$E$23*12,$D$3),IF($A316,-PMT(B316/12,('Stress Test Inputs'!$E$23*12)-C316+1,D316),E315))))</f>
        <v>0</v>
      </c>
      <c r="F316" s="99">
        <f t="shared" si="21"/>
        <v>0</v>
      </c>
      <c r="G316" s="99">
        <f>IF(C316&gt;'Stress Test Inputs'!$B$23*12,0,D316*B316/12)</f>
        <v>0</v>
      </c>
      <c r="H316" s="99">
        <f t="shared" si="20"/>
        <v>0</v>
      </c>
      <c r="I316" s="99">
        <f t="shared" si="23"/>
        <v>0</v>
      </c>
      <c r="J316" s="98"/>
    </row>
    <row r="317" spans="1:10" x14ac:dyDescent="0.25">
      <c r="A317" s="77" t="b">
        <f>IF(('Stress Test Inputs'!$C$23)="FRM", FALSE, ISNUMBER(MATCH(C317,'Stress Test Inputs'!$M$18:$M$30,0)))</f>
        <v>0</v>
      </c>
      <c r="B317" s="103">
        <f>IF($A317, _xlfn.XLOOKUP(C317,'Stress Test Inputs'!$M$17:$M$29,'Stress Test Inputs'!$N$17:$N$29),$B316)</f>
        <v>6.5000000000000002E-2</v>
      </c>
      <c r="C317" s="101">
        <f t="shared" si="22"/>
        <v>315</v>
      </c>
      <c r="D317" s="99">
        <f t="shared" si="24"/>
        <v>0</v>
      </c>
      <c r="E317" s="99">
        <f>IF(OR(D317&lt;=0,C317&gt;'Stress Test Inputs'!$B$23*12),0,IF(AND(C317='Stress Test Inputs'!$B$23*12,'Stress Test Inputs'!$E$23&gt;'Stress Test Inputs'!$B$23),D317+D317*B317/12,IF('Stress Test Inputs'!$C$23="FRM",-PMT($B$3/12,'Stress Test Inputs'!$E$23*12,$D$3),IF($A317,-PMT(B317/12,('Stress Test Inputs'!$E$23*12)-C317+1,D317),E316))))</f>
        <v>0</v>
      </c>
      <c r="F317" s="99">
        <f t="shared" si="21"/>
        <v>0</v>
      </c>
      <c r="G317" s="99">
        <f>IF(C317&gt;'Stress Test Inputs'!$B$23*12,0,D317*B317/12)</f>
        <v>0</v>
      </c>
      <c r="H317" s="99">
        <f t="shared" si="20"/>
        <v>0</v>
      </c>
      <c r="I317" s="99">
        <f t="shared" si="23"/>
        <v>0</v>
      </c>
      <c r="J317" s="98"/>
    </row>
    <row r="318" spans="1:10" x14ac:dyDescent="0.25">
      <c r="A318" s="77" t="b">
        <f>IF(('Stress Test Inputs'!$C$23)="FRM", FALSE, ISNUMBER(MATCH(C318,'Stress Test Inputs'!$M$18:$M$30,0)))</f>
        <v>0</v>
      </c>
      <c r="B318" s="103">
        <f>IF($A318, _xlfn.XLOOKUP(C318,'Stress Test Inputs'!$M$17:$M$29,'Stress Test Inputs'!$N$17:$N$29),$B317)</f>
        <v>6.5000000000000002E-2</v>
      </c>
      <c r="C318" s="101">
        <f t="shared" si="22"/>
        <v>316</v>
      </c>
      <c r="D318" s="99">
        <f t="shared" si="24"/>
        <v>0</v>
      </c>
      <c r="E318" s="99">
        <f>IF(OR(D318&lt;=0,C318&gt;'Stress Test Inputs'!$B$23*12),0,IF(AND(C318='Stress Test Inputs'!$B$23*12,'Stress Test Inputs'!$E$23&gt;'Stress Test Inputs'!$B$23),D318+D318*B318/12,IF('Stress Test Inputs'!$C$23="FRM",-PMT($B$3/12,'Stress Test Inputs'!$E$23*12,$D$3),IF($A318,-PMT(B318/12,('Stress Test Inputs'!$E$23*12)-C318+1,D318),E317))))</f>
        <v>0</v>
      </c>
      <c r="F318" s="99">
        <f t="shared" si="21"/>
        <v>0</v>
      </c>
      <c r="G318" s="99">
        <f>IF(C318&gt;'Stress Test Inputs'!$B$23*12,0,D318*B318/12)</f>
        <v>0</v>
      </c>
      <c r="H318" s="99">
        <f t="shared" si="20"/>
        <v>0</v>
      </c>
      <c r="I318" s="99">
        <f t="shared" si="23"/>
        <v>0</v>
      </c>
      <c r="J318" s="98"/>
    </row>
    <row r="319" spans="1:10" x14ac:dyDescent="0.25">
      <c r="A319" s="77" t="b">
        <f>IF(('Stress Test Inputs'!$C$23)="FRM", FALSE, ISNUMBER(MATCH(C319,'Stress Test Inputs'!$M$18:$M$30,0)))</f>
        <v>0</v>
      </c>
      <c r="B319" s="103">
        <f>IF($A319, _xlfn.XLOOKUP(C319,'Stress Test Inputs'!$M$17:$M$29,'Stress Test Inputs'!$N$17:$N$29),$B318)</f>
        <v>6.5000000000000002E-2</v>
      </c>
      <c r="C319" s="101">
        <f t="shared" si="22"/>
        <v>317</v>
      </c>
      <c r="D319" s="99">
        <f t="shared" si="24"/>
        <v>0</v>
      </c>
      <c r="E319" s="99">
        <f>IF(OR(D319&lt;=0,C319&gt;'Stress Test Inputs'!$B$23*12),0,IF(AND(C319='Stress Test Inputs'!$B$23*12,'Stress Test Inputs'!$E$23&gt;'Stress Test Inputs'!$B$23),D319+D319*B319/12,IF('Stress Test Inputs'!$C$23="FRM",-PMT($B$3/12,'Stress Test Inputs'!$E$23*12,$D$3),IF($A319,-PMT(B319/12,('Stress Test Inputs'!$E$23*12)-C319+1,D319),E318))))</f>
        <v>0</v>
      </c>
      <c r="F319" s="99">
        <f t="shared" si="21"/>
        <v>0</v>
      </c>
      <c r="G319" s="99">
        <f>IF(C319&gt;'Stress Test Inputs'!$B$23*12,0,D319*B319/12)</f>
        <v>0</v>
      </c>
      <c r="H319" s="99">
        <f t="shared" si="20"/>
        <v>0</v>
      </c>
      <c r="I319" s="99">
        <f t="shared" si="23"/>
        <v>0</v>
      </c>
      <c r="J319" s="98"/>
    </row>
    <row r="320" spans="1:10" x14ac:dyDescent="0.25">
      <c r="A320" s="77" t="b">
        <f>IF(('Stress Test Inputs'!$C$23)="FRM", FALSE, ISNUMBER(MATCH(C320,'Stress Test Inputs'!$M$18:$M$30,0)))</f>
        <v>0</v>
      </c>
      <c r="B320" s="103">
        <f>IF($A320, _xlfn.XLOOKUP(C320,'Stress Test Inputs'!$M$17:$M$29,'Stress Test Inputs'!$N$17:$N$29),$B319)</f>
        <v>6.5000000000000002E-2</v>
      </c>
      <c r="C320" s="101">
        <f t="shared" si="22"/>
        <v>318</v>
      </c>
      <c r="D320" s="99">
        <f t="shared" si="24"/>
        <v>0</v>
      </c>
      <c r="E320" s="99">
        <f>IF(OR(D320&lt;=0,C320&gt;'Stress Test Inputs'!$B$23*12),0,IF(AND(C320='Stress Test Inputs'!$B$23*12,'Stress Test Inputs'!$E$23&gt;'Stress Test Inputs'!$B$23),D320+D320*B320/12,IF('Stress Test Inputs'!$C$23="FRM",-PMT($B$3/12,'Stress Test Inputs'!$E$23*12,$D$3),IF($A320,-PMT(B320/12,('Stress Test Inputs'!$E$23*12)-C320+1,D320),E319))))</f>
        <v>0</v>
      </c>
      <c r="F320" s="99">
        <f t="shared" si="21"/>
        <v>0</v>
      </c>
      <c r="G320" s="99">
        <f>IF(C320&gt;'Stress Test Inputs'!$B$23*12,0,D320*B320/12)</f>
        <v>0</v>
      </c>
      <c r="H320" s="99">
        <f t="shared" si="20"/>
        <v>0</v>
      </c>
      <c r="I320" s="99">
        <f t="shared" si="23"/>
        <v>0</v>
      </c>
      <c r="J320" s="98"/>
    </row>
    <row r="321" spans="1:10" x14ac:dyDescent="0.25">
      <c r="A321" s="77" t="b">
        <f>IF(('Stress Test Inputs'!$C$23)="FRM", FALSE, ISNUMBER(MATCH(C321,'Stress Test Inputs'!$M$18:$M$30,0)))</f>
        <v>0</v>
      </c>
      <c r="B321" s="103">
        <f>IF($A321, _xlfn.XLOOKUP(C321,'Stress Test Inputs'!$M$17:$M$29,'Stress Test Inputs'!$N$17:$N$29),$B320)</f>
        <v>6.5000000000000002E-2</v>
      </c>
      <c r="C321" s="101">
        <f t="shared" si="22"/>
        <v>319</v>
      </c>
      <c r="D321" s="99">
        <f t="shared" si="24"/>
        <v>0</v>
      </c>
      <c r="E321" s="99">
        <f>IF(OR(D321&lt;=0,C321&gt;'Stress Test Inputs'!$B$23*12),0,IF(AND(C321='Stress Test Inputs'!$B$23*12,'Stress Test Inputs'!$E$23&gt;'Stress Test Inputs'!$B$23),D321+D321*B321/12,IF('Stress Test Inputs'!$C$23="FRM",-PMT($B$3/12,'Stress Test Inputs'!$E$23*12,$D$3),IF($A321,-PMT(B321/12,('Stress Test Inputs'!$E$23*12)-C321+1,D321),E320))))</f>
        <v>0</v>
      </c>
      <c r="F321" s="99">
        <f t="shared" si="21"/>
        <v>0</v>
      </c>
      <c r="G321" s="99">
        <f>IF(C321&gt;'Stress Test Inputs'!$B$23*12,0,D321*B321/12)</f>
        <v>0</v>
      </c>
      <c r="H321" s="99">
        <f t="shared" si="20"/>
        <v>0</v>
      </c>
      <c r="I321" s="99">
        <f t="shared" si="23"/>
        <v>0</v>
      </c>
      <c r="J321" s="98"/>
    </row>
    <row r="322" spans="1:10" x14ac:dyDescent="0.25">
      <c r="A322" s="77" t="b">
        <f>IF(('Stress Test Inputs'!$C$23)="FRM", FALSE, ISNUMBER(MATCH(C322,'Stress Test Inputs'!$M$18:$M$30,0)))</f>
        <v>0</v>
      </c>
      <c r="B322" s="103">
        <f>IF($A322, _xlfn.XLOOKUP(C322,'Stress Test Inputs'!$M$17:$M$29,'Stress Test Inputs'!$N$17:$N$29),$B321)</f>
        <v>6.5000000000000002E-2</v>
      </c>
      <c r="C322" s="101">
        <f t="shared" si="22"/>
        <v>320</v>
      </c>
      <c r="D322" s="99">
        <f t="shared" si="24"/>
        <v>0</v>
      </c>
      <c r="E322" s="99">
        <f>IF(OR(D322&lt;=0,C322&gt;'Stress Test Inputs'!$B$23*12),0,IF(AND(C322='Stress Test Inputs'!$B$23*12,'Stress Test Inputs'!$E$23&gt;'Stress Test Inputs'!$B$23),D322+D322*B322/12,IF('Stress Test Inputs'!$C$23="FRM",-PMT($B$3/12,'Stress Test Inputs'!$E$23*12,$D$3),IF($A322,-PMT(B322/12,('Stress Test Inputs'!$E$23*12)-C322+1,D322),E321))))</f>
        <v>0</v>
      </c>
      <c r="F322" s="99">
        <f t="shared" si="21"/>
        <v>0</v>
      </c>
      <c r="G322" s="99">
        <f>IF(C322&gt;'Stress Test Inputs'!$B$23*12,0,D322*B322/12)</f>
        <v>0</v>
      </c>
      <c r="H322" s="99">
        <f t="shared" si="20"/>
        <v>0</v>
      </c>
      <c r="I322" s="99">
        <f t="shared" si="23"/>
        <v>0</v>
      </c>
      <c r="J322" s="98"/>
    </row>
    <row r="323" spans="1:10" x14ac:dyDescent="0.25">
      <c r="A323" s="77" t="b">
        <f>IF(('Stress Test Inputs'!$C$23)="FRM", FALSE, ISNUMBER(MATCH(C323,'Stress Test Inputs'!$M$18:$M$30,0)))</f>
        <v>0</v>
      </c>
      <c r="B323" s="103">
        <f>IF($A323, _xlfn.XLOOKUP(C323,'Stress Test Inputs'!$M$17:$M$29,'Stress Test Inputs'!$N$17:$N$29),$B322)</f>
        <v>6.5000000000000002E-2</v>
      </c>
      <c r="C323" s="101">
        <f t="shared" si="22"/>
        <v>321</v>
      </c>
      <c r="D323" s="99">
        <f t="shared" si="24"/>
        <v>0</v>
      </c>
      <c r="E323" s="99">
        <f>IF(OR(D323&lt;=0,C323&gt;'Stress Test Inputs'!$B$23*12),0,IF(AND(C323='Stress Test Inputs'!$B$23*12,'Stress Test Inputs'!$E$23&gt;'Stress Test Inputs'!$B$23),D323+D323*B323/12,IF('Stress Test Inputs'!$C$23="FRM",-PMT($B$3/12,'Stress Test Inputs'!$E$23*12,$D$3),IF($A323,-PMT(B323/12,('Stress Test Inputs'!$E$23*12)-C323+1,D323),E322))))</f>
        <v>0</v>
      </c>
      <c r="F323" s="99">
        <f t="shared" si="21"/>
        <v>0</v>
      </c>
      <c r="G323" s="99">
        <f>IF(C323&gt;'Stress Test Inputs'!$B$23*12,0,D323*B323/12)</f>
        <v>0</v>
      </c>
      <c r="H323" s="99">
        <f t="shared" ref="H323:H362" si="25">MIN(E323-G323,D323)</f>
        <v>0</v>
      </c>
      <c r="I323" s="99">
        <f t="shared" si="23"/>
        <v>0</v>
      </c>
      <c r="J323" s="98"/>
    </row>
    <row r="324" spans="1:10" x14ac:dyDescent="0.25">
      <c r="A324" s="77" t="b">
        <f>IF(('Stress Test Inputs'!$C$23)="FRM", FALSE, ISNUMBER(MATCH(C324,'Stress Test Inputs'!$M$18:$M$30,0)))</f>
        <v>0</v>
      </c>
      <c r="B324" s="103">
        <f>IF($A324, _xlfn.XLOOKUP(C324,'Stress Test Inputs'!$M$17:$M$29,'Stress Test Inputs'!$N$17:$N$29),$B323)</f>
        <v>6.5000000000000002E-2</v>
      </c>
      <c r="C324" s="101">
        <f t="shared" si="22"/>
        <v>322</v>
      </c>
      <c r="D324" s="99">
        <f t="shared" si="24"/>
        <v>0</v>
      </c>
      <c r="E324" s="99">
        <f>IF(OR(D324&lt;=0,C324&gt;'Stress Test Inputs'!$B$23*12),0,IF(AND(C324='Stress Test Inputs'!$B$23*12,'Stress Test Inputs'!$E$23&gt;'Stress Test Inputs'!$B$23),D324+D324*B324/12,IF('Stress Test Inputs'!$C$23="FRM",-PMT($B$3/12,'Stress Test Inputs'!$E$23*12,$D$3),IF($A324,-PMT(B324/12,('Stress Test Inputs'!$E$23*12)-C324+1,D324),E323))))</f>
        <v>0</v>
      </c>
      <c r="F324" s="99">
        <f t="shared" ref="F324:F362" si="26">IF(D324-E324&lt;0,0,D324-E324)</f>
        <v>0</v>
      </c>
      <c r="G324" s="99">
        <f>IF(C324&gt;'Stress Test Inputs'!$B$23*12,0,D324*B324/12)</f>
        <v>0</v>
      </c>
      <c r="H324" s="99">
        <f t="shared" si="25"/>
        <v>0</v>
      </c>
      <c r="I324" s="99">
        <f t="shared" si="23"/>
        <v>0</v>
      </c>
      <c r="J324" s="98"/>
    </row>
    <row r="325" spans="1:10" x14ac:dyDescent="0.25">
      <c r="A325" s="77" t="b">
        <f>IF(('Stress Test Inputs'!$C$23)="FRM", FALSE, ISNUMBER(MATCH(C325,'Stress Test Inputs'!$M$18:$M$30,0)))</f>
        <v>0</v>
      </c>
      <c r="B325" s="103">
        <f>IF($A325, _xlfn.XLOOKUP(C325,'Stress Test Inputs'!$M$17:$M$29,'Stress Test Inputs'!$N$17:$N$29),$B324)</f>
        <v>6.5000000000000002E-2</v>
      </c>
      <c r="C325" s="101">
        <f t="shared" ref="C325:C362" si="27">C324+1</f>
        <v>323</v>
      </c>
      <c r="D325" s="99">
        <f t="shared" si="24"/>
        <v>0</v>
      </c>
      <c r="E325" s="99">
        <f>IF(OR(D325&lt;=0,C325&gt;'Stress Test Inputs'!$B$23*12),0,IF(AND(C325='Stress Test Inputs'!$B$23*12,'Stress Test Inputs'!$E$23&gt;'Stress Test Inputs'!$B$23),D325+D325*B325/12,IF('Stress Test Inputs'!$C$23="FRM",-PMT($B$3/12,'Stress Test Inputs'!$E$23*12,$D$3),IF($A325,-PMT(B325/12,('Stress Test Inputs'!$E$23*12)-C325+1,D325),E324))))</f>
        <v>0</v>
      </c>
      <c r="F325" s="99">
        <f t="shared" si="26"/>
        <v>0</v>
      </c>
      <c r="G325" s="99">
        <f>IF(C325&gt;'Stress Test Inputs'!$B$23*12,0,D325*B325/12)</f>
        <v>0</v>
      </c>
      <c r="H325" s="99">
        <f t="shared" si="25"/>
        <v>0</v>
      </c>
      <c r="I325" s="99">
        <f t="shared" ref="I325:I363" si="28">IF(ROUND(D325-H325,2)=0,0,D325-H325)</f>
        <v>0</v>
      </c>
      <c r="J325" s="98"/>
    </row>
    <row r="326" spans="1:10" x14ac:dyDescent="0.25">
      <c r="A326" s="77" t="b">
        <f>IF(('Stress Test Inputs'!$C$23)="FRM", FALSE, ISNUMBER(MATCH(C326,'Stress Test Inputs'!$M$18:$M$30,0)))</f>
        <v>0</v>
      </c>
      <c r="B326" s="103">
        <f>IF($A326, _xlfn.XLOOKUP(C326,'Stress Test Inputs'!$M$17:$M$29,'Stress Test Inputs'!$N$17:$N$29),$B325)</f>
        <v>6.5000000000000002E-2</v>
      </c>
      <c r="C326" s="101">
        <f t="shared" si="27"/>
        <v>324</v>
      </c>
      <c r="D326" s="99">
        <f t="shared" si="24"/>
        <v>0</v>
      </c>
      <c r="E326" s="99">
        <f>IF(OR(D326&lt;=0,C326&gt;'Stress Test Inputs'!$B$23*12),0,IF(AND(C326='Stress Test Inputs'!$B$23*12,'Stress Test Inputs'!$E$23&gt;'Stress Test Inputs'!$B$23),D326+D326*B326/12,IF('Stress Test Inputs'!$C$23="FRM",-PMT($B$3/12,'Stress Test Inputs'!$E$23*12,$D$3),IF($A326,-PMT(B326/12,('Stress Test Inputs'!$E$23*12)-C326+1,D326),E325))))</f>
        <v>0</v>
      </c>
      <c r="F326" s="99">
        <f t="shared" si="26"/>
        <v>0</v>
      </c>
      <c r="G326" s="99">
        <f>IF(C326&gt;'Stress Test Inputs'!$B$23*12,0,D326*B326/12)</f>
        <v>0</v>
      </c>
      <c r="H326" s="99">
        <f t="shared" si="25"/>
        <v>0</v>
      </c>
      <c r="I326" s="99">
        <f t="shared" si="28"/>
        <v>0</v>
      </c>
      <c r="J326" s="98"/>
    </row>
    <row r="327" spans="1:10" x14ac:dyDescent="0.25">
      <c r="A327" s="77" t="b">
        <f>IF(('Stress Test Inputs'!$C$23)="FRM", FALSE, ISNUMBER(MATCH(C327,'Stress Test Inputs'!$M$18:$M$30,0)))</f>
        <v>0</v>
      </c>
      <c r="B327" s="103">
        <f>IF($A327, _xlfn.XLOOKUP(C327,'Stress Test Inputs'!$M$17:$M$29,'Stress Test Inputs'!$N$17:$N$29),$B326)</f>
        <v>6.5000000000000002E-2</v>
      </c>
      <c r="C327" s="101">
        <f t="shared" si="27"/>
        <v>325</v>
      </c>
      <c r="D327" s="99">
        <f t="shared" ref="D327:D364" si="29">IF(I326&gt;0,I326-J326,0)</f>
        <v>0</v>
      </c>
      <c r="E327" s="99">
        <f>IF(OR(D327&lt;=0,C327&gt;'Stress Test Inputs'!$B$23*12),0,IF(AND(C327='Stress Test Inputs'!$B$23*12,'Stress Test Inputs'!$E$23&gt;'Stress Test Inputs'!$B$23),D327+D327*B327/12,IF('Stress Test Inputs'!$C$23="FRM",-PMT($B$3/12,'Stress Test Inputs'!$E$23*12,$D$3),IF($A327,-PMT(B327/12,('Stress Test Inputs'!$E$23*12)-C327+1,D327),E326))))</f>
        <v>0</v>
      </c>
      <c r="F327" s="99">
        <f t="shared" si="26"/>
        <v>0</v>
      </c>
      <c r="G327" s="99">
        <f>IF(C327&gt;'Stress Test Inputs'!$B$23*12,0,D327*B327/12)</f>
        <v>0</v>
      </c>
      <c r="H327" s="99">
        <f t="shared" si="25"/>
        <v>0</v>
      </c>
      <c r="I327" s="99">
        <f t="shared" si="28"/>
        <v>0</v>
      </c>
      <c r="J327" s="98"/>
    </row>
    <row r="328" spans="1:10" x14ac:dyDescent="0.25">
      <c r="A328" s="77" t="b">
        <f>IF(('Stress Test Inputs'!$C$23)="FRM", FALSE, ISNUMBER(MATCH(C328,'Stress Test Inputs'!$M$18:$M$30,0)))</f>
        <v>0</v>
      </c>
      <c r="B328" s="103">
        <f>IF($A328, _xlfn.XLOOKUP(C328,'Stress Test Inputs'!$M$17:$M$29,'Stress Test Inputs'!$N$17:$N$29),$B327)</f>
        <v>6.5000000000000002E-2</v>
      </c>
      <c r="C328" s="101">
        <f t="shared" si="27"/>
        <v>326</v>
      </c>
      <c r="D328" s="99">
        <f t="shared" si="29"/>
        <v>0</v>
      </c>
      <c r="E328" s="99">
        <f>IF(OR(D328&lt;=0,C328&gt;'Stress Test Inputs'!$B$23*12),0,IF(AND(C328='Stress Test Inputs'!$B$23*12,'Stress Test Inputs'!$E$23&gt;'Stress Test Inputs'!$B$23),D328+D328*B328/12,IF('Stress Test Inputs'!$C$23="FRM",-PMT($B$3/12,'Stress Test Inputs'!$E$23*12,$D$3),IF($A328,-PMT(B328/12,('Stress Test Inputs'!$E$23*12)-C328+1,D328),E327))))</f>
        <v>0</v>
      </c>
      <c r="F328" s="99">
        <f t="shared" si="26"/>
        <v>0</v>
      </c>
      <c r="G328" s="99">
        <f>IF(C328&gt;'Stress Test Inputs'!$B$23*12,0,D328*B328/12)</f>
        <v>0</v>
      </c>
      <c r="H328" s="99">
        <f t="shared" si="25"/>
        <v>0</v>
      </c>
      <c r="I328" s="99">
        <f t="shared" si="28"/>
        <v>0</v>
      </c>
      <c r="J328" s="98"/>
    </row>
    <row r="329" spans="1:10" x14ac:dyDescent="0.25">
      <c r="A329" s="77" t="b">
        <f>IF(('Stress Test Inputs'!$C$23)="FRM", FALSE, ISNUMBER(MATCH(C329,'Stress Test Inputs'!$M$18:$M$30,0)))</f>
        <v>0</v>
      </c>
      <c r="B329" s="103">
        <f>IF($A329, _xlfn.XLOOKUP(C329,'Stress Test Inputs'!$M$17:$M$29,'Stress Test Inputs'!$N$17:$N$29),$B328)</f>
        <v>6.5000000000000002E-2</v>
      </c>
      <c r="C329" s="101">
        <f t="shared" si="27"/>
        <v>327</v>
      </c>
      <c r="D329" s="99">
        <f t="shared" si="29"/>
        <v>0</v>
      </c>
      <c r="E329" s="99">
        <f>IF(OR(D329&lt;=0,C329&gt;'Stress Test Inputs'!$B$23*12),0,IF(AND(C329='Stress Test Inputs'!$B$23*12,'Stress Test Inputs'!$E$23&gt;'Stress Test Inputs'!$B$23),D329+D329*B329/12,IF('Stress Test Inputs'!$C$23="FRM",-PMT($B$3/12,'Stress Test Inputs'!$E$23*12,$D$3),IF($A329,-PMT(B329/12,('Stress Test Inputs'!$E$23*12)-C329+1,D329),E328))))</f>
        <v>0</v>
      </c>
      <c r="F329" s="99">
        <f t="shared" si="26"/>
        <v>0</v>
      </c>
      <c r="G329" s="99">
        <f>IF(C329&gt;'Stress Test Inputs'!$B$23*12,0,D329*B329/12)</f>
        <v>0</v>
      </c>
      <c r="H329" s="99">
        <f t="shared" si="25"/>
        <v>0</v>
      </c>
      <c r="I329" s="99">
        <f t="shared" si="28"/>
        <v>0</v>
      </c>
      <c r="J329" s="98"/>
    </row>
    <row r="330" spans="1:10" x14ac:dyDescent="0.25">
      <c r="A330" s="77" t="b">
        <f>IF(('Stress Test Inputs'!$C$23)="FRM", FALSE, ISNUMBER(MATCH(C330,'Stress Test Inputs'!$M$18:$M$30,0)))</f>
        <v>0</v>
      </c>
      <c r="B330" s="103">
        <f>IF($A330, _xlfn.XLOOKUP(C330,'Stress Test Inputs'!$M$17:$M$29,'Stress Test Inputs'!$N$17:$N$29),$B329)</f>
        <v>6.5000000000000002E-2</v>
      </c>
      <c r="C330" s="101">
        <f t="shared" si="27"/>
        <v>328</v>
      </c>
      <c r="D330" s="99">
        <f t="shared" si="29"/>
        <v>0</v>
      </c>
      <c r="E330" s="99">
        <f>IF(OR(D330&lt;=0,C330&gt;'Stress Test Inputs'!$B$23*12),0,IF(AND(C330='Stress Test Inputs'!$B$23*12,'Stress Test Inputs'!$E$23&gt;'Stress Test Inputs'!$B$23),D330+D330*B330/12,IF('Stress Test Inputs'!$C$23="FRM",-PMT($B$3/12,'Stress Test Inputs'!$E$23*12,$D$3),IF($A330,-PMT(B330/12,('Stress Test Inputs'!$E$23*12)-C330+1,D330),E329))))</f>
        <v>0</v>
      </c>
      <c r="F330" s="99">
        <f t="shared" si="26"/>
        <v>0</v>
      </c>
      <c r="G330" s="99">
        <f>IF(C330&gt;'Stress Test Inputs'!$B$23*12,0,D330*B330/12)</f>
        <v>0</v>
      </c>
      <c r="H330" s="99">
        <f t="shared" si="25"/>
        <v>0</v>
      </c>
      <c r="I330" s="99">
        <f t="shared" si="28"/>
        <v>0</v>
      </c>
      <c r="J330" s="98"/>
    </row>
    <row r="331" spans="1:10" x14ac:dyDescent="0.25">
      <c r="A331" s="77" t="b">
        <f>IF(('Stress Test Inputs'!$C$23)="FRM", FALSE, ISNUMBER(MATCH(C331,'Stress Test Inputs'!$M$18:$M$30,0)))</f>
        <v>0</v>
      </c>
      <c r="B331" s="103">
        <f>IF($A331, _xlfn.XLOOKUP(C331,'Stress Test Inputs'!$M$17:$M$29,'Stress Test Inputs'!$N$17:$N$29),$B330)</f>
        <v>6.5000000000000002E-2</v>
      </c>
      <c r="C331" s="101">
        <f t="shared" si="27"/>
        <v>329</v>
      </c>
      <c r="D331" s="99">
        <f t="shared" si="29"/>
        <v>0</v>
      </c>
      <c r="E331" s="99">
        <f>IF(OR(D331&lt;=0,C331&gt;'Stress Test Inputs'!$B$23*12),0,IF(AND(C331='Stress Test Inputs'!$B$23*12,'Stress Test Inputs'!$E$23&gt;'Stress Test Inputs'!$B$23),D331+D331*B331/12,IF('Stress Test Inputs'!$C$23="FRM",-PMT($B$3/12,'Stress Test Inputs'!$E$23*12,$D$3),IF($A331,-PMT(B331/12,('Stress Test Inputs'!$E$23*12)-C331+1,D331),E330))))</f>
        <v>0</v>
      </c>
      <c r="F331" s="99">
        <f t="shared" si="26"/>
        <v>0</v>
      </c>
      <c r="G331" s="99">
        <f>IF(C331&gt;'Stress Test Inputs'!$B$23*12,0,D331*B331/12)</f>
        <v>0</v>
      </c>
      <c r="H331" s="99">
        <f t="shared" si="25"/>
        <v>0</v>
      </c>
      <c r="I331" s="99">
        <f t="shared" si="28"/>
        <v>0</v>
      </c>
      <c r="J331" s="98"/>
    </row>
    <row r="332" spans="1:10" x14ac:dyDescent="0.25">
      <c r="A332" s="77" t="b">
        <f>IF(('Stress Test Inputs'!$C$23)="FRM", FALSE, ISNUMBER(MATCH(C332,'Stress Test Inputs'!$M$18:$M$30,0)))</f>
        <v>0</v>
      </c>
      <c r="B332" s="103">
        <f>IF($A332, _xlfn.XLOOKUP(C332,'Stress Test Inputs'!$M$17:$M$29,'Stress Test Inputs'!$N$17:$N$29),$B331)</f>
        <v>6.5000000000000002E-2</v>
      </c>
      <c r="C332" s="101">
        <f t="shared" si="27"/>
        <v>330</v>
      </c>
      <c r="D332" s="99">
        <f t="shared" si="29"/>
        <v>0</v>
      </c>
      <c r="E332" s="99">
        <f>IF(OR(D332&lt;=0,C332&gt;'Stress Test Inputs'!$B$23*12),0,IF(AND(C332='Stress Test Inputs'!$B$23*12,'Stress Test Inputs'!$E$23&gt;'Stress Test Inputs'!$B$23),D332+D332*B332/12,IF('Stress Test Inputs'!$C$23="FRM",-PMT($B$3/12,'Stress Test Inputs'!$E$23*12,$D$3),IF($A332,-PMT(B332/12,('Stress Test Inputs'!$E$23*12)-C332+1,D332),E331))))</f>
        <v>0</v>
      </c>
      <c r="F332" s="99">
        <f t="shared" si="26"/>
        <v>0</v>
      </c>
      <c r="G332" s="99">
        <f>IF(C332&gt;'Stress Test Inputs'!$B$23*12,0,D332*B332/12)</f>
        <v>0</v>
      </c>
      <c r="H332" s="99">
        <f t="shared" si="25"/>
        <v>0</v>
      </c>
      <c r="I332" s="99">
        <f t="shared" si="28"/>
        <v>0</v>
      </c>
      <c r="J332" s="98"/>
    </row>
    <row r="333" spans="1:10" x14ac:dyDescent="0.25">
      <c r="A333" s="77" t="b">
        <f>IF(('Stress Test Inputs'!$C$23)="FRM", FALSE, ISNUMBER(MATCH(C333,'Stress Test Inputs'!$M$18:$M$30,0)))</f>
        <v>0</v>
      </c>
      <c r="B333" s="103">
        <f>IF($A333, _xlfn.XLOOKUP(C333,'Stress Test Inputs'!$M$17:$M$29,'Stress Test Inputs'!$N$17:$N$29),$B332)</f>
        <v>6.5000000000000002E-2</v>
      </c>
      <c r="C333" s="101">
        <f t="shared" si="27"/>
        <v>331</v>
      </c>
      <c r="D333" s="99">
        <f t="shared" si="29"/>
        <v>0</v>
      </c>
      <c r="E333" s="99">
        <f>IF(OR(D333&lt;=0,C333&gt;'Stress Test Inputs'!$B$23*12),0,IF(AND(C333='Stress Test Inputs'!$B$23*12,'Stress Test Inputs'!$E$23&gt;'Stress Test Inputs'!$B$23),D333+D333*B333/12,IF('Stress Test Inputs'!$C$23="FRM",-PMT($B$3/12,'Stress Test Inputs'!$E$23*12,$D$3),IF($A333,-PMT(B333/12,('Stress Test Inputs'!$E$23*12)-C333+1,D333),E332))))</f>
        <v>0</v>
      </c>
      <c r="F333" s="99">
        <f t="shared" si="26"/>
        <v>0</v>
      </c>
      <c r="G333" s="99">
        <f>IF(C333&gt;'Stress Test Inputs'!$B$23*12,0,D333*B333/12)</f>
        <v>0</v>
      </c>
      <c r="H333" s="99">
        <f t="shared" si="25"/>
        <v>0</v>
      </c>
      <c r="I333" s="99">
        <f t="shared" si="28"/>
        <v>0</v>
      </c>
      <c r="J333" s="98"/>
    </row>
    <row r="334" spans="1:10" x14ac:dyDescent="0.25">
      <c r="A334" s="77" t="b">
        <f>IF(('Stress Test Inputs'!$C$23)="FRM", FALSE, ISNUMBER(MATCH(C334,'Stress Test Inputs'!$M$18:$M$30,0)))</f>
        <v>0</v>
      </c>
      <c r="B334" s="103">
        <f>IF($A334, _xlfn.XLOOKUP(C334,'Stress Test Inputs'!$M$17:$M$29,'Stress Test Inputs'!$N$17:$N$29),$B333)</f>
        <v>6.5000000000000002E-2</v>
      </c>
      <c r="C334" s="101">
        <f t="shared" si="27"/>
        <v>332</v>
      </c>
      <c r="D334" s="99">
        <f t="shared" si="29"/>
        <v>0</v>
      </c>
      <c r="E334" s="99">
        <f>IF(OR(D334&lt;=0,C334&gt;'Stress Test Inputs'!$B$23*12),0,IF(AND(C334='Stress Test Inputs'!$B$23*12,'Stress Test Inputs'!$E$23&gt;'Stress Test Inputs'!$B$23),D334+D334*B334/12,IF('Stress Test Inputs'!$C$23="FRM",-PMT($B$3/12,'Stress Test Inputs'!$E$23*12,$D$3),IF($A334,-PMT(B334/12,('Stress Test Inputs'!$E$23*12)-C334+1,D334),E333))))</f>
        <v>0</v>
      </c>
      <c r="F334" s="99">
        <f t="shared" si="26"/>
        <v>0</v>
      </c>
      <c r="G334" s="99">
        <f>IF(C334&gt;'Stress Test Inputs'!$B$23*12,0,D334*B334/12)</f>
        <v>0</v>
      </c>
      <c r="H334" s="99">
        <f t="shared" si="25"/>
        <v>0</v>
      </c>
      <c r="I334" s="99">
        <f t="shared" si="28"/>
        <v>0</v>
      </c>
      <c r="J334" s="98"/>
    </row>
    <row r="335" spans="1:10" x14ac:dyDescent="0.25">
      <c r="A335" s="77" t="b">
        <f>IF(('Stress Test Inputs'!$C$23)="FRM", FALSE, ISNUMBER(MATCH(C335,'Stress Test Inputs'!$M$18:$M$30,0)))</f>
        <v>0</v>
      </c>
      <c r="B335" s="103">
        <f>IF($A335, _xlfn.XLOOKUP(C335,'Stress Test Inputs'!$M$17:$M$29,'Stress Test Inputs'!$N$17:$N$29),$B334)</f>
        <v>6.5000000000000002E-2</v>
      </c>
      <c r="C335" s="101">
        <f t="shared" si="27"/>
        <v>333</v>
      </c>
      <c r="D335" s="99">
        <f t="shared" si="29"/>
        <v>0</v>
      </c>
      <c r="E335" s="99">
        <f>IF(OR(D335&lt;=0,C335&gt;'Stress Test Inputs'!$B$23*12),0,IF(AND(C335='Stress Test Inputs'!$B$23*12,'Stress Test Inputs'!$E$23&gt;'Stress Test Inputs'!$B$23),D335+D335*B335/12,IF('Stress Test Inputs'!$C$23="FRM",-PMT($B$3/12,'Stress Test Inputs'!$E$23*12,$D$3),IF($A335,-PMT(B335/12,('Stress Test Inputs'!$E$23*12)-C335+1,D335),E334))))</f>
        <v>0</v>
      </c>
      <c r="F335" s="99">
        <f t="shared" si="26"/>
        <v>0</v>
      </c>
      <c r="G335" s="99">
        <f>IF(C335&gt;'Stress Test Inputs'!$B$23*12,0,D335*B335/12)</f>
        <v>0</v>
      </c>
      <c r="H335" s="99">
        <f t="shared" si="25"/>
        <v>0</v>
      </c>
      <c r="I335" s="99">
        <f t="shared" si="28"/>
        <v>0</v>
      </c>
      <c r="J335" s="98"/>
    </row>
    <row r="336" spans="1:10" x14ac:dyDescent="0.25">
      <c r="A336" s="77" t="b">
        <f>IF(('Stress Test Inputs'!$C$23)="FRM", FALSE, ISNUMBER(MATCH(C336,'Stress Test Inputs'!$M$18:$M$30,0)))</f>
        <v>0</v>
      </c>
      <c r="B336" s="103">
        <f>IF($A336, _xlfn.XLOOKUP(C336,'Stress Test Inputs'!$M$17:$M$29,'Stress Test Inputs'!$N$17:$N$29),$B335)</f>
        <v>6.5000000000000002E-2</v>
      </c>
      <c r="C336" s="101">
        <f t="shared" si="27"/>
        <v>334</v>
      </c>
      <c r="D336" s="99">
        <f t="shared" si="29"/>
        <v>0</v>
      </c>
      <c r="E336" s="99">
        <f>IF(OR(D336&lt;=0,C336&gt;'Stress Test Inputs'!$B$23*12),0,IF(AND(C336='Stress Test Inputs'!$B$23*12,'Stress Test Inputs'!$E$23&gt;'Stress Test Inputs'!$B$23),D336+D336*B336/12,IF('Stress Test Inputs'!$C$23="FRM",-PMT($B$3/12,'Stress Test Inputs'!$E$23*12,$D$3),IF($A336,-PMT(B336/12,('Stress Test Inputs'!$E$23*12)-C336+1,D336),E335))))</f>
        <v>0</v>
      </c>
      <c r="F336" s="99">
        <f t="shared" si="26"/>
        <v>0</v>
      </c>
      <c r="G336" s="99">
        <f>IF(C336&gt;'Stress Test Inputs'!$B$23*12,0,D336*B336/12)</f>
        <v>0</v>
      </c>
      <c r="H336" s="99">
        <f t="shared" si="25"/>
        <v>0</v>
      </c>
      <c r="I336" s="99">
        <f t="shared" si="28"/>
        <v>0</v>
      </c>
      <c r="J336" s="98"/>
    </row>
    <row r="337" spans="1:10" x14ac:dyDescent="0.25">
      <c r="A337" s="77" t="b">
        <f>IF(('Stress Test Inputs'!$C$23)="FRM", FALSE, ISNUMBER(MATCH(C337,'Stress Test Inputs'!$M$18:$M$30,0)))</f>
        <v>0</v>
      </c>
      <c r="B337" s="103">
        <f>IF($A337, _xlfn.XLOOKUP(C337,'Stress Test Inputs'!$M$17:$M$29,'Stress Test Inputs'!$N$17:$N$29),$B336)</f>
        <v>6.5000000000000002E-2</v>
      </c>
      <c r="C337" s="101">
        <f t="shared" si="27"/>
        <v>335</v>
      </c>
      <c r="D337" s="99">
        <f t="shared" si="29"/>
        <v>0</v>
      </c>
      <c r="E337" s="99">
        <f>IF(OR(D337&lt;=0,C337&gt;'Stress Test Inputs'!$B$23*12),0,IF(AND(C337='Stress Test Inputs'!$B$23*12,'Stress Test Inputs'!$E$23&gt;'Stress Test Inputs'!$B$23),D337+D337*B337/12,IF('Stress Test Inputs'!$C$23="FRM",-PMT($B$3/12,'Stress Test Inputs'!$E$23*12,$D$3),IF($A337,-PMT(B337/12,('Stress Test Inputs'!$E$23*12)-C337+1,D337),E336))))</f>
        <v>0</v>
      </c>
      <c r="F337" s="99">
        <f t="shared" si="26"/>
        <v>0</v>
      </c>
      <c r="G337" s="99">
        <f>IF(C337&gt;'Stress Test Inputs'!$B$23*12,0,D337*B337/12)</f>
        <v>0</v>
      </c>
      <c r="H337" s="99">
        <f t="shared" si="25"/>
        <v>0</v>
      </c>
      <c r="I337" s="99">
        <f t="shared" si="28"/>
        <v>0</v>
      </c>
      <c r="J337" s="98"/>
    </row>
    <row r="338" spans="1:10" x14ac:dyDescent="0.25">
      <c r="A338" s="77" t="b">
        <f>IF(('Stress Test Inputs'!$C$23)="FRM", FALSE, ISNUMBER(MATCH(C338,'Stress Test Inputs'!$M$18:$M$30,0)))</f>
        <v>0</v>
      </c>
      <c r="B338" s="103">
        <f>IF($A338, _xlfn.XLOOKUP(C338,'Stress Test Inputs'!$M$17:$M$29,'Stress Test Inputs'!$N$17:$N$29),$B337)</f>
        <v>6.5000000000000002E-2</v>
      </c>
      <c r="C338" s="101">
        <f t="shared" si="27"/>
        <v>336</v>
      </c>
      <c r="D338" s="99">
        <f t="shared" si="29"/>
        <v>0</v>
      </c>
      <c r="E338" s="99">
        <f>IF(OR(D338&lt;=0,C338&gt;'Stress Test Inputs'!$B$23*12),0,IF(AND(C338='Stress Test Inputs'!$B$23*12,'Stress Test Inputs'!$E$23&gt;'Stress Test Inputs'!$B$23),D338+D338*B338/12,IF('Stress Test Inputs'!$C$23="FRM",-PMT($B$3/12,'Stress Test Inputs'!$E$23*12,$D$3),IF($A338,-PMT(B338/12,('Stress Test Inputs'!$E$23*12)-C338+1,D338),E337))))</f>
        <v>0</v>
      </c>
      <c r="F338" s="99">
        <f t="shared" si="26"/>
        <v>0</v>
      </c>
      <c r="G338" s="99">
        <f>IF(C338&gt;'Stress Test Inputs'!$B$23*12,0,D338*B338/12)</f>
        <v>0</v>
      </c>
      <c r="H338" s="99">
        <f t="shared" si="25"/>
        <v>0</v>
      </c>
      <c r="I338" s="99">
        <f t="shared" si="28"/>
        <v>0</v>
      </c>
      <c r="J338" s="98"/>
    </row>
    <row r="339" spans="1:10" x14ac:dyDescent="0.25">
      <c r="A339" s="77" t="b">
        <f>IF(('Stress Test Inputs'!$C$23)="FRM", FALSE, ISNUMBER(MATCH(C339,'Stress Test Inputs'!$M$18:$M$30,0)))</f>
        <v>0</v>
      </c>
      <c r="B339" s="103">
        <f>IF($A339, _xlfn.XLOOKUP(C339,'Stress Test Inputs'!$M$17:$M$29,'Stress Test Inputs'!$N$17:$N$29),$B338)</f>
        <v>6.5000000000000002E-2</v>
      </c>
      <c r="C339" s="101">
        <f t="shared" si="27"/>
        <v>337</v>
      </c>
      <c r="D339" s="99">
        <f t="shared" si="29"/>
        <v>0</v>
      </c>
      <c r="E339" s="99">
        <f>IF(OR(D339&lt;=0,C339&gt;'Stress Test Inputs'!$B$23*12),0,IF(AND(C339='Stress Test Inputs'!$B$23*12,'Stress Test Inputs'!$E$23&gt;'Stress Test Inputs'!$B$23),D339+D339*B339/12,IF('Stress Test Inputs'!$C$23="FRM",-PMT($B$3/12,'Stress Test Inputs'!$E$23*12,$D$3),IF($A339,-PMT(B339/12,('Stress Test Inputs'!$E$23*12)-C339+1,D339),E338))))</f>
        <v>0</v>
      </c>
      <c r="F339" s="99">
        <f t="shared" si="26"/>
        <v>0</v>
      </c>
      <c r="G339" s="99">
        <f>IF(C339&gt;'Stress Test Inputs'!$B$23*12,0,D339*B339/12)</f>
        <v>0</v>
      </c>
      <c r="H339" s="99">
        <f t="shared" si="25"/>
        <v>0</v>
      </c>
      <c r="I339" s="99">
        <f t="shared" si="28"/>
        <v>0</v>
      </c>
      <c r="J339" s="98"/>
    </row>
    <row r="340" spans="1:10" x14ac:dyDescent="0.25">
      <c r="A340" s="77" t="b">
        <f>IF(('Stress Test Inputs'!$C$23)="FRM", FALSE, ISNUMBER(MATCH(C340,'Stress Test Inputs'!$M$18:$M$30,0)))</f>
        <v>0</v>
      </c>
      <c r="B340" s="103">
        <f>IF($A340, _xlfn.XLOOKUP(C340,'Stress Test Inputs'!$M$17:$M$29,'Stress Test Inputs'!$N$17:$N$29),$B339)</f>
        <v>6.5000000000000002E-2</v>
      </c>
      <c r="C340" s="101">
        <f t="shared" si="27"/>
        <v>338</v>
      </c>
      <c r="D340" s="99">
        <f t="shared" si="29"/>
        <v>0</v>
      </c>
      <c r="E340" s="99">
        <f>IF(OR(D340&lt;=0,C340&gt;'Stress Test Inputs'!$B$23*12),0,IF(AND(C340='Stress Test Inputs'!$B$23*12,'Stress Test Inputs'!$E$23&gt;'Stress Test Inputs'!$B$23),D340+D340*B340/12,IF('Stress Test Inputs'!$C$23="FRM",-PMT($B$3/12,'Stress Test Inputs'!$E$23*12,$D$3),IF($A340,-PMT(B340/12,('Stress Test Inputs'!$E$23*12)-C340+1,D340),E339))))</f>
        <v>0</v>
      </c>
      <c r="F340" s="99">
        <f t="shared" si="26"/>
        <v>0</v>
      </c>
      <c r="G340" s="99">
        <f>IF(C340&gt;'Stress Test Inputs'!$B$23*12,0,D340*B340/12)</f>
        <v>0</v>
      </c>
      <c r="H340" s="99">
        <f t="shared" si="25"/>
        <v>0</v>
      </c>
      <c r="I340" s="99">
        <f t="shared" si="28"/>
        <v>0</v>
      </c>
      <c r="J340" s="98"/>
    </row>
    <row r="341" spans="1:10" x14ac:dyDescent="0.25">
      <c r="A341" s="77" t="b">
        <f>IF(('Stress Test Inputs'!$C$23)="FRM", FALSE, ISNUMBER(MATCH(C341,'Stress Test Inputs'!$M$18:$M$30,0)))</f>
        <v>0</v>
      </c>
      <c r="B341" s="103">
        <f>IF($A341, _xlfn.XLOOKUP(C341,'Stress Test Inputs'!$M$17:$M$29,'Stress Test Inputs'!$N$17:$N$29),$B340)</f>
        <v>6.5000000000000002E-2</v>
      </c>
      <c r="C341" s="101">
        <f t="shared" si="27"/>
        <v>339</v>
      </c>
      <c r="D341" s="99">
        <f t="shared" si="29"/>
        <v>0</v>
      </c>
      <c r="E341" s="99">
        <f>IF(OR(D341&lt;=0,C341&gt;'Stress Test Inputs'!$B$23*12),0,IF(AND(C341='Stress Test Inputs'!$B$23*12,'Stress Test Inputs'!$E$23&gt;'Stress Test Inputs'!$B$23),D341+D341*B341/12,IF('Stress Test Inputs'!$C$23="FRM",-PMT($B$3/12,'Stress Test Inputs'!$E$23*12,$D$3),IF($A341,-PMT(B341/12,('Stress Test Inputs'!$E$23*12)-C341+1,D341),E340))))</f>
        <v>0</v>
      </c>
      <c r="F341" s="99">
        <f t="shared" si="26"/>
        <v>0</v>
      </c>
      <c r="G341" s="99">
        <f>IF(C341&gt;'Stress Test Inputs'!$B$23*12,0,D341*B341/12)</f>
        <v>0</v>
      </c>
      <c r="H341" s="99">
        <f t="shared" si="25"/>
        <v>0</v>
      </c>
      <c r="I341" s="99">
        <f t="shared" si="28"/>
        <v>0</v>
      </c>
      <c r="J341" s="98"/>
    </row>
    <row r="342" spans="1:10" x14ac:dyDescent="0.25">
      <c r="A342" s="77" t="b">
        <f>IF(('Stress Test Inputs'!$C$23)="FRM", FALSE, ISNUMBER(MATCH(C342,'Stress Test Inputs'!$M$18:$M$30,0)))</f>
        <v>0</v>
      </c>
      <c r="B342" s="103">
        <f>IF($A342, _xlfn.XLOOKUP(C342,'Stress Test Inputs'!$M$17:$M$29,'Stress Test Inputs'!$N$17:$N$29),$B341)</f>
        <v>6.5000000000000002E-2</v>
      </c>
      <c r="C342" s="101">
        <f t="shared" si="27"/>
        <v>340</v>
      </c>
      <c r="D342" s="99">
        <f t="shared" si="29"/>
        <v>0</v>
      </c>
      <c r="E342" s="99">
        <f>IF(OR(D342&lt;=0,C342&gt;'Stress Test Inputs'!$B$23*12),0,IF(AND(C342='Stress Test Inputs'!$B$23*12,'Stress Test Inputs'!$E$23&gt;'Stress Test Inputs'!$B$23),D342+D342*B342/12,IF('Stress Test Inputs'!$C$23="FRM",-PMT($B$3/12,'Stress Test Inputs'!$E$23*12,$D$3),IF($A342,-PMT(B342/12,('Stress Test Inputs'!$E$23*12)-C342+1,D342),E341))))</f>
        <v>0</v>
      </c>
      <c r="F342" s="99">
        <f t="shared" si="26"/>
        <v>0</v>
      </c>
      <c r="G342" s="99">
        <f>IF(C342&gt;'Stress Test Inputs'!$B$23*12,0,D342*B342/12)</f>
        <v>0</v>
      </c>
      <c r="H342" s="99">
        <f t="shared" si="25"/>
        <v>0</v>
      </c>
      <c r="I342" s="99">
        <f t="shared" si="28"/>
        <v>0</v>
      </c>
      <c r="J342" s="98"/>
    </row>
    <row r="343" spans="1:10" x14ac:dyDescent="0.25">
      <c r="A343" s="77" t="b">
        <f>IF(('Stress Test Inputs'!$C$23)="FRM", FALSE, ISNUMBER(MATCH(C343,'Stress Test Inputs'!$M$18:$M$30,0)))</f>
        <v>0</v>
      </c>
      <c r="B343" s="103">
        <f>IF($A343, _xlfn.XLOOKUP(C343,'Stress Test Inputs'!$M$17:$M$29,'Stress Test Inputs'!$N$17:$N$29),$B342)</f>
        <v>6.5000000000000002E-2</v>
      </c>
      <c r="C343" s="101">
        <f t="shared" si="27"/>
        <v>341</v>
      </c>
      <c r="D343" s="99">
        <f t="shared" si="29"/>
        <v>0</v>
      </c>
      <c r="E343" s="99">
        <f>IF(OR(D343&lt;=0,C343&gt;'Stress Test Inputs'!$B$23*12),0,IF(AND(C343='Stress Test Inputs'!$B$23*12,'Stress Test Inputs'!$E$23&gt;'Stress Test Inputs'!$B$23),D343+D343*B343/12,IF('Stress Test Inputs'!$C$23="FRM",-PMT($B$3/12,'Stress Test Inputs'!$E$23*12,$D$3),IF($A343,-PMT(B343/12,('Stress Test Inputs'!$E$23*12)-C343+1,D343),E342))))</f>
        <v>0</v>
      </c>
      <c r="F343" s="99">
        <f t="shared" si="26"/>
        <v>0</v>
      </c>
      <c r="G343" s="99">
        <f>IF(C343&gt;'Stress Test Inputs'!$B$23*12,0,D343*B343/12)</f>
        <v>0</v>
      </c>
      <c r="H343" s="99">
        <f t="shared" si="25"/>
        <v>0</v>
      </c>
      <c r="I343" s="99">
        <f t="shared" si="28"/>
        <v>0</v>
      </c>
      <c r="J343" s="98"/>
    </row>
    <row r="344" spans="1:10" x14ac:dyDescent="0.25">
      <c r="A344" s="77" t="b">
        <f>IF(('Stress Test Inputs'!$C$23)="FRM", FALSE, ISNUMBER(MATCH(C344,'Stress Test Inputs'!$M$18:$M$30,0)))</f>
        <v>0</v>
      </c>
      <c r="B344" s="103">
        <f>IF($A344, _xlfn.XLOOKUP(C344,'Stress Test Inputs'!$M$17:$M$29,'Stress Test Inputs'!$N$17:$N$29),$B343)</f>
        <v>6.5000000000000002E-2</v>
      </c>
      <c r="C344" s="101">
        <f t="shared" si="27"/>
        <v>342</v>
      </c>
      <c r="D344" s="99">
        <f t="shared" si="29"/>
        <v>0</v>
      </c>
      <c r="E344" s="99">
        <f>IF(OR(D344&lt;=0,C344&gt;'Stress Test Inputs'!$B$23*12),0,IF(AND(C344='Stress Test Inputs'!$B$23*12,'Stress Test Inputs'!$E$23&gt;'Stress Test Inputs'!$B$23),D344+D344*B344/12,IF('Stress Test Inputs'!$C$23="FRM",-PMT($B$3/12,'Stress Test Inputs'!$E$23*12,$D$3),IF($A344,-PMT(B344/12,('Stress Test Inputs'!$E$23*12)-C344+1,D344),E343))))</f>
        <v>0</v>
      </c>
      <c r="F344" s="99">
        <f t="shared" si="26"/>
        <v>0</v>
      </c>
      <c r="G344" s="99">
        <f>IF(C344&gt;'Stress Test Inputs'!$B$23*12,0,D344*B344/12)</f>
        <v>0</v>
      </c>
      <c r="H344" s="99">
        <f t="shared" si="25"/>
        <v>0</v>
      </c>
      <c r="I344" s="99">
        <f t="shared" si="28"/>
        <v>0</v>
      </c>
      <c r="J344" s="98"/>
    </row>
    <row r="345" spans="1:10" x14ac:dyDescent="0.25">
      <c r="A345" s="77" t="b">
        <f>IF(('Stress Test Inputs'!$C$23)="FRM", FALSE, ISNUMBER(MATCH(C345,'Stress Test Inputs'!$M$18:$M$30,0)))</f>
        <v>0</v>
      </c>
      <c r="B345" s="103">
        <f>IF($A345, _xlfn.XLOOKUP(C345,'Stress Test Inputs'!$M$17:$M$29,'Stress Test Inputs'!$N$17:$N$29),$B344)</f>
        <v>6.5000000000000002E-2</v>
      </c>
      <c r="C345" s="101">
        <f t="shared" si="27"/>
        <v>343</v>
      </c>
      <c r="D345" s="99">
        <f t="shared" si="29"/>
        <v>0</v>
      </c>
      <c r="E345" s="99">
        <f>IF(OR(D345&lt;=0,C345&gt;'Stress Test Inputs'!$B$23*12),0,IF(AND(C345='Stress Test Inputs'!$B$23*12,'Stress Test Inputs'!$E$23&gt;'Stress Test Inputs'!$B$23),D345+D345*B345/12,IF('Stress Test Inputs'!$C$23="FRM",-PMT($B$3/12,'Stress Test Inputs'!$E$23*12,$D$3),IF($A345,-PMT(B345/12,('Stress Test Inputs'!$E$23*12)-C345+1,D345),E344))))</f>
        <v>0</v>
      </c>
      <c r="F345" s="99">
        <f t="shared" si="26"/>
        <v>0</v>
      </c>
      <c r="G345" s="99">
        <f>IF(C345&gt;'Stress Test Inputs'!$B$23*12,0,D345*B345/12)</f>
        <v>0</v>
      </c>
      <c r="H345" s="99">
        <f t="shared" si="25"/>
        <v>0</v>
      </c>
      <c r="I345" s="99">
        <f t="shared" si="28"/>
        <v>0</v>
      </c>
      <c r="J345" s="98"/>
    </row>
    <row r="346" spans="1:10" x14ac:dyDescent="0.25">
      <c r="A346" s="77" t="b">
        <f>IF(('Stress Test Inputs'!$C$23)="FRM", FALSE, ISNUMBER(MATCH(C346,'Stress Test Inputs'!$M$18:$M$30,0)))</f>
        <v>0</v>
      </c>
      <c r="B346" s="103">
        <f>IF($A346, _xlfn.XLOOKUP(C346,'Stress Test Inputs'!$M$17:$M$29,'Stress Test Inputs'!$N$17:$N$29),$B345)</f>
        <v>6.5000000000000002E-2</v>
      </c>
      <c r="C346" s="101">
        <f t="shared" si="27"/>
        <v>344</v>
      </c>
      <c r="D346" s="99">
        <f t="shared" si="29"/>
        <v>0</v>
      </c>
      <c r="E346" s="99">
        <f>IF(OR(D346&lt;=0,C346&gt;'Stress Test Inputs'!$B$23*12),0,IF(AND(C346='Stress Test Inputs'!$B$23*12,'Stress Test Inputs'!$E$23&gt;'Stress Test Inputs'!$B$23),D346+D346*B346/12,IF('Stress Test Inputs'!$C$23="FRM",-PMT($B$3/12,'Stress Test Inputs'!$E$23*12,$D$3),IF($A346,-PMT(B346/12,('Stress Test Inputs'!$E$23*12)-C346+1,D346),E345))))</f>
        <v>0</v>
      </c>
      <c r="F346" s="99">
        <f t="shared" si="26"/>
        <v>0</v>
      </c>
      <c r="G346" s="99">
        <f>IF(C346&gt;'Stress Test Inputs'!$B$23*12,0,D346*B346/12)</f>
        <v>0</v>
      </c>
      <c r="H346" s="99">
        <f t="shared" si="25"/>
        <v>0</v>
      </c>
      <c r="I346" s="99">
        <f t="shared" si="28"/>
        <v>0</v>
      </c>
      <c r="J346" s="98"/>
    </row>
    <row r="347" spans="1:10" x14ac:dyDescent="0.25">
      <c r="A347" s="77" t="b">
        <f>IF(('Stress Test Inputs'!$C$23)="FRM", FALSE, ISNUMBER(MATCH(C347,'Stress Test Inputs'!$M$18:$M$30,0)))</f>
        <v>0</v>
      </c>
      <c r="B347" s="103">
        <f>IF($A347, _xlfn.XLOOKUP(C347,'Stress Test Inputs'!$M$17:$M$29,'Stress Test Inputs'!$N$17:$N$29),$B346)</f>
        <v>6.5000000000000002E-2</v>
      </c>
      <c r="C347" s="101">
        <f t="shared" si="27"/>
        <v>345</v>
      </c>
      <c r="D347" s="99">
        <f t="shared" si="29"/>
        <v>0</v>
      </c>
      <c r="E347" s="99">
        <f>IF(OR(D347&lt;=0,C347&gt;'Stress Test Inputs'!$B$23*12),0,IF(AND(C347='Stress Test Inputs'!$B$23*12,'Stress Test Inputs'!$E$23&gt;'Stress Test Inputs'!$B$23),D347+D347*B347/12,IF('Stress Test Inputs'!$C$23="FRM",-PMT($B$3/12,'Stress Test Inputs'!$E$23*12,$D$3),IF($A347,-PMT(B347/12,('Stress Test Inputs'!$E$23*12)-C347+1,D347),E346))))</f>
        <v>0</v>
      </c>
      <c r="F347" s="99">
        <f t="shared" si="26"/>
        <v>0</v>
      </c>
      <c r="G347" s="99">
        <f>IF(C347&gt;'Stress Test Inputs'!$B$23*12,0,D347*B347/12)</f>
        <v>0</v>
      </c>
      <c r="H347" s="99">
        <f t="shared" si="25"/>
        <v>0</v>
      </c>
      <c r="I347" s="99">
        <f t="shared" si="28"/>
        <v>0</v>
      </c>
      <c r="J347" s="98"/>
    </row>
    <row r="348" spans="1:10" x14ac:dyDescent="0.25">
      <c r="A348" s="77" t="b">
        <f>IF(('Stress Test Inputs'!$C$23)="FRM", FALSE, ISNUMBER(MATCH(C348,'Stress Test Inputs'!$M$18:$M$30,0)))</f>
        <v>0</v>
      </c>
      <c r="B348" s="103">
        <f>IF($A348, _xlfn.XLOOKUP(C348,'Stress Test Inputs'!$M$17:$M$29,'Stress Test Inputs'!$N$17:$N$29),$B347)</f>
        <v>6.5000000000000002E-2</v>
      </c>
      <c r="C348" s="101">
        <f t="shared" si="27"/>
        <v>346</v>
      </c>
      <c r="D348" s="99">
        <f t="shared" si="29"/>
        <v>0</v>
      </c>
      <c r="E348" s="99">
        <f>IF(OR(D348&lt;=0,C348&gt;'Stress Test Inputs'!$B$23*12),0,IF(AND(C348='Stress Test Inputs'!$B$23*12,'Stress Test Inputs'!$E$23&gt;'Stress Test Inputs'!$B$23),D348+D348*B348/12,IF('Stress Test Inputs'!$C$23="FRM",-PMT($B$3/12,'Stress Test Inputs'!$E$23*12,$D$3),IF($A348,-PMT(B348/12,('Stress Test Inputs'!$E$23*12)-C348+1,D348),E347))))</f>
        <v>0</v>
      </c>
      <c r="F348" s="99">
        <f t="shared" si="26"/>
        <v>0</v>
      </c>
      <c r="G348" s="99">
        <f>IF(C348&gt;'Stress Test Inputs'!$B$23*12,0,D348*B348/12)</f>
        <v>0</v>
      </c>
      <c r="H348" s="99">
        <f t="shared" si="25"/>
        <v>0</v>
      </c>
      <c r="I348" s="99">
        <f t="shared" si="28"/>
        <v>0</v>
      </c>
      <c r="J348" s="98"/>
    </row>
    <row r="349" spans="1:10" x14ac:dyDescent="0.25">
      <c r="A349" s="77" t="b">
        <f>IF(('Stress Test Inputs'!$C$23)="FRM", FALSE, ISNUMBER(MATCH(C349,'Stress Test Inputs'!$M$18:$M$30,0)))</f>
        <v>0</v>
      </c>
      <c r="B349" s="103">
        <f>IF($A349, _xlfn.XLOOKUP(C349,'Stress Test Inputs'!$M$17:$M$29,'Stress Test Inputs'!$N$17:$N$29),$B348)</f>
        <v>6.5000000000000002E-2</v>
      </c>
      <c r="C349" s="101">
        <f t="shared" si="27"/>
        <v>347</v>
      </c>
      <c r="D349" s="99">
        <f t="shared" si="29"/>
        <v>0</v>
      </c>
      <c r="E349" s="99">
        <f>IF(OR(D349&lt;=0,C349&gt;'Stress Test Inputs'!$B$23*12),0,IF(AND(C349='Stress Test Inputs'!$B$23*12,'Stress Test Inputs'!$E$23&gt;'Stress Test Inputs'!$B$23),D349+D349*B349/12,IF('Stress Test Inputs'!$C$23="FRM",-PMT($B$3/12,'Stress Test Inputs'!$E$23*12,$D$3),IF($A349,-PMT(B349/12,('Stress Test Inputs'!$E$23*12)-C349+1,D349),E348))))</f>
        <v>0</v>
      </c>
      <c r="F349" s="99">
        <f t="shared" si="26"/>
        <v>0</v>
      </c>
      <c r="G349" s="99">
        <f>IF(C349&gt;'Stress Test Inputs'!$B$23*12,0,D349*B349/12)</f>
        <v>0</v>
      </c>
      <c r="H349" s="99">
        <f t="shared" si="25"/>
        <v>0</v>
      </c>
      <c r="I349" s="99">
        <f t="shared" si="28"/>
        <v>0</v>
      </c>
      <c r="J349" s="98"/>
    </row>
    <row r="350" spans="1:10" x14ac:dyDescent="0.25">
      <c r="A350" s="77" t="b">
        <f>IF(('Stress Test Inputs'!$C$23)="FRM", FALSE, ISNUMBER(MATCH(C350,'Stress Test Inputs'!$M$18:$M$30,0)))</f>
        <v>0</v>
      </c>
      <c r="B350" s="103">
        <f>IF($A350, _xlfn.XLOOKUP(C350,'Stress Test Inputs'!$M$17:$M$29,'Stress Test Inputs'!$N$17:$N$29),$B349)</f>
        <v>6.5000000000000002E-2</v>
      </c>
      <c r="C350" s="101">
        <f t="shared" si="27"/>
        <v>348</v>
      </c>
      <c r="D350" s="99">
        <f t="shared" si="29"/>
        <v>0</v>
      </c>
      <c r="E350" s="99">
        <f>IF(OR(D350&lt;=0,C350&gt;'Stress Test Inputs'!$B$23*12),0,IF(AND(C350='Stress Test Inputs'!$B$23*12,'Stress Test Inputs'!$E$23&gt;'Stress Test Inputs'!$B$23),D350+D350*B350/12,IF('Stress Test Inputs'!$C$23="FRM",-PMT($B$3/12,'Stress Test Inputs'!$E$23*12,$D$3),IF($A350,-PMT(B350/12,('Stress Test Inputs'!$E$23*12)-C350+1,D350),E349))))</f>
        <v>0</v>
      </c>
      <c r="F350" s="99">
        <f t="shared" si="26"/>
        <v>0</v>
      </c>
      <c r="G350" s="99">
        <f>IF(C350&gt;'Stress Test Inputs'!$B$23*12,0,D350*B350/12)</f>
        <v>0</v>
      </c>
      <c r="H350" s="99">
        <f t="shared" si="25"/>
        <v>0</v>
      </c>
      <c r="I350" s="99">
        <f t="shared" si="28"/>
        <v>0</v>
      </c>
      <c r="J350" s="98"/>
    </row>
    <row r="351" spans="1:10" x14ac:dyDescent="0.25">
      <c r="A351" s="77" t="b">
        <f>IF(('Stress Test Inputs'!$C$23)="FRM", FALSE, ISNUMBER(MATCH(C351,'Stress Test Inputs'!$M$18:$M$30,0)))</f>
        <v>0</v>
      </c>
      <c r="B351" s="103">
        <f>IF($A351, _xlfn.XLOOKUP(C351,'Stress Test Inputs'!$M$17:$M$29,'Stress Test Inputs'!$N$17:$N$29),$B350)</f>
        <v>6.5000000000000002E-2</v>
      </c>
      <c r="C351" s="101">
        <f t="shared" si="27"/>
        <v>349</v>
      </c>
      <c r="D351" s="99">
        <f t="shared" si="29"/>
        <v>0</v>
      </c>
      <c r="E351" s="99">
        <f>IF(OR(D351&lt;=0,C351&gt;'Stress Test Inputs'!$B$23*12),0,IF(AND(C351='Stress Test Inputs'!$B$23*12,'Stress Test Inputs'!$E$23&gt;'Stress Test Inputs'!$B$23),D351+D351*B351/12,IF('Stress Test Inputs'!$C$23="FRM",-PMT($B$3/12,'Stress Test Inputs'!$E$23*12,$D$3),IF($A351,-PMT(B351/12,('Stress Test Inputs'!$E$23*12)-C351+1,D351),E350))))</f>
        <v>0</v>
      </c>
      <c r="F351" s="99">
        <f t="shared" si="26"/>
        <v>0</v>
      </c>
      <c r="G351" s="99">
        <f>IF(C351&gt;'Stress Test Inputs'!$B$23*12,0,D351*B351/12)</f>
        <v>0</v>
      </c>
      <c r="H351" s="99">
        <f t="shared" si="25"/>
        <v>0</v>
      </c>
      <c r="I351" s="99">
        <f t="shared" si="28"/>
        <v>0</v>
      </c>
      <c r="J351" s="98"/>
    </row>
    <row r="352" spans="1:10" x14ac:dyDescent="0.25">
      <c r="A352" s="77" t="b">
        <f>IF(('Stress Test Inputs'!$C$23)="FRM", FALSE, ISNUMBER(MATCH(C352,'Stress Test Inputs'!$M$18:$M$30,0)))</f>
        <v>0</v>
      </c>
      <c r="B352" s="103">
        <f>IF($A352, _xlfn.XLOOKUP(C352,'Stress Test Inputs'!$M$17:$M$29,'Stress Test Inputs'!$N$17:$N$29),$B351)</f>
        <v>6.5000000000000002E-2</v>
      </c>
      <c r="C352" s="101">
        <f t="shared" si="27"/>
        <v>350</v>
      </c>
      <c r="D352" s="99">
        <f t="shared" si="29"/>
        <v>0</v>
      </c>
      <c r="E352" s="99">
        <f>IF(OR(D352&lt;=0,C352&gt;'Stress Test Inputs'!$B$23*12),0,IF(AND(C352='Stress Test Inputs'!$B$23*12,'Stress Test Inputs'!$E$23&gt;'Stress Test Inputs'!$B$23),D352+D352*B352/12,IF('Stress Test Inputs'!$C$23="FRM",-PMT($B$3/12,'Stress Test Inputs'!$E$23*12,$D$3),IF($A352,-PMT(B352/12,('Stress Test Inputs'!$E$23*12)-C352+1,D352),E351))))</f>
        <v>0</v>
      </c>
      <c r="F352" s="99">
        <f t="shared" si="26"/>
        <v>0</v>
      </c>
      <c r="G352" s="99">
        <f>IF(C352&gt;'Stress Test Inputs'!$B$23*12,0,D352*B352/12)</f>
        <v>0</v>
      </c>
      <c r="H352" s="99">
        <f t="shared" si="25"/>
        <v>0</v>
      </c>
      <c r="I352" s="99">
        <f t="shared" si="28"/>
        <v>0</v>
      </c>
      <c r="J352" s="98"/>
    </row>
    <row r="353" spans="1:10" x14ac:dyDescent="0.25">
      <c r="A353" s="77" t="b">
        <f>IF(('Stress Test Inputs'!$C$23)="FRM", FALSE, ISNUMBER(MATCH(C353,'Stress Test Inputs'!$M$18:$M$30,0)))</f>
        <v>0</v>
      </c>
      <c r="B353" s="103">
        <f>IF($A353, _xlfn.XLOOKUP(C353,'Stress Test Inputs'!$M$17:$M$29,'Stress Test Inputs'!$N$17:$N$29),$B352)</f>
        <v>6.5000000000000002E-2</v>
      </c>
      <c r="C353" s="101">
        <f t="shared" si="27"/>
        <v>351</v>
      </c>
      <c r="D353" s="99">
        <f t="shared" si="29"/>
        <v>0</v>
      </c>
      <c r="E353" s="99">
        <f>IF(OR(D353&lt;=0,C353&gt;'Stress Test Inputs'!$B$23*12),0,IF(AND(C353='Stress Test Inputs'!$B$23*12,'Stress Test Inputs'!$E$23&gt;'Stress Test Inputs'!$B$23),D353+D353*B353/12,IF('Stress Test Inputs'!$C$23="FRM",-PMT($B$3/12,'Stress Test Inputs'!$E$23*12,$D$3),IF($A353,-PMT(B353/12,('Stress Test Inputs'!$E$23*12)-C353+1,D353),E352))))</f>
        <v>0</v>
      </c>
      <c r="F353" s="99">
        <f t="shared" si="26"/>
        <v>0</v>
      </c>
      <c r="G353" s="99">
        <f>IF(C353&gt;'Stress Test Inputs'!$B$23*12,0,D353*B353/12)</f>
        <v>0</v>
      </c>
      <c r="H353" s="99">
        <f t="shared" si="25"/>
        <v>0</v>
      </c>
      <c r="I353" s="99">
        <f t="shared" si="28"/>
        <v>0</v>
      </c>
      <c r="J353" s="98"/>
    </row>
    <row r="354" spans="1:10" x14ac:dyDescent="0.25">
      <c r="A354" s="77" t="b">
        <f>IF(('Stress Test Inputs'!$C$23)="FRM", FALSE, ISNUMBER(MATCH(C354,'Stress Test Inputs'!$M$18:$M$30,0)))</f>
        <v>0</v>
      </c>
      <c r="B354" s="103">
        <f>IF($A354, _xlfn.XLOOKUP(C354,'Stress Test Inputs'!$M$17:$M$29,'Stress Test Inputs'!$N$17:$N$29),$B353)</f>
        <v>6.5000000000000002E-2</v>
      </c>
      <c r="C354" s="101">
        <f t="shared" si="27"/>
        <v>352</v>
      </c>
      <c r="D354" s="99">
        <f t="shared" si="29"/>
        <v>0</v>
      </c>
      <c r="E354" s="99">
        <f>IF(OR(D354&lt;=0,C354&gt;'Stress Test Inputs'!$B$23*12),0,IF(AND(C354='Stress Test Inputs'!$B$23*12,'Stress Test Inputs'!$E$23&gt;'Stress Test Inputs'!$B$23),D354+D354*B354/12,IF('Stress Test Inputs'!$C$23="FRM",-PMT($B$3/12,'Stress Test Inputs'!$E$23*12,$D$3),IF($A354,-PMT(B354/12,('Stress Test Inputs'!$E$23*12)-C354+1,D354),E353))))</f>
        <v>0</v>
      </c>
      <c r="F354" s="99">
        <f t="shared" si="26"/>
        <v>0</v>
      </c>
      <c r="G354" s="99">
        <f>IF(C354&gt;'Stress Test Inputs'!$B$23*12,0,D354*B354/12)</f>
        <v>0</v>
      </c>
      <c r="H354" s="99">
        <f t="shared" si="25"/>
        <v>0</v>
      </c>
      <c r="I354" s="99">
        <f t="shared" si="28"/>
        <v>0</v>
      </c>
      <c r="J354" s="98"/>
    </row>
    <row r="355" spans="1:10" x14ac:dyDescent="0.25">
      <c r="A355" s="77" t="b">
        <f>IF(('Stress Test Inputs'!$C$23)="FRM", FALSE, ISNUMBER(MATCH(C355,'Stress Test Inputs'!$M$18:$M$30,0)))</f>
        <v>0</v>
      </c>
      <c r="B355" s="103">
        <f>IF($A355, _xlfn.XLOOKUP(C355,'Stress Test Inputs'!$M$17:$M$29,'Stress Test Inputs'!$N$17:$N$29),$B354)</f>
        <v>6.5000000000000002E-2</v>
      </c>
      <c r="C355" s="101">
        <f t="shared" si="27"/>
        <v>353</v>
      </c>
      <c r="D355" s="99">
        <f t="shared" si="29"/>
        <v>0</v>
      </c>
      <c r="E355" s="99">
        <f>IF(OR(D355&lt;=0,C355&gt;'Stress Test Inputs'!$B$23*12),0,IF(AND(C355='Stress Test Inputs'!$B$23*12,'Stress Test Inputs'!$E$23&gt;'Stress Test Inputs'!$B$23),D355+D355*B355/12,IF('Stress Test Inputs'!$C$23="FRM",-PMT($B$3/12,'Stress Test Inputs'!$E$23*12,$D$3),IF($A355,-PMT(B355/12,('Stress Test Inputs'!$E$23*12)-C355+1,D355),E354))))</f>
        <v>0</v>
      </c>
      <c r="F355" s="99">
        <f t="shared" si="26"/>
        <v>0</v>
      </c>
      <c r="G355" s="99">
        <f>IF(C355&gt;'Stress Test Inputs'!$B$23*12,0,D355*B355/12)</f>
        <v>0</v>
      </c>
      <c r="H355" s="99">
        <f t="shared" si="25"/>
        <v>0</v>
      </c>
      <c r="I355" s="99">
        <f t="shared" si="28"/>
        <v>0</v>
      </c>
      <c r="J355" s="98"/>
    </row>
    <row r="356" spans="1:10" x14ac:dyDescent="0.25">
      <c r="A356" s="77" t="b">
        <f>IF(('Stress Test Inputs'!$C$23)="FRM", FALSE, ISNUMBER(MATCH(C356,'Stress Test Inputs'!$M$18:$M$30,0)))</f>
        <v>0</v>
      </c>
      <c r="B356" s="103">
        <f>IF($A356, _xlfn.XLOOKUP(C356,'Stress Test Inputs'!$M$17:$M$29,'Stress Test Inputs'!$N$17:$N$29),$B355)</f>
        <v>6.5000000000000002E-2</v>
      </c>
      <c r="C356" s="101">
        <f t="shared" si="27"/>
        <v>354</v>
      </c>
      <c r="D356" s="99">
        <f t="shared" si="29"/>
        <v>0</v>
      </c>
      <c r="E356" s="99">
        <f>IF(OR(D356&lt;=0,C356&gt;'Stress Test Inputs'!$B$23*12),0,IF(AND(C356='Stress Test Inputs'!$B$23*12,'Stress Test Inputs'!$E$23&gt;'Stress Test Inputs'!$B$23),D356+D356*B356/12,IF('Stress Test Inputs'!$C$23="FRM",-PMT($B$3/12,'Stress Test Inputs'!$E$23*12,$D$3),IF($A356,-PMT(B356/12,('Stress Test Inputs'!$E$23*12)-C356+1,D356),E355))))</f>
        <v>0</v>
      </c>
      <c r="F356" s="99">
        <f t="shared" si="26"/>
        <v>0</v>
      </c>
      <c r="G356" s="99">
        <f>IF(C356&gt;'Stress Test Inputs'!$B$23*12,0,D356*B356/12)</f>
        <v>0</v>
      </c>
      <c r="H356" s="99">
        <f t="shared" si="25"/>
        <v>0</v>
      </c>
      <c r="I356" s="99">
        <f t="shared" si="28"/>
        <v>0</v>
      </c>
      <c r="J356" s="98"/>
    </row>
    <row r="357" spans="1:10" x14ac:dyDescent="0.25">
      <c r="A357" s="77" t="b">
        <f>IF(('Stress Test Inputs'!$C$23)="FRM", FALSE, ISNUMBER(MATCH(C357,'Stress Test Inputs'!$M$18:$M$30,0)))</f>
        <v>0</v>
      </c>
      <c r="B357" s="103">
        <f>IF($A357, _xlfn.XLOOKUP(C357,'Stress Test Inputs'!$M$17:$M$29,'Stress Test Inputs'!$N$17:$N$29),$B356)</f>
        <v>6.5000000000000002E-2</v>
      </c>
      <c r="C357" s="101">
        <f t="shared" si="27"/>
        <v>355</v>
      </c>
      <c r="D357" s="99">
        <f t="shared" si="29"/>
        <v>0</v>
      </c>
      <c r="E357" s="99">
        <f>IF(OR(D357&lt;=0,C357&gt;'Stress Test Inputs'!$B$23*12),0,IF(AND(C357='Stress Test Inputs'!$B$23*12,'Stress Test Inputs'!$E$23&gt;'Stress Test Inputs'!$B$23),D357+D357*B357/12,IF('Stress Test Inputs'!$C$23="FRM",-PMT($B$3/12,'Stress Test Inputs'!$E$23*12,$D$3),IF($A357,-PMT(B357/12,('Stress Test Inputs'!$E$23*12)-C357+1,D357),E356))))</f>
        <v>0</v>
      </c>
      <c r="F357" s="99">
        <f t="shared" si="26"/>
        <v>0</v>
      </c>
      <c r="G357" s="99">
        <f>IF(C357&gt;'Stress Test Inputs'!$B$23*12,0,D357*B357/12)</f>
        <v>0</v>
      </c>
      <c r="H357" s="99">
        <f t="shared" si="25"/>
        <v>0</v>
      </c>
      <c r="I357" s="99">
        <f t="shared" si="28"/>
        <v>0</v>
      </c>
      <c r="J357" s="98"/>
    </row>
    <row r="358" spans="1:10" x14ac:dyDescent="0.25">
      <c r="A358" s="77" t="b">
        <f>IF(('Stress Test Inputs'!$C$23)="FRM", FALSE, ISNUMBER(MATCH(C358,'Stress Test Inputs'!$M$18:$M$30,0)))</f>
        <v>0</v>
      </c>
      <c r="B358" s="103">
        <f>IF($A358, _xlfn.XLOOKUP(C358,'Stress Test Inputs'!$M$17:$M$29,'Stress Test Inputs'!$N$17:$N$29),$B357)</f>
        <v>6.5000000000000002E-2</v>
      </c>
      <c r="C358" s="101">
        <f t="shared" si="27"/>
        <v>356</v>
      </c>
      <c r="D358" s="99">
        <f t="shared" si="29"/>
        <v>0</v>
      </c>
      <c r="E358" s="99">
        <f>IF(OR(D358&lt;=0,C358&gt;'Stress Test Inputs'!$B$23*12),0,IF(AND(C358='Stress Test Inputs'!$B$23*12,'Stress Test Inputs'!$E$23&gt;'Stress Test Inputs'!$B$23),D358+D358*B358/12,IF('Stress Test Inputs'!$C$23="FRM",-PMT($B$3/12,'Stress Test Inputs'!$E$23*12,$D$3),IF($A358,-PMT(B358/12,('Stress Test Inputs'!$E$23*12)-C358+1,D358),E357))))</f>
        <v>0</v>
      </c>
      <c r="F358" s="99">
        <f t="shared" si="26"/>
        <v>0</v>
      </c>
      <c r="G358" s="99">
        <f>IF(C358&gt;'Stress Test Inputs'!$B$23*12,0,D358*B358/12)</f>
        <v>0</v>
      </c>
      <c r="H358" s="99">
        <f t="shared" si="25"/>
        <v>0</v>
      </c>
      <c r="I358" s="99">
        <f t="shared" si="28"/>
        <v>0</v>
      </c>
      <c r="J358" s="98"/>
    </row>
    <row r="359" spans="1:10" x14ac:dyDescent="0.25">
      <c r="A359" s="77" t="b">
        <f>IF(('Stress Test Inputs'!$C$23)="FRM", FALSE, ISNUMBER(MATCH(C359,'Stress Test Inputs'!$M$18:$M$30,0)))</f>
        <v>0</v>
      </c>
      <c r="B359" s="103">
        <f>IF($A359, _xlfn.XLOOKUP(C359,'Stress Test Inputs'!$M$17:$M$29,'Stress Test Inputs'!$N$17:$N$29),$B358)</f>
        <v>6.5000000000000002E-2</v>
      </c>
      <c r="C359" s="101">
        <f t="shared" si="27"/>
        <v>357</v>
      </c>
      <c r="D359" s="99">
        <f t="shared" si="29"/>
        <v>0</v>
      </c>
      <c r="E359" s="99">
        <f>IF(OR(D359&lt;=0,C359&gt;'Stress Test Inputs'!$B$23*12),0,IF(AND(C359='Stress Test Inputs'!$B$23*12,'Stress Test Inputs'!$E$23&gt;'Stress Test Inputs'!$B$23),D359+D359*B359/12,IF('Stress Test Inputs'!$C$23="FRM",-PMT($B$3/12,'Stress Test Inputs'!$E$23*12,$D$3),IF($A359,-PMT(B359/12,('Stress Test Inputs'!$E$23*12)-C359+1,D359),E358))))</f>
        <v>0</v>
      </c>
      <c r="F359" s="99">
        <f t="shared" si="26"/>
        <v>0</v>
      </c>
      <c r="G359" s="99">
        <f>IF(C359&gt;'Stress Test Inputs'!$B$23*12,0,D359*B359/12)</f>
        <v>0</v>
      </c>
      <c r="H359" s="99">
        <f t="shared" si="25"/>
        <v>0</v>
      </c>
      <c r="I359" s="99">
        <f t="shared" si="28"/>
        <v>0</v>
      </c>
      <c r="J359" s="98"/>
    </row>
    <row r="360" spans="1:10" x14ac:dyDescent="0.25">
      <c r="A360" s="77" t="b">
        <f>IF(('Stress Test Inputs'!$C$23)="FRM", FALSE, ISNUMBER(MATCH(C360,'Stress Test Inputs'!$M$18:$M$30,0)))</f>
        <v>0</v>
      </c>
      <c r="B360" s="103">
        <f>IF($A360, _xlfn.XLOOKUP(C360,'Stress Test Inputs'!$M$17:$M$29,'Stress Test Inputs'!$N$17:$N$29),$B359)</f>
        <v>6.5000000000000002E-2</v>
      </c>
      <c r="C360" s="101">
        <f t="shared" si="27"/>
        <v>358</v>
      </c>
      <c r="D360" s="99">
        <f t="shared" si="29"/>
        <v>0</v>
      </c>
      <c r="E360" s="99">
        <f>IF(OR(D360&lt;=0,C360&gt;'Stress Test Inputs'!$B$23*12),0,IF(AND(C360='Stress Test Inputs'!$B$23*12,'Stress Test Inputs'!$E$23&gt;'Stress Test Inputs'!$B$23),D360+D360*B360/12,IF('Stress Test Inputs'!$C$23="FRM",-PMT($B$3/12,'Stress Test Inputs'!$E$23*12,$D$3),IF($A360,-PMT(B360/12,('Stress Test Inputs'!$E$23*12)-C360+1,D360),E359))))</f>
        <v>0</v>
      </c>
      <c r="F360" s="99">
        <f t="shared" si="26"/>
        <v>0</v>
      </c>
      <c r="G360" s="99">
        <f>IF(C360&gt;'Stress Test Inputs'!$B$23*12,0,D360*B360/12)</f>
        <v>0</v>
      </c>
      <c r="H360" s="99">
        <f t="shared" si="25"/>
        <v>0</v>
      </c>
      <c r="I360" s="99">
        <f t="shared" si="28"/>
        <v>0</v>
      </c>
      <c r="J360" s="98"/>
    </row>
    <row r="361" spans="1:10" x14ac:dyDescent="0.25">
      <c r="A361" s="77" t="b">
        <f>IF(('Stress Test Inputs'!$C$23)="FRM", FALSE, ISNUMBER(MATCH(C361,'Stress Test Inputs'!$M$18:$M$30,0)))</f>
        <v>0</v>
      </c>
      <c r="B361" s="103">
        <f>IF($A361, _xlfn.XLOOKUP(C361,'Stress Test Inputs'!$M$17:$M$29,'Stress Test Inputs'!$N$17:$N$29),$B360)</f>
        <v>6.5000000000000002E-2</v>
      </c>
      <c r="C361" s="101">
        <f t="shared" si="27"/>
        <v>359</v>
      </c>
      <c r="D361" s="99">
        <f t="shared" si="29"/>
        <v>0</v>
      </c>
      <c r="E361" s="99">
        <f>IF(OR(D361&lt;=0,C361&gt;'Stress Test Inputs'!$B$23*12),0,IF(AND(C361='Stress Test Inputs'!$B$23*12,'Stress Test Inputs'!$E$23&gt;'Stress Test Inputs'!$B$23),D361+D361*B361/12,IF('Stress Test Inputs'!$C$23="FRM",-PMT($B$3/12,'Stress Test Inputs'!$E$23*12,$D$3),IF($A361,-PMT(B361/12,('Stress Test Inputs'!$E$23*12)-C361+1,D361),E360))))</f>
        <v>0</v>
      </c>
      <c r="F361" s="99">
        <f t="shared" si="26"/>
        <v>0</v>
      </c>
      <c r="G361" s="99">
        <f>IF(C361&gt;'Stress Test Inputs'!$B$23*12,0,D361*B361/12)</f>
        <v>0</v>
      </c>
      <c r="H361" s="99">
        <f t="shared" si="25"/>
        <v>0</v>
      </c>
      <c r="I361" s="99">
        <f t="shared" si="28"/>
        <v>0</v>
      </c>
      <c r="J361" s="98"/>
    </row>
    <row r="362" spans="1:10" x14ac:dyDescent="0.25">
      <c r="A362" s="77" t="b">
        <f>IF(('Stress Test Inputs'!$C$23)="FRM", FALSE, ISNUMBER(MATCH(C362,'Stress Test Inputs'!$M$18:$M$30,0)))</f>
        <v>0</v>
      </c>
      <c r="B362" s="103">
        <f>IF($A362, _xlfn.XLOOKUP(C362,'Stress Test Inputs'!$M$17:$M$29,'Stress Test Inputs'!$N$17:$N$29),$B361)</f>
        <v>6.5000000000000002E-2</v>
      </c>
      <c r="C362" s="101">
        <f t="shared" si="27"/>
        <v>360</v>
      </c>
      <c r="D362" s="99">
        <f t="shared" si="29"/>
        <v>0</v>
      </c>
      <c r="E362" s="99">
        <f>IF(OR(D362&lt;=0,C362&gt;'Stress Test Inputs'!$B$23*12),0,IF(AND(C362='Stress Test Inputs'!$B$23*12,'Stress Test Inputs'!$E$23&gt;'Stress Test Inputs'!$B$23),D362+D362*B362/12,IF('Stress Test Inputs'!$C$23="FRM",-PMT($B$3/12,'Stress Test Inputs'!$E$23*12,$D$3),IF($A362,-PMT(B362/12,('Stress Test Inputs'!$E$23*12)-C362+1,D362),E361))))</f>
        <v>0</v>
      </c>
      <c r="F362" s="99">
        <f t="shared" si="26"/>
        <v>0</v>
      </c>
      <c r="G362" s="99">
        <f>IF(C362&gt;'Stress Test Inputs'!$B$23*12,0,D362*B362/12)</f>
        <v>0</v>
      </c>
      <c r="H362" s="99">
        <f t="shared" si="25"/>
        <v>0</v>
      </c>
      <c r="I362" s="99">
        <f t="shared" si="28"/>
        <v>0</v>
      </c>
      <c r="J362" s="9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7419-E759-4696-A487-D1244F0304D0}">
  <sheetPr>
    <tabColor rgb="FFFF0000"/>
  </sheetPr>
  <dimension ref="B4:I37"/>
  <sheetViews>
    <sheetView workbookViewId="0">
      <selection activeCell="M50" sqref="M50"/>
    </sheetView>
  </sheetViews>
  <sheetFormatPr defaultRowHeight="15" x14ac:dyDescent="0.25"/>
  <cols>
    <col min="2" max="2" width="26.140625" bestFit="1" customWidth="1"/>
    <col min="3" max="3" width="22.5703125" bestFit="1" customWidth="1"/>
    <col min="4" max="4" width="19.42578125" bestFit="1" customWidth="1"/>
    <col min="5" max="5" width="15.5703125" bestFit="1" customWidth="1"/>
    <col min="6" max="6" width="16.28515625" bestFit="1" customWidth="1"/>
    <col min="7" max="7" width="15.5703125" bestFit="1" customWidth="1"/>
  </cols>
  <sheetData>
    <row r="4" spans="2:7" x14ac:dyDescent="0.25">
      <c r="C4" t="s">
        <v>96</v>
      </c>
      <c r="D4" t="s">
        <v>53</v>
      </c>
      <c r="E4" t="s">
        <v>54</v>
      </c>
      <c r="F4" t="s">
        <v>55</v>
      </c>
      <c r="G4" t="s">
        <v>56</v>
      </c>
    </row>
    <row r="5" spans="2:7" ht="15.75" x14ac:dyDescent="0.25">
      <c r="B5" s="14" t="s">
        <v>63</v>
      </c>
    </row>
    <row r="6" spans="2:7" x14ac:dyDescent="0.25">
      <c r="B6" t="s">
        <v>61</v>
      </c>
      <c r="C6" s="9">
        <f>'Stress Test Inputs'!$C$8*12*'Stress Test Inputs'!$D$3</f>
        <v>1728000</v>
      </c>
      <c r="D6" s="9">
        <f>C6*(1+'Stress Test Inputs'!$H$8)</f>
        <v>1775520.0000000002</v>
      </c>
      <c r="E6" s="9">
        <f>D6*(1+'Stress Test Inputs'!$H$8)</f>
        <v>1824346.8000000003</v>
      </c>
      <c r="F6" s="9">
        <f>E6*(1+'Stress Test Inputs'!$H$8)</f>
        <v>1874516.3370000005</v>
      </c>
      <c r="G6" s="9">
        <f>F6*(1+'Stress Test Inputs'!$H$8)</f>
        <v>1926065.5362675006</v>
      </c>
    </row>
    <row r="7" spans="2:7" x14ac:dyDescent="0.25">
      <c r="B7" t="s">
        <v>58</v>
      </c>
      <c r="C7" s="9">
        <f>-(C6*'Stress Test Inputs'!$D$8)</f>
        <v>-120960.00000000001</v>
      </c>
      <c r="D7" s="9">
        <f>-(D6*'Stress Test Inputs'!$D$8)</f>
        <v>-124286.40000000002</v>
      </c>
      <c r="E7" s="9">
        <f>-(E6*'Stress Test Inputs'!$D$8)</f>
        <v>-127704.27600000003</v>
      </c>
      <c r="F7" s="9">
        <f>-(F6*'Stress Test Inputs'!$D$8)</f>
        <v>-131216.14359000005</v>
      </c>
      <c r="G7" s="9">
        <f>-(G6*'Stress Test Inputs'!$D$8)</f>
        <v>-134824.58753872506</v>
      </c>
    </row>
    <row r="8" spans="2:7" x14ac:dyDescent="0.25">
      <c r="B8" t="s">
        <v>59</v>
      </c>
      <c r="C8" s="9">
        <f>C6+C7</f>
        <v>1607040</v>
      </c>
      <c r="D8" s="9">
        <f t="shared" ref="D8:G8" si="0">D6+D7</f>
        <v>1651233.6</v>
      </c>
      <c r="E8" s="9">
        <f t="shared" si="0"/>
        <v>1696642.5240000002</v>
      </c>
      <c r="F8" s="9">
        <f t="shared" si="0"/>
        <v>1743300.1934100005</v>
      </c>
      <c r="G8" s="9">
        <f t="shared" si="0"/>
        <v>1791240.9487287756</v>
      </c>
    </row>
    <row r="9" spans="2:7" x14ac:dyDescent="0.25">
      <c r="B9" t="s">
        <v>60</v>
      </c>
      <c r="C9" s="9">
        <f>C6*'Stress Test Inputs'!$E$8</f>
        <v>51840</v>
      </c>
      <c r="D9" s="9">
        <f>D6*'Stress Test Inputs'!$E$8</f>
        <v>53265.600000000006</v>
      </c>
      <c r="E9" s="9">
        <f>E6*'Stress Test Inputs'!$E$8</f>
        <v>54730.40400000001</v>
      </c>
      <c r="F9" s="9">
        <f>F6*'Stress Test Inputs'!$E$8</f>
        <v>56235.490110000013</v>
      </c>
      <c r="G9" s="9">
        <f>G6*'Stress Test Inputs'!$E$8</f>
        <v>57781.966088025016</v>
      </c>
    </row>
    <row r="10" spans="2:7" x14ac:dyDescent="0.25">
      <c r="B10" s="15" t="s">
        <v>62</v>
      </c>
      <c r="C10" s="16">
        <f>C8+C9</f>
        <v>1658880</v>
      </c>
      <c r="D10" s="16">
        <f t="shared" ref="D10:G10" si="1">D8+D9</f>
        <v>1704499.2000000002</v>
      </c>
      <c r="E10" s="16">
        <f t="shared" si="1"/>
        <v>1751372.9280000003</v>
      </c>
      <c r="F10" s="16">
        <f t="shared" si="1"/>
        <v>1799535.6835200004</v>
      </c>
      <c r="G10" s="16">
        <f t="shared" si="1"/>
        <v>1849022.9148168005</v>
      </c>
    </row>
    <row r="12" spans="2:7" ht="15.75" x14ac:dyDescent="0.25">
      <c r="B12" s="14" t="s">
        <v>64</v>
      </c>
    </row>
    <row r="13" spans="2:7" x14ac:dyDescent="0.25">
      <c r="B13" t="s">
        <v>65</v>
      </c>
      <c r="C13" s="9">
        <f>C10*'Stress Test Inputs'!$B$12</f>
        <v>99532.800000000003</v>
      </c>
      <c r="D13" s="9">
        <f>D10*'Stress Test Inputs'!$B$12</f>
        <v>102269.952</v>
      </c>
      <c r="E13" s="9">
        <f>E10*'Stress Test Inputs'!$B$12</f>
        <v>105082.37568000001</v>
      </c>
      <c r="F13" s="9">
        <f>F10*'Stress Test Inputs'!$B$12</f>
        <v>107972.14101120002</v>
      </c>
      <c r="G13" s="9">
        <f>G10*'Stress Test Inputs'!$B$12</f>
        <v>110941.37488900803</v>
      </c>
    </row>
    <row r="14" spans="2:7" x14ac:dyDescent="0.25">
      <c r="B14" t="s">
        <v>66</v>
      </c>
      <c r="C14" s="9">
        <f>C10*'Stress Test Inputs'!$C$12</f>
        <v>82944</v>
      </c>
      <c r="D14" s="9">
        <f>D10*'Stress Test Inputs'!$C$12</f>
        <v>85224.960000000021</v>
      </c>
      <c r="E14" s="9">
        <f>E10*'Stress Test Inputs'!$C$12</f>
        <v>87568.646400000027</v>
      </c>
      <c r="F14" s="9">
        <f>F10*'Stress Test Inputs'!$C$12</f>
        <v>89976.78417600003</v>
      </c>
      <c r="G14" s="9">
        <f>G10*'Stress Test Inputs'!$C$12</f>
        <v>92451.145740840031</v>
      </c>
    </row>
    <row r="15" spans="2:7" x14ac:dyDescent="0.25">
      <c r="B15" t="s">
        <v>21</v>
      </c>
      <c r="C15" s="9">
        <f>C10*'Stress Test Inputs'!$D$12</f>
        <v>124416</v>
      </c>
      <c r="D15" s="9">
        <f>D10*'Stress Test Inputs'!$D$12</f>
        <v>127837.44</v>
      </c>
      <c r="E15" s="9">
        <f>E10*'Stress Test Inputs'!$D$12</f>
        <v>131352.96960000001</v>
      </c>
      <c r="F15" s="9">
        <f>F10*'Stress Test Inputs'!$D$12</f>
        <v>134965.17626400004</v>
      </c>
      <c r="G15" s="9">
        <f>G10*'Stress Test Inputs'!$D$12</f>
        <v>138676.71861126003</v>
      </c>
    </row>
    <row r="16" spans="2:7" x14ac:dyDescent="0.25">
      <c r="B16" t="s">
        <v>67</v>
      </c>
      <c r="C16" s="9">
        <f>C10*'Stress Test Inputs'!$E$12</f>
        <v>82944</v>
      </c>
      <c r="D16" s="9">
        <f>D10*'Stress Test Inputs'!$E$12</f>
        <v>85224.960000000021</v>
      </c>
      <c r="E16" s="9">
        <f>E10*'Stress Test Inputs'!$E$12</f>
        <v>87568.646400000027</v>
      </c>
      <c r="F16" s="9">
        <f>F10*'Stress Test Inputs'!$E$12</f>
        <v>89976.78417600003</v>
      </c>
      <c r="G16" s="9">
        <f>G10*'Stress Test Inputs'!$E$12</f>
        <v>92451.145740840031</v>
      </c>
    </row>
    <row r="17" spans="2:9" x14ac:dyDescent="0.25">
      <c r="B17" s="15" t="s">
        <v>68</v>
      </c>
      <c r="C17" s="16">
        <f>SUM(C13:C16)</f>
        <v>389836.79999999999</v>
      </c>
      <c r="D17" s="16">
        <f t="shared" ref="D17:G17" si="2">SUM(D13:D16)</f>
        <v>400557.31200000003</v>
      </c>
      <c r="E17" s="16">
        <f t="shared" si="2"/>
        <v>411572.63808000006</v>
      </c>
      <c r="F17" s="16">
        <f t="shared" si="2"/>
        <v>422890.88562720013</v>
      </c>
      <c r="G17" s="16">
        <f t="shared" si="2"/>
        <v>434520.38498194807</v>
      </c>
    </row>
    <row r="18" spans="2:9" x14ac:dyDescent="0.25">
      <c r="I18" t="s">
        <v>98</v>
      </c>
    </row>
    <row r="19" spans="2:9" x14ac:dyDescent="0.25">
      <c r="B19" t="s">
        <v>69</v>
      </c>
      <c r="C19" s="9">
        <f>'Stress Test Inputs'!$H$12*'Stress Test Inputs'!$D$3</f>
        <v>40800</v>
      </c>
      <c r="D19" s="9">
        <f>C19*(1+$I$19)</f>
        <v>41820</v>
      </c>
      <c r="E19" s="9">
        <f t="shared" ref="E19:G20" si="3">D19*(1+$I$19)</f>
        <v>42865.499999999993</v>
      </c>
      <c r="F19" s="9">
        <f t="shared" si="3"/>
        <v>43937.13749999999</v>
      </c>
      <c r="G19" s="9">
        <f t="shared" si="3"/>
        <v>45035.565937499989</v>
      </c>
      <c r="I19" s="2">
        <v>2.5000000000000001E-2</v>
      </c>
    </row>
    <row r="20" spans="2:9" x14ac:dyDescent="0.25">
      <c r="B20" t="s">
        <v>70</v>
      </c>
      <c r="C20" s="9">
        <f>'Stress Test Inputs'!$I$12*'Stress Test Inputs'!$D$3</f>
        <v>28800</v>
      </c>
      <c r="D20" s="9">
        <f>C20*(1+$I$19)</f>
        <v>29519.999999999996</v>
      </c>
      <c r="E20" s="9">
        <f t="shared" si="3"/>
        <v>30257.999999999993</v>
      </c>
      <c r="F20" s="9">
        <f t="shared" si="3"/>
        <v>31014.44999999999</v>
      </c>
      <c r="G20" s="9">
        <f t="shared" si="3"/>
        <v>31789.811249999988</v>
      </c>
    </row>
    <row r="21" spans="2:9" x14ac:dyDescent="0.25">
      <c r="B21" s="15" t="s">
        <v>71</v>
      </c>
      <c r="C21" s="16">
        <f>SUM(C19:C20)</f>
        <v>69600</v>
      </c>
      <c r="D21" s="16">
        <f t="shared" ref="D21:G21" si="4">SUM(D19:D20)</f>
        <v>71340</v>
      </c>
      <c r="E21" s="16">
        <f t="shared" si="4"/>
        <v>73123.499999999985</v>
      </c>
      <c r="F21" s="16">
        <f t="shared" si="4"/>
        <v>74951.58749999998</v>
      </c>
      <c r="G21" s="16">
        <f t="shared" si="4"/>
        <v>76825.37718749998</v>
      </c>
    </row>
    <row r="22" spans="2:9" x14ac:dyDescent="0.25">
      <c r="I22" t="s">
        <v>100</v>
      </c>
    </row>
    <row r="23" spans="2:9" ht="15.75" x14ac:dyDescent="0.25">
      <c r="B23" s="14" t="s">
        <v>72</v>
      </c>
      <c r="C23" s="9">
        <f>'Stress Test Inputs'!$F$12*'Stress Test Inputs'!$B$17</f>
        <v>210000</v>
      </c>
      <c r="D23" s="9">
        <f>C23*(1+$I$23)</f>
        <v>214200</v>
      </c>
      <c r="E23" s="9">
        <f t="shared" ref="E23:G23" si="5">D23*(1+$I$23)</f>
        <v>218484</v>
      </c>
      <c r="F23" s="9">
        <f t="shared" si="5"/>
        <v>222853.68</v>
      </c>
      <c r="G23" s="9">
        <f t="shared" si="5"/>
        <v>227310.7536</v>
      </c>
      <c r="I23" s="1">
        <v>0.02</v>
      </c>
    </row>
    <row r="25" spans="2:9" x14ac:dyDescent="0.25">
      <c r="B25" t="s">
        <v>86</v>
      </c>
      <c r="C25" s="9">
        <f>C10-C17-C21-C23</f>
        <v>989443.2</v>
      </c>
      <c r="D25" s="9">
        <f t="shared" ref="D25:G25" si="6">D10-D17-D21-D23</f>
        <v>1018401.8880000003</v>
      </c>
      <c r="E25" s="9">
        <f t="shared" si="6"/>
        <v>1048192.7899200004</v>
      </c>
      <c r="F25" s="9">
        <f t="shared" si="6"/>
        <v>1078839.5303928005</v>
      </c>
      <c r="G25" s="9">
        <f t="shared" si="6"/>
        <v>1110366.3990473526</v>
      </c>
    </row>
    <row r="27" spans="2:9" x14ac:dyDescent="0.25">
      <c r="B27" t="s">
        <v>94</v>
      </c>
      <c r="C27" s="7">
        <f>SUM('Debt calculations'!E3:E14)</f>
        <v>981674.92016851646</v>
      </c>
      <c r="D27" s="7">
        <f>SUM('Debt calculations'!E15:E26)</f>
        <v>1024308.9412889137</v>
      </c>
      <c r="E27" s="7">
        <f>SUM('Debt calculations'!E27:E38)</f>
        <v>988718.98057393183</v>
      </c>
      <c r="F27" s="7">
        <f>SUM('Debt calculations'!E39:E50)</f>
        <v>963297.58006323047</v>
      </c>
      <c r="G27" s="7">
        <f>SUM('Debt calculations'!E51:E62)</f>
        <v>963297.58006323047</v>
      </c>
    </row>
    <row r="29" spans="2:9" x14ac:dyDescent="0.25">
      <c r="B29" t="s">
        <v>82</v>
      </c>
      <c r="C29" s="9">
        <f>'Stress Test Inputs'!C27*'Stress Test Inputs'!B17</f>
        <v>10920000</v>
      </c>
      <c r="D29" s="9"/>
      <c r="E29" s="9"/>
      <c r="F29" s="9"/>
      <c r="G29" s="9"/>
    </row>
    <row r="30" spans="2:9" x14ac:dyDescent="0.25">
      <c r="B30" t="s">
        <v>97</v>
      </c>
      <c r="C30" s="25">
        <f>C25/C27</f>
        <v>1.0079132915305098</v>
      </c>
      <c r="D30" s="25">
        <f t="shared" ref="D30:G30" si="7">D25/D27</f>
        <v>0.99423313313903083</v>
      </c>
      <c r="E30" s="25">
        <f t="shared" si="7"/>
        <v>1.0601523896219178</v>
      </c>
      <c r="F30" s="25">
        <f t="shared" si="7"/>
        <v>1.1199441924498408</v>
      </c>
      <c r="G30" s="25">
        <f t="shared" si="7"/>
        <v>1.1526722603979433</v>
      </c>
    </row>
    <row r="35" spans="2:4" x14ac:dyDescent="0.25">
      <c r="B35" s="40" t="str">
        <f>'Stress Test Inputs'!B25</f>
        <v>Limits On Loan</v>
      </c>
    </row>
    <row r="36" spans="2:4" x14ac:dyDescent="0.25">
      <c r="B36" s="53" t="str">
        <f>'Stress Test Inputs'!B26</f>
        <v>Minimum DSCR</v>
      </c>
      <c r="C36" s="54" t="str">
        <f>'Stress Test Inputs'!C26</f>
        <v>Maximum LTV</v>
      </c>
      <c r="D36" s="55" t="str">
        <f>'Stress Test Inputs'!D26</f>
        <v>Minimum Debt Yield</v>
      </c>
    </row>
    <row r="37" spans="2:4" x14ac:dyDescent="0.25">
      <c r="B37" s="74">
        <f>'Stress Test Inputs'!B27</f>
        <v>1.25</v>
      </c>
      <c r="C37" s="75">
        <f>'Stress Test Inputs'!C27</f>
        <v>0.65</v>
      </c>
      <c r="D37" s="69">
        <f>'Stress Test Inputs'!D27</f>
        <v>8.7499999999999994E-2</v>
      </c>
    </row>
  </sheetData>
  <conditionalFormatting sqref="C29:G29">
    <cfRule type="cellIs" dxfId="3" priority="1" operator="lessThan">
      <formula>$D$3</formula>
    </cfRule>
    <cfRule type="cellIs" dxfId="2" priority="2" operator="greaterThan">
      <formula>$D$3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lessThan" id="{A902E237-7D0F-4608-9660-DC40FE4F00D1}">
            <xm:f>'Input Data'!$B$27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4" operator="greaterThan" id="{5B48CFE6-557A-4569-BC51-B494D4F9BCA9}">
            <xm:f>'Input Data'!$B$27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C30:G30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F4FC5-F04D-4C98-8461-AB9E14DD7074}">
  <sheetPr>
    <tabColor rgb="FFFF0000"/>
  </sheetPr>
  <dimension ref="C2:D26"/>
  <sheetViews>
    <sheetView tabSelected="1" workbookViewId="0">
      <selection activeCell="H23" sqref="H23"/>
    </sheetView>
  </sheetViews>
  <sheetFormatPr defaultRowHeight="15" x14ac:dyDescent="0.25"/>
  <cols>
    <col min="3" max="3" width="46" bestFit="1" customWidth="1"/>
    <col min="4" max="4" width="20.7109375" bestFit="1" customWidth="1"/>
  </cols>
  <sheetData>
    <row r="2" spans="3:4" ht="18.75" x14ac:dyDescent="0.3">
      <c r="C2" s="17" t="s">
        <v>78</v>
      </c>
    </row>
    <row r="3" spans="3:4" x14ac:dyDescent="0.25">
      <c r="C3" t="s">
        <v>87</v>
      </c>
      <c r="D3" s="9">
        <f>'Input Data'!B17*(1-'Input Data'!C17)</f>
        <v>10080000</v>
      </c>
    </row>
    <row r="4" spans="3:4" x14ac:dyDescent="0.25">
      <c r="C4" t="s">
        <v>80</v>
      </c>
      <c r="D4" s="7">
        <f>'Debt calculations'!E3</f>
        <v>86978.555849390395</v>
      </c>
    </row>
    <row r="5" spans="3:4" x14ac:dyDescent="0.25">
      <c r="C5" t="s">
        <v>85</v>
      </c>
      <c r="D5" s="9">
        <f>D4*12</f>
        <v>1043742.6701926847</v>
      </c>
    </row>
    <row r="6" spans="3:4" x14ac:dyDescent="0.25">
      <c r="C6" t="s">
        <v>79</v>
      </c>
      <c r="D6" s="7">
        <f>'Debt calculations'!M10</f>
        <v>4387655.5279469965</v>
      </c>
    </row>
    <row r="10" spans="3:4" ht="15.75" x14ac:dyDescent="0.25">
      <c r="C10" s="14" t="s">
        <v>83</v>
      </c>
    </row>
    <row r="11" spans="3:4" x14ac:dyDescent="0.25">
      <c r="C11" t="s">
        <v>84</v>
      </c>
      <c r="D11" s="9">
        <f>'Property Pro Forma Financials'!C6</f>
        <v>1728000</v>
      </c>
    </row>
    <row r="12" spans="3:4" x14ac:dyDescent="0.25">
      <c r="C12" t="s">
        <v>86</v>
      </c>
      <c r="D12" s="9">
        <f>'Property Pro Forma Financials'!C25</f>
        <v>989443.2</v>
      </c>
    </row>
    <row r="21" spans="3:4" x14ac:dyDescent="0.25">
      <c r="C21" t="s">
        <v>91</v>
      </c>
      <c r="D21" s="20">
        <f>SUM('Debt calculations'!G3:G14)*(1-'Input Data'!K12)+SUM('Debt calculations'!H3:H14)</f>
        <v>865148.59206199413</v>
      </c>
    </row>
    <row r="23" spans="3:4" x14ac:dyDescent="0.25">
      <c r="C23" t="s">
        <v>82</v>
      </c>
      <c r="D23" s="9">
        <f>'Input Data'!C27*'Input Data'!B17</f>
        <v>10920000</v>
      </c>
    </row>
    <row r="24" spans="3:4" x14ac:dyDescent="0.25">
      <c r="C24" t="s">
        <v>33</v>
      </c>
      <c r="D24" s="25">
        <f>D12/D21</f>
        <v>1.1436685085989242</v>
      </c>
    </row>
    <row r="25" spans="3:4" x14ac:dyDescent="0.25">
      <c r="C25" t="s">
        <v>34</v>
      </c>
      <c r="D25" s="25">
        <f>D3/'Input Data'!J3</f>
        <v>0.6</v>
      </c>
    </row>
    <row r="26" spans="3:4" x14ac:dyDescent="0.25">
      <c r="C26" t="s">
        <v>35</v>
      </c>
      <c r="D26" s="8">
        <f>D12/D3</f>
        <v>9.8159047619047618E-2</v>
      </c>
    </row>
  </sheetData>
  <conditionalFormatting sqref="D23">
    <cfRule type="cellIs" dxfId="11" priority="1" operator="lessThan">
      <formula>$D$3</formula>
    </cfRule>
    <cfRule type="cellIs" dxfId="10" priority="2" operator="greaterThan">
      <formula>$D$3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lessThan" id="{1EEFAE40-6A6B-406E-A771-3AE76CF55FDD}">
            <xm:f>'Input Data'!$B$27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4" operator="greaterThan" id="{2851B241-002E-4437-B2C0-B18AE8E8A498}">
            <xm:f>'Input Data'!$B$27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D24</xm:sqref>
        </x14:conditionalFormatting>
        <x14:conditionalFormatting xmlns:xm="http://schemas.microsoft.com/office/excel/2006/main">
          <x14:cfRule type="cellIs" priority="5" operator="lessThan" id="{BB7A0202-0B55-47E3-A18F-AC3FB50D3904}">
            <xm:f>'Input Data'!$C$27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" operator="greaterThan" id="{5F739C78-DC61-49AD-88CA-1A5F5B8512F7}">
            <xm:f>'Input Data'!$C$27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cellIs" priority="7" operator="lessThan" id="{24C37714-8046-4693-8FCF-802DAD530D1B}">
            <xm:f>'Input Data'!$D$27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8" operator="greaterThan" id="{F8A0E3CD-B86E-411F-AC62-F4FD8B40BBCF}">
            <xm:f>'Input Data'!$D$27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 Data</vt:lpstr>
      <vt:lpstr>Debt calculations</vt:lpstr>
      <vt:lpstr>Property Pro Forma Financials</vt:lpstr>
      <vt:lpstr>Final Analysis</vt:lpstr>
      <vt:lpstr>Stress Test Inputs</vt:lpstr>
      <vt:lpstr>Stress Test Debt Calc</vt:lpstr>
      <vt:lpstr>Stress Test Pro Forma</vt:lpstr>
      <vt:lpstr>Stress Test Financial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 Shelly</cp:lastModifiedBy>
  <dcterms:created xsi:type="dcterms:W3CDTF">2015-06-05T18:17:20Z</dcterms:created>
  <dcterms:modified xsi:type="dcterms:W3CDTF">2026-01-02T03:10:59Z</dcterms:modified>
</cp:coreProperties>
</file>