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icha\Desktop\"/>
    </mc:Choice>
  </mc:AlternateContent>
  <xr:revisionPtr revIDLastSave="0" documentId="13_ncr:1_{5044FD56-A925-4E86-AAC5-69E2ED20989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put Data" sheetId="1" r:id="rId1"/>
    <sheet name="Debt calcul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  <c r="B3" i="2"/>
  <c r="A4" i="2"/>
  <c r="A6" i="2"/>
  <c r="A7" i="2"/>
  <c r="A3" i="2"/>
  <c r="D3" i="2"/>
  <c r="E3" i="2" s="1"/>
  <c r="C4" i="2"/>
  <c r="C5" i="2" s="1"/>
  <c r="C6" i="2" s="1"/>
  <c r="C7" i="2" s="1"/>
  <c r="A5" i="2" l="1"/>
  <c r="G3" i="2"/>
  <c r="H3" i="2" s="1"/>
  <c r="B4" i="2"/>
  <c r="C8" i="2"/>
  <c r="A8" i="2" s="1"/>
  <c r="I3" i="2" l="1"/>
  <c r="D4" i="2" s="1"/>
  <c r="E4" i="2" s="1"/>
  <c r="B5" i="2"/>
  <c r="B6" i="2" s="1"/>
  <c r="B7" i="2" s="1"/>
  <c r="B8" i="2" s="1"/>
  <c r="C9" i="2"/>
  <c r="A9" i="2" s="1"/>
  <c r="F3" i="2"/>
  <c r="G4" i="2" l="1"/>
  <c r="H4" i="2" s="1"/>
  <c r="B9" i="2"/>
  <c r="C10" i="2"/>
  <c r="A10" i="2" s="1"/>
  <c r="F4" i="2"/>
  <c r="B10" i="2" l="1"/>
  <c r="I4" i="2"/>
  <c r="D5" i="2" s="1"/>
  <c r="E5" i="2" s="1"/>
  <c r="C11" i="2"/>
  <c r="A11" i="2" s="1"/>
  <c r="B11" i="2" s="1"/>
  <c r="G5" i="2" l="1"/>
  <c r="H5" i="2" s="1"/>
  <c r="C12" i="2"/>
  <c r="A12" i="2" s="1"/>
  <c r="B12" i="2" s="1"/>
  <c r="I5" i="2" l="1"/>
  <c r="F5" i="2"/>
  <c r="C13" i="2"/>
  <c r="A13" i="2" s="1"/>
  <c r="B13" i="2" s="1"/>
  <c r="D6" i="2" l="1"/>
  <c r="E6" i="2" s="1"/>
  <c r="C14" i="2"/>
  <c r="A14" i="2" s="1"/>
  <c r="B14" i="2" s="1"/>
  <c r="G6" i="2" l="1"/>
  <c r="H6" i="2" s="1"/>
  <c r="F6" i="2"/>
  <c r="C15" i="2"/>
  <c r="A15" i="2" s="1"/>
  <c r="B15" i="2" s="1"/>
  <c r="I6" i="2" l="1"/>
  <c r="D7" i="2" s="1"/>
  <c r="E7" i="2" s="1"/>
  <c r="C16" i="2"/>
  <c r="A16" i="2" s="1"/>
  <c r="B16" i="2" s="1"/>
  <c r="F7" i="2" l="1"/>
  <c r="G7" i="2"/>
  <c r="C17" i="2"/>
  <c r="A17" i="2" s="1"/>
  <c r="B17" i="2" s="1"/>
  <c r="C18" i="2" l="1"/>
  <c r="A18" i="2" s="1"/>
  <c r="B18" i="2" s="1"/>
  <c r="H7" i="2"/>
  <c r="I7" i="2" s="1"/>
  <c r="C19" i="2" l="1"/>
  <c r="A19" i="2" s="1"/>
  <c r="B19" i="2" s="1"/>
  <c r="D8" i="2"/>
  <c r="E8" i="2" s="1"/>
  <c r="F8" i="2" l="1"/>
  <c r="G8" i="2"/>
  <c r="C20" i="2"/>
  <c r="A20" i="2" s="1"/>
  <c r="B20" i="2" s="1"/>
  <c r="C21" i="2" l="1"/>
  <c r="A21" i="2" s="1"/>
  <c r="B21" i="2" s="1"/>
  <c r="H8" i="2"/>
  <c r="I8" i="2" s="1"/>
  <c r="C22" i="2" l="1"/>
  <c r="A22" i="2" s="1"/>
  <c r="B22" i="2" s="1"/>
  <c r="D9" i="2"/>
  <c r="E9" i="2" s="1"/>
  <c r="F9" i="2" l="1"/>
  <c r="G9" i="2"/>
  <c r="C23" i="2"/>
  <c r="A23" i="2" s="1"/>
  <c r="B23" i="2" s="1"/>
  <c r="C24" i="2" l="1"/>
  <c r="A24" i="2" s="1"/>
  <c r="B24" i="2" s="1"/>
  <c r="H9" i="2"/>
  <c r="I9" i="2" s="1"/>
  <c r="C25" i="2" l="1"/>
  <c r="A25" i="2" s="1"/>
  <c r="B25" i="2" s="1"/>
  <c r="D10" i="2"/>
  <c r="E10" i="2" s="1"/>
  <c r="F10" i="2" l="1"/>
  <c r="G10" i="2"/>
  <c r="C26" i="2"/>
  <c r="A26" i="2" s="1"/>
  <c r="B26" i="2" s="1"/>
  <c r="C27" i="2" l="1"/>
  <c r="A27" i="2" s="1"/>
  <c r="B27" i="2" s="1"/>
  <c r="H10" i="2"/>
  <c r="I10" i="2" s="1"/>
  <c r="C28" i="2" l="1"/>
  <c r="A28" i="2" s="1"/>
  <c r="B28" i="2" s="1"/>
  <c r="D11" i="2"/>
  <c r="E11" i="2" s="1"/>
  <c r="F11" i="2" l="1"/>
  <c r="G11" i="2"/>
  <c r="C29" i="2"/>
  <c r="A29" i="2" s="1"/>
  <c r="B29" i="2" s="1"/>
  <c r="C30" i="2" l="1"/>
  <c r="A30" i="2" s="1"/>
  <c r="B30" i="2" s="1"/>
  <c r="H11" i="2"/>
  <c r="I11" i="2" s="1"/>
  <c r="C31" i="2" l="1"/>
  <c r="A31" i="2" s="1"/>
  <c r="B31" i="2" s="1"/>
  <c r="D12" i="2"/>
  <c r="E12" i="2" s="1"/>
  <c r="G12" i="2" l="1"/>
  <c r="F12" i="2"/>
  <c r="C32" i="2"/>
  <c r="A32" i="2" s="1"/>
  <c r="B32" i="2" s="1"/>
  <c r="C33" i="2" l="1"/>
  <c r="A33" i="2" s="1"/>
  <c r="B33" i="2" s="1"/>
  <c r="H12" i="2"/>
  <c r="I12" i="2" s="1"/>
  <c r="C34" i="2" l="1"/>
  <c r="A34" i="2" s="1"/>
  <c r="B34" i="2" s="1"/>
  <c r="D13" i="2"/>
  <c r="E13" i="2" s="1"/>
  <c r="F13" i="2" l="1"/>
  <c r="G13" i="2"/>
  <c r="C35" i="2"/>
  <c r="A35" i="2" s="1"/>
  <c r="B35" i="2" s="1"/>
  <c r="C36" i="2" l="1"/>
  <c r="A36" i="2" s="1"/>
  <c r="B36" i="2" s="1"/>
  <c r="H13" i="2"/>
  <c r="I13" i="2" s="1"/>
  <c r="C37" i="2" l="1"/>
  <c r="A37" i="2" s="1"/>
  <c r="B37" i="2" s="1"/>
  <c r="D14" i="2"/>
  <c r="E14" i="2" s="1"/>
  <c r="F14" i="2" l="1"/>
  <c r="G14" i="2"/>
  <c r="C38" i="2"/>
  <c r="A38" i="2" s="1"/>
  <c r="B38" i="2" s="1"/>
  <c r="C39" i="2" l="1"/>
  <c r="A39" i="2" s="1"/>
  <c r="B39" i="2" s="1"/>
  <c r="H14" i="2"/>
  <c r="I14" i="2" s="1"/>
  <c r="C40" i="2" l="1"/>
  <c r="A40" i="2" s="1"/>
  <c r="B40" i="2" s="1"/>
  <c r="D15" i="2"/>
  <c r="E15" i="2" s="1"/>
  <c r="F15" i="2" l="1"/>
  <c r="G15" i="2"/>
  <c r="C41" i="2"/>
  <c r="A41" i="2" s="1"/>
  <c r="B41" i="2" s="1"/>
  <c r="C42" i="2" l="1"/>
  <c r="A42" i="2" s="1"/>
  <c r="B42" i="2" s="1"/>
  <c r="H15" i="2"/>
  <c r="I15" i="2" s="1"/>
  <c r="C43" i="2" l="1"/>
  <c r="A43" i="2" s="1"/>
  <c r="B43" i="2" s="1"/>
  <c r="D16" i="2"/>
  <c r="E16" i="2" s="1"/>
  <c r="F16" i="2" l="1"/>
  <c r="G16" i="2"/>
  <c r="C44" i="2"/>
  <c r="A44" i="2" s="1"/>
  <c r="B44" i="2" s="1"/>
  <c r="C45" i="2" l="1"/>
  <c r="A45" i="2" s="1"/>
  <c r="B45" i="2" s="1"/>
  <c r="H16" i="2"/>
  <c r="I16" i="2" s="1"/>
  <c r="C46" i="2" l="1"/>
  <c r="A46" i="2" s="1"/>
  <c r="B46" i="2" s="1"/>
  <c r="D17" i="2"/>
  <c r="E17" i="2" s="1"/>
  <c r="F17" i="2" l="1"/>
  <c r="G17" i="2"/>
  <c r="C47" i="2"/>
  <c r="A47" i="2" s="1"/>
  <c r="B47" i="2" s="1"/>
  <c r="C48" i="2" l="1"/>
  <c r="A48" i="2" s="1"/>
  <c r="B48" i="2" s="1"/>
  <c r="H17" i="2"/>
  <c r="I17" i="2" s="1"/>
  <c r="C49" i="2" l="1"/>
  <c r="A49" i="2" s="1"/>
  <c r="B49" i="2" s="1"/>
  <c r="D18" i="2"/>
  <c r="E18" i="2" s="1"/>
  <c r="F18" i="2" l="1"/>
  <c r="G18" i="2"/>
  <c r="C50" i="2"/>
  <c r="A50" i="2" s="1"/>
  <c r="B50" i="2" s="1"/>
  <c r="C51" i="2" l="1"/>
  <c r="A51" i="2" s="1"/>
  <c r="B51" i="2" s="1"/>
  <c r="H18" i="2"/>
  <c r="I18" i="2" s="1"/>
  <c r="C52" i="2" l="1"/>
  <c r="A52" i="2" s="1"/>
  <c r="B52" i="2" s="1"/>
  <c r="D19" i="2"/>
  <c r="E19" i="2" s="1"/>
  <c r="F19" i="2" l="1"/>
  <c r="G19" i="2"/>
  <c r="C53" i="2"/>
  <c r="A53" i="2" s="1"/>
  <c r="B53" i="2" s="1"/>
  <c r="C54" i="2" l="1"/>
  <c r="A54" i="2" s="1"/>
  <c r="B54" i="2" s="1"/>
  <c r="H19" i="2"/>
  <c r="I19" i="2" s="1"/>
  <c r="C55" i="2" l="1"/>
  <c r="A55" i="2" s="1"/>
  <c r="B55" i="2" s="1"/>
  <c r="D20" i="2"/>
  <c r="E20" i="2" s="1"/>
  <c r="G20" i="2" l="1"/>
  <c r="C56" i="2"/>
  <c r="A56" i="2" s="1"/>
  <c r="B56" i="2" s="1"/>
  <c r="F20" i="2"/>
  <c r="C57" i="2" l="1"/>
  <c r="A57" i="2" s="1"/>
  <c r="B57" i="2" s="1"/>
  <c r="H20" i="2"/>
  <c r="I20" i="2" s="1"/>
  <c r="C58" i="2" l="1"/>
  <c r="A58" i="2" s="1"/>
  <c r="B58" i="2" s="1"/>
  <c r="D21" i="2"/>
  <c r="E21" i="2" s="1"/>
  <c r="F21" i="2" l="1"/>
  <c r="G21" i="2"/>
  <c r="C59" i="2"/>
  <c r="A59" i="2" s="1"/>
  <c r="B59" i="2" s="1"/>
  <c r="C60" i="2" l="1"/>
  <c r="A60" i="2" s="1"/>
  <c r="B60" i="2" s="1"/>
  <c r="H21" i="2"/>
  <c r="I21" i="2" s="1"/>
  <c r="C61" i="2" l="1"/>
  <c r="A61" i="2" s="1"/>
  <c r="B61" i="2" s="1"/>
  <c r="D22" i="2"/>
  <c r="E22" i="2" s="1"/>
  <c r="G22" i="2" l="1"/>
  <c r="F22" i="2"/>
  <c r="C62" i="2"/>
  <c r="A62" i="2" s="1"/>
  <c r="B62" i="2" s="1"/>
  <c r="C63" i="2" l="1"/>
  <c r="A63" i="2" s="1"/>
  <c r="B63" i="2" s="1"/>
  <c r="H22" i="2"/>
  <c r="I22" i="2" s="1"/>
  <c r="C64" i="2" l="1"/>
  <c r="A64" i="2" s="1"/>
  <c r="B64" i="2" s="1"/>
  <c r="D23" i="2"/>
  <c r="E23" i="2" s="1"/>
  <c r="G23" i="2" l="1"/>
  <c r="F23" i="2"/>
  <c r="C65" i="2"/>
  <c r="A65" i="2" s="1"/>
  <c r="B65" i="2" s="1"/>
  <c r="C66" i="2" l="1"/>
  <c r="A66" i="2" s="1"/>
  <c r="B66" i="2" s="1"/>
  <c r="H23" i="2"/>
  <c r="I23" i="2" s="1"/>
  <c r="C67" i="2" l="1"/>
  <c r="A67" i="2" s="1"/>
  <c r="B67" i="2" s="1"/>
  <c r="D24" i="2"/>
  <c r="E24" i="2" s="1"/>
  <c r="G24" i="2" l="1"/>
  <c r="F24" i="2"/>
  <c r="C68" i="2"/>
  <c r="A68" i="2" s="1"/>
  <c r="B68" i="2" s="1"/>
  <c r="C69" i="2" l="1"/>
  <c r="A69" i="2" s="1"/>
  <c r="B69" i="2" s="1"/>
  <c r="H24" i="2"/>
  <c r="I24" i="2" s="1"/>
  <c r="C70" i="2" l="1"/>
  <c r="A70" i="2" s="1"/>
  <c r="B70" i="2" s="1"/>
  <c r="D25" i="2"/>
  <c r="E25" i="2" s="1"/>
  <c r="G25" i="2" l="1"/>
  <c r="C71" i="2"/>
  <c r="A71" i="2" s="1"/>
  <c r="B71" i="2" s="1"/>
  <c r="F25" i="2"/>
  <c r="C72" i="2" l="1"/>
  <c r="A72" i="2" s="1"/>
  <c r="B72" i="2" s="1"/>
  <c r="H25" i="2"/>
  <c r="I25" i="2" s="1"/>
  <c r="C73" i="2" l="1"/>
  <c r="A73" i="2" s="1"/>
  <c r="B73" i="2" s="1"/>
  <c r="D26" i="2"/>
  <c r="E26" i="2" s="1"/>
  <c r="G26" i="2" l="1"/>
  <c r="C74" i="2"/>
  <c r="A74" i="2" s="1"/>
  <c r="B74" i="2" s="1"/>
  <c r="F26" i="2"/>
  <c r="C75" i="2" l="1"/>
  <c r="A75" i="2" s="1"/>
  <c r="B75" i="2" s="1"/>
  <c r="H26" i="2"/>
  <c r="I26" i="2" s="1"/>
  <c r="C76" i="2" l="1"/>
  <c r="A76" i="2" s="1"/>
  <c r="B76" i="2" s="1"/>
  <c r="D27" i="2"/>
  <c r="E27" i="2" s="1"/>
  <c r="F27" i="2" l="1"/>
  <c r="G27" i="2"/>
  <c r="C77" i="2"/>
  <c r="A77" i="2" s="1"/>
  <c r="B77" i="2" s="1"/>
  <c r="C78" i="2" l="1"/>
  <c r="A78" i="2" s="1"/>
  <c r="B78" i="2" s="1"/>
  <c r="H27" i="2"/>
  <c r="I27" i="2" s="1"/>
  <c r="C79" i="2" l="1"/>
  <c r="A79" i="2" s="1"/>
  <c r="B79" i="2" s="1"/>
  <c r="D28" i="2"/>
  <c r="E28" i="2" s="1"/>
  <c r="G28" i="2" l="1"/>
  <c r="C80" i="2"/>
  <c r="A80" i="2" s="1"/>
  <c r="B80" i="2" s="1"/>
  <c r="F28" i="2"/>
  <c r="C81" i="2" l="1"/>
  <c r="A81" i="2" s="1"/>
  <c r="B81" i="2" s="1"/>
  <c r="H28" i="2"/>
  <c r="I28" i="2" s="1"/>
  <c r="C82" i="2" l="1"/>
  <c r="A82" i="2" s="1"/>
  <c r="B82" i="2" s="1"/>
  <c r="D29" i="2"/>
  <c r="E29" i="2" s="1"/>
  <c r="G29" i="2" l="1"/>
  <c r="C83" i="2"/>
  <c r="A83" i="2" s="1"/>
  <c r="B83" i="2" s="1"/>
  <c r="F29" i="2"/>
  <c r="C84" i="2" l="1"/>
  <c r="A84" i="2" s="1"/>
  <c r="B84" i="2" s="1"/>
  <c r="H29" i="2"/>
  <c r="I29" i="2" s="1"/>
  <c r="C85" i="2" l="1"/>
  <c r="A85" i="2" s="1"/>
  <c r="B85" i="2" s="1"/>
  <c r="D30" i="2"/>
  <c r="E30" i="2" s="1"/>
  <c r="G30" i="2" l="1"/>
  <c r="C86" i="2"/>
  <c r="A86" i="2" s="1"/>
  <c r="B86" i="2" s="1"/>
  <c r="F30" i="2"/>
  <c r="C87" i="2" l="1"/>
  <c r="A87" i="2" s="1"/>
  <c r="B87" i="2" s="1"/>
  <c r="H30" i="2"/>
  <c r="I30" i="2" s="1"/>
  <c r="C88" i="2" l="1"/>
  <c r="A88" i="2" s="1"/>
  <c r="B88" i="2" s="1"/>
  <c r="D31" i="2"/>
  <c r="E31" i="2" s="1"/>
  <c r="G31" i="2" l="1"/>
  <c r="C89" i="2"/>
  <c r="A89" i="2" s="1"/>
  <c r="B89" i="2" s="1"/>
  <c r="F31" i="2"/>
  <c r="C90" i="2" l="1"/>
  <c r="A90" i="2" s="1"/>
  <c r="B90" i="2" s="1"/>
  <c r="H31" i="2"/>
  <c r="I31" i="2" s="1"/>
  <c r="C91" i="2" l="1"/>
  <c r="A91" i="2" s="1"/>
  <c r="B91" i="2" s="1"/>
  <c r="D32" i="2"/>
  <c r="E32" i="2" s="1"/>
  <c r="F32" i="2" l="1"/>
  <c r="G32" i="2"/>
  <c r="C92" i="2"/>
  <c r="A92" i="2" s="1"/>
  <c r="B92" i="2" s="1"/>
  <c r="C93" i="2" l="1"/>
  <c r="A93" i="2" s="1"/>
  <c r="B93" i="2" s="1"/>
  <c r="H32" i="2"/>
  <c r="I32" i="2" s="1"/>
  <c r="C94" i="2" l="1"/>
  <c r="A94" i="2" s="1"/>
  <c r="B94" i="2" s="1"/>
  <c r="D33" i="2"/>
  <c r="E33" i="2" s="1"/>
  <c r="G33" i="2" l="1"/>
  <c r="C95" i="2"/>
  <c r="A95" i="2" s="1"/>
  <c r="B95" i="2" s="1"/>
  <c r="F33" i="2"/>
  <c r="C96" i="2" l="1"/>
  <c r="A96" i="2" s="1"/>
  <c r="B96" i="2" s="1"/>
  <c r="H33" i="2"/>
  <c r="I33" i="2" s="1"/>
  <c r="C97" i="2" l="1"/>
  <c r="A97" i="2" s="1"/>
  <c r="B97" i="2" s="1"/>
  <c r="D34" i="2"/>
  <c r="E34" i="2" s="1"/>
  <c r="G34" i="2" l="1"/>
  <c r="C98" i="2"/>
  <c r="A98" i="2" s="1"/>
  <c r="B98" i="2" s="1"/>
  <c r="F34" i="2"/>
  <c r="C99" i="2" l="1"/>
  <c r="A99" i="2" s="1"/>
  <c r="B99" i="2" s="1"/>
  <c r="H34" i="2"/>
  <c r="I34" i="2" s="1"/>
  <c r="C100" i="2" l="1"/>
  <c r="A100" i="2" s="1"/>
  <c r="B100" i="2" s="1"/>
  <c r="D35" i="2"/>
  <c r="E35" i="2" s="1"/>
  <c r="G35" i="2" l="1"/>
  <c r="C101" i="2"/>
  <c r="A101" i="2" s="1"/>
  <c r="B101" i="2" s="1"/>
  <c r="F35" i="2"/>
  <c r="C102" i="2" l="1"/>
  <c r="A102" i="2" s="1"/>
  <c r="B102" i="2" s="1"/>
  <c r="H35" i="2"/>
  <c r="I35" i="2" s="1"/>
  <c r="C103" i="2" l="1"/>
  <c r="A103" i="2" s="1"/>
  <c r="B103" i="2" s="1"/>
  <c r="D36" i="2"/>
  <c r="E36" i="2" s="1"/>
  <c r="G36" i="2" l="1"/>
  <c r="C104" i="2"/>
  <c r="A104" i="2" s="1"/>
  <c r="B104" i="2" s="1"/>
  <c r="F36" i="2"/>
  <c r="C105" i="2" l="1"/>
  <c r="A105" i="2" s="1"/>
  <c r="B105" i="2" s="1"/>
  <c r="H36" i="2"/>
  <c r="I36" i="2" s="1"/>
  <c r="C106" i="2" l="1"/>
  <c r="A106" i="2" s="1"/>
  <c r="B106" i="2" s="1"/>
  <c r="D37" i="2"/>
  <c r="E37" i="2" s="1"/>
  <c r="F37" i="2" l="1"/>
  <c r="G37" i="2"/>
  <c r="C107" i="2"/>
  <c r="A107" i="2" s="1"/>
  <c r="B107" i="2" s="1"/>
  <c r="C108" i="2" l="1"/>
  <c r="A108" i="2" s="1"/>
  <c r="B108" i="2" s="1"/>
  <c r="H37" i="2"/>
  <c r="I37" i="2" s="1"/>
  <c r="C109" i="2" l="1"/>
  <c r="A109" i="2" s="1"/>
  <c r="B109" i="2" s="1"/>
  <c r="D38" i="2"/>
  <c r="E38" i="2" s="1"/>
  <c r="G38" i="2" l="1"/>
  <c r="C110" i="2"/>
  <c r="A110" i="2" s="1"/>
  <c r="B110" i="2" s="1"/>
  <c r="F38" i="2"/>
  <c r="C111" i="2" l="1"/>
  <c r="A111" i="2" s="1"/>
  <c r="B111" i="2" s="1"/>
  <c r="H38" i="2"/>
  <c r="I38" i="2" s="1"/>
  <c r="C112" i="2" l="1"/>
  <c r="A112" i="2" s="1"/>
  <c r="B112" i="2" s="1"/>
  <c r="D39" i="2"/>
  <c r="E39" i="2" s="1"/>
  <c r="F39" i="2" l="1"/>
  <c r="G39" i="2"/>
  <c r="C113" i="2"/>
  <c r="A113" i="2" s="1"/>
  <c r="B113" i="2" s="1"/>
  <c r="C114" i="2" l="1"/>
  <c r="A114" i="2" s="1"/>
  <c r="B114" i="2" s="1"/>
  <c r="H39" i="2"/>
  <c r="I39" i="2" s="1"/>
  <c r="C115" i="2" l="1"/>
  <c r="A115" i="2" s="1"/>
  <c r="B115" i="2" s="1"/>
  <c r="D40" i="2"/>
  <c r="E40" i="2" s="1"/>
  <c r="F40" i="2" l="1"/>
  <c r="G40" i="2"/>
  <c r="C116" i="2"/>
  <c r="A116" i="2" s="1"/>
  <c r="B116" i="2" s="1"/>
  <c r="C117" i="2" l="1"/>
  <c r="A117" i="2" s="1"/>
  <c r="B117" i="2" s="1"/>
  <c r="H40" i="2"/>
  <c r="I40" i="2" s="1"/>
  <c r="C118" i="2" l="1"/>
  <c r="A118" i="2" s="1"/>
  <c r="B118" i="2" s="1"/>
  <c r="D41" i="2"/>
  <c r="E41" i="2" s="1"/>
  <c r="F41" i="2" l="1"/>
  <c r="G41" i="2"/>
  <c r="C119" i="2"/>
  <c r="A119" i="2" s="1"/>
  <c r="B119" i="2" s="1"/>
  <c r="C120" i="2" l="1"/>
  <c r="A120" i="2" s="1"/>
  <c r="B120" i="2" s="1"/>
  <c r="H41" i="2"/>
  <c r="I41" i="2" s="1"/>
  <c r="C121" i="2" l="1"/>
  <c r="A121" i="2" s="1"/>
  <c r="B121" i="2" s="1"/>
  <c r="D42" i="2"/>
  <c r="E42" i="2" s="1"/>
  <c r="G42" i="2" l="1"/>
  <c r="C122" i="2"/>
  <c r="A122" i="2" s="1"/>
  <c r="B122" i="2" s="1"/>
  <c r="F42" i="2"/>
  <c r="C123" i="2" l="1"/>
  <c r="A123" i="2" s="1"/>
  <c r="B123" i="2" s="1"/>
  <c r="H42" i="2"/>
  <c r="I42" i="2" s="1"/>
  <c r="C124" i="2" l="1"/>
  <c r="A124" i="2" s="1"/>
  <c r="B124" i="2" s="1"/>
  <c r="D43" i="2"/>
  <c r="E43" i="2" s="1"/>
  <c r="G43" i="2" l="1"/>
  <c r="C125" i="2"/>
  <c r="A125" i="2" s="1"/>
  <c r="B125" i="2" s="1"/>
  <c r="F43" i="2"/>
  <c r="C126" i="2" l="1"/>
  <c r="A126" i="2" s="1"/>
  <c r="B126" i="2" s="1"/>
  <c r="H43" i="2"/>
  <c r="I43" i="2" s="1"/>
  <c r="C127" i="2" l="1"/>
  <c r="A127" i="2" s="1"/>
  <c r="B127" i="2" s="1"/>
  <c r="D44" i="2"/>
  <c r="E44" i="2" s="1"/>
  <c r="G44" i="2" l="1"/>
  <c r="C128" i="2"/>
  <c r="A128" i="2" s="1"/>
  <c r="B128" i="2" s="1"/>
  <c r="F44" i="2"/>
  <c r="C129" i="2" l="1"/>
  <c r="A129" i="2" s="1"/>
  <c r="B129" i="2" s="1"/>
  <c r="H44" i="2"/>
  <c r="I44" i="2" s="1"/>
  <c r="C130" i="2" l="1"/>
  <c r="A130" i="2" s="1"/>
  <c r="B130" i="2" s="1"/>
  <c r="D45" i="2"/>
  <c r="E45" i="2" s="1"/>
  <c r="G45" i="2" l="1"/>
  <c r="C131" i="2"/>
  <c r="A131" i="2" s="1"/>
  <c r="B131" i="2" s="1"/>
  <c r="F45" i="2"/>
  <c r="C132" i="2" l="1"/>
  <c r="A132" i="2" s="1"/>
  <c r="B132" i="2" s="1"/>
  <c r="H45" i="2"/>
  <c r="I45" i="2" s="1"/>
  <c r="C133" i="2" l="1"/>
  <c r="A133" i="2" s="1"/>
  <c r="B133" i="2" s="1"/>
  <c r="D46" i="2"/>
  <c r="E46" i="2" s="1"/>
  <c r="G46" i="2" l="1"/>
  <c r="C134" i="2"/>
  <c r="A134" i="2" s="1"/>
  <c r="B134" i="2" s="1"/>
  <c r="F46" i="2"/>
  <c r="C135" i="2" l="1"/>
  <c r="A135" i="2" s="1"/>
  <c r="B135" i="2" s="1"/>
  <c r="H46" i="2"/>
  <c r="I46" i="2" s="1"/>
  <c r="C136" i="2" l="1"/>
  <c r="A136" i="2" s="1"/>
  <c r="B136" i="2" s="1"/>
  <c r="D47" i="2"/>
  <c r="E47" i="2" s="1"/>
  <c r="F47" i="2" l="1"/>
  <c r="G47" i="2"/>
  <c r="C137" i="2"/>
  <c r="A137" i="2" s="1"/>
  <c r="B137" i="2" s="1"/>
  <c r="C138" i="2" l="1"/>
  <c r="A138" i="2" s="1"/>
  <c r="B138" i="2" s="1"/>
  <c r="H47" i="2"/>
  <c r="I47" i="2" s="1"/>
  <c r="C139" i="2" l="1"/>
  <c r="A139" i="2" s="1"/>
  <c r="B139" i="2" s="1"/>
  <c r="D48" i="2"/>
  <c r="E48" i="2" s="1"/>
  <c r="G48" i="2" l="1"/>
  <c r="C140" i="2"/>
  <c r="A140" i="2" s="1"/>
  <c r="B140" i="2" s="1"/>
  <c r="F48" i="2"/>
  <c r="C141" i="2" l="1"/>
  <c r="A141" i="2" s="1"/>
  <c r="B141" i="2" s="1"/>
  <c r="H48" i="2"/>
  <c r="I48" i="2" s="1"/>
  <c r="C142" i="2" l="1"/>
  <c r="A142" i="2" s="1"/>
  <c r="B142" i="2" s="1"/>
  <c r="D49" i="2"/>
  <c r="E49" i="2" s="1"/>
  <c r="G49" i="2" l="1"/>
  <c r="C143" i="2"/>
  <c r="A143" i="2" s="1"/>
  <c r="B143" i="2" s="1"/>
  <c r="F49" i="2"/>
  <c r="C144" i="2" l="1"/>
  <c r="A144" i="2" s="1"/>
  <c r="B144" i="2" s="1"/>
  <c r="H49" i="2"/>
  <c r="I49" i="2" s="1"/>
  <c r="C145" i="2" l="1"/>
  <c r="A145" i="2" s="1"/>
  <c r="B145" i="2" s="1"/>
  <c r="D50" i="2"/>
  <c r="E50" i="2" s="1"/>
  <c r="F50" i="2" l="1"/>
  <c r="G50" i="2"/>
  <c r="C146" i="2"/>
  <c r="A146" i="2" s="1"/>
  <c r="B146" i="2" s="1"/>
  <c r="C147" i="2" l="1"/>
  <c r="A147" i="2" s="1"/>
  <c r="B147" i="2" s="1"/>
  <c r="H50" i="2"/>
  <c r="I50" i="2" s="1"/>
  <c r="C148" i="2" l="1"/>
  <c r="A148" i="2" s="1"/>
  <c r="B148" i="2" s="1"/>
  <c r="D51" i="2"/>
  <c r="E51" i="2" s="1"/>
  <c r="G51" i="2" l="1"/>
  <c r="C149" i="2"/>
  <c r="A149" i="2" s="1"/>
  <c r="B149" i="2" s="1"/>
  <c r="F51" i="2"/>
  <c r="C150" i="2" l="1"/>
  <c r="A150" i="2" s="1"/>
  <c r="B150" i="2" s="1"/>
  <c r="H51" i="2"/>
  <c r="I51" i="2" s="1"/>
  <c r="C151" i="2" l="1"/>
  <c r="A151" i="2" s="1"/>
  <c r="B151" i="2" s="1"/>
  <c r="D52" i="2"/>
  <c r="E52" i="2" s="1"/>
  <c r="G52" i="2" l="1"/>
  <c r="C152" i="2"/>
  <c r="A152" i="2" s="1"/>
  <c r="B152" i="2" s="1"/>
  <c r="F52" i="2"/>
  <c r="C153" i="2" l="1"/>
  <c r="A153" i="2" s="1"/>
  <c r="B153" i="2" s="1"/>
  <c r="H52" i="2"/>
  <c r="I52" i="2" s="1"/>
  <c r="C154" i="2" l="1"/>
  <c r="A154" i="2" s="1"/>
  <c r="B154" i="2" s="1"/>
  <c r="D53" i="2"/>
  <c r="E53" i="2" s="1"/>
  <c r="G53" i="2" l="1"/>
  <c r="F53" i="2"/>
  <c r="C155" i="2"/>
  <c r="A155" i="2" s="1"/>
  <c r="B155" i="2" s="1"/>
  <c r="C156" i="2" l="1"/>
  <c r="A156" i="2" s="1"/>
  <c r="B156" i="2" s="1"/>
  <c r="H53" i="2"/>
  <c r="I53" i="2" s="1"/>
  <c r="C157" i="2" l="1"/>
  <c r="A157" i="2" s="1"/>
  <c r="B157" i="2" s="1"/>
  <c r="D54" i="2"/>
  <c r="E54" i="2" s="1"/>
  <c r="G54" i="2" l="1"/>
  <c r="C158" i="2"/>
  <c r="A158" i="2" s="1"/>
  <c r="B158" i="2" s="1"/>
  <c r="F54" i="2"/>
  <c r="C159" i="2" l="1"/>
  <c r="A159" i="2" s="1"/>
  <c r="B159" i="2" s="1"/>
  <c r="H54" i="2"/>
  <c r="I54" i="2" s="1"/>
  <c r="C160" i="2" l="1"/>
  <c r="A160" i="2" s="1"/>
  <c r="B160" i="2" s="1"/>
  <c r="D55" i="2"/>
  <c r="E55" i="2" s="1"/>
  <c r="G55" i="2" l="1"/>
  <c r="C161" i="2"/>
  <c r="A161" i="2" s="1"/>
  <c r="B161" i="2" s="1"/>
  <c r="F55" i="2"/>
  <c r="C162" i="2" l="1"/>
  <c r="A162" i="2" s="1"/>
  <c r="B162" i="2" s="1"/>
  <c r="H55" i="2"/>
  <c r="I55" i="2" s="1"/>
  <c r="C163" i="2" l="1"/>
  <c r="A163" i="2" s="1"/>
  <c r="B163" i="2" s="1"/>
  <c r="D56" i="2"/>
  <c r="E56" i="2" s="1"/>
  <c r="G56" i="2" l="1"/>
  <c r="F56" i="2"/>
  <c r="C164" i="2"/>
  <c r="A164" i="2" s="1"/>
  <c r="B164" i="2" s="1"/>
  <c r="C165" i="2" l="1"/>
  <c r="A165" i="2" s="1"/>
  <c r="B165" i="2" s="1"/>
  <c r="H56" i="2"/>
  <c r="I56" i="2" s="1"/>
  <c r="C166" i="2" l="1"/>
  <c r="A166" i="2" s="1"/>
  <c r="B166" i="2" s="1"/>
  <c r="D57" i="2"/>
  <c r="E57" i="2" s="1"/>
  <c r="G57" i="2" l="1"/>
  <c r="C167" i="2"/>
  <c r="A167" i="2" s="1"/>
  <c r="B167" i="2" s="1"/>
  <c r="F57" i="2"/>
  <c r="C168" i="2" l="1"/>
  <c r="A168" i="2" s="1"/>
  <c r="B168" i="2" s="1"/>
  <c r="H57" i="2"/>
  <c r="I57" i="2" s="1"/>
  <c r="C169" i="2" l="1"/>
  <c r="A169" i="2" s="1"/>
  <c r="B169" i="2" s="1"/>
  <c r="D58" i="2"/>
  <c r="E58" i="2" s="1"/>
  <c r="F58" i="2" l="1"/>
  <c r="G58" i="2"/>
  <c r="C170" i="2"/>
  <c r="A170" i="2" s="1"/>
  <c r="B170" i="2" s="1"/>
  <c r="C171" i="2" l="1"/>
  <c r="A171" i="2" s="1"/>
  <c r="B171" i="2" s="1"/>
  <c r="H58" i="2"/>
  <c r="I58" i="2" s="1"/>
  <c r="C172" i="2" l="1"/>
  <c r="A172" i="2" s="1"/>
  <c r="B172" i="2" s="1"/>
  <c r="D59" i="2"/>
  <c r="E59" i="2" s="1"/>
  <c r="G59" i="2" l="1"/>
  <c r="C173" i="2"/>
  <c r="A173" i="2" s="1"/>
  <c r="B173" i="2" s="1"/>
  <c r="F59" i="2"/>
  <c r="C174" i="2" l="1"/>
  <c r="A174" i="2" s="1"/>
  <c r="B174" i="2" s="1"/>
  <c r="H59" i="2"/>
  <c r="I59" i="2" s="1"/>
  <c r="C175" i="2" l="1"/>
  <c r="A175" i="2" s="1"/>
  <c r="B175" i="2" s="1"/>
  <c r="D60" i="2"/>
  <c r="E60" i="2" s="1"/>
  <c r="F60" i="2" l="1"/>
  <c r="G60" i="2"/>
  <c r="C176" i="2"/>
  <c r="A176" i="2" s="1"/>
  <c r="B176" i="2" s="1"/>
  <c r="C177" i="2" l="1"/>
  <c r="A177" i="2" s="1"/>
  <c r="B177" i="2" s="1"/>
  <c r="H60" i="2"/>
  <c r="I60" i="2" s="1"/>
  <c r="C178" i="2" l="1"/>
  <c r="A178" i="2" s="1"/>
  <c r="B178" i="2" s="1"/>
  <c r="D61" i="2"/>
  <c r="E61" i="2" s="1"/>
  <c r="F61" i="2" l="1"/>
  <c r="G61" i="2"/>
  <c r="C179" i="2"/>
  <c r="A179" i="2" s="1"/>
  <c r="B179" i="2" s="1"/>
  <c r="C180" i="2" l="1"/>
  <c r="A180" i="2" s="1"/>
  <c r="B180" i="2" s="1"/>
  <c r="H61" i="2"/>
  <c r="I61" i="2" s="1"/>
  <c r="C181" i="2" l="1"/>
  <c r="A181" i="2" s="1"/>
  <c r="B181" i="2" s="1"/>
  <c r="D62" i="2"/>
  <c r="E62" i="2" s="1"/>
  <c r="G62" i="2" l="1"/>
  <c r="C182" i="2"/>
  <c r="A182" i="2" s="1"/>
  <c r="B182" i="2" s="1"/>
  <c r="F62" i="2"/>
  <c r="C183" i="2" l="1"/>
  <c r="A183" i="2" s="1"/>
  <c r="B183" i="2" s="1"/>
  <c r="H62" i="2"/>
  <c r="I62" i="2" s="1"/>
  <c r="C184" i="2" l="1"/>
  <c r="A184" i="2" s="1"/>
  <c r="B184" i="2" s="1"/>
  <c r="D63" i="2"/>
  <c r="E63" i="2" s="1"/>
  <c r="F63" i="2" l="1"/>
  <c r="G63" i="2"/>
  <c r="C185" i="2"/>
  <c r="A185" i="2" s="1"/>
  <c r="B185" i="2" s="1"/>
  <c r="C186" i="2" l="1"/>
  <c r="A186" i="2" s="1"/>
  <c r="B186" i="2" s="1"/>
  <c r="H63" i="2"/>
  <c r="I63" i="2" s="1"/>
  <c r="C187" i="2" l="1"/>
  <c r="A187" i="2" s="1"/>
  <c r="B187" i="2" s="1"/>
  <c r="D64" i="2"/>
  <c r="E64" i="2" s="1"/>
  <c r="G64" i="2" l="1"/>
  <c r="C188" i="2"/>
  <c r="A188" i="2" s="1"/>
  <c r="B188" i="2" s="1"/>
  <c r="F64" i="2"/>
  <c r="C189" i="2" l="1"/>
  <c r="A189" i="2" s="1"/>
  <c r="B189" i="2" s="1"/>
  <c r="H64" i="2"/>
  <c r="I64" i="2" s="1"/>
  <c r="C190" i="2" l="1"/>
  <c r="A190" i="2" s="1"/>
  <c r="B190" i="2" s="1"/>
  <c r="D65" i="2"/>
  <c r="E65" i="2" s="1"/>
  <c r="G65" i="2" l="1"/>
  <c r="C191" i="2"/>
  <c r="A191" i="2" s="1"/>
  <c r="B191" i="2" s="1"/>
  <c r="F65" i="2"/>
  <c r="C192" i="2" l="1"/>
  <c r="A192" i="2" s="1"/>
  <c r="B192" i="2" s="1"/>
  <c r="H65" i="2"/>
  <c r="I65" i="2" s="1"/>
  <c r="C193" i="2" l="1"/>
  <c r="A193" i="2" s="1"/>
  <c r="B193" i="2" s="1"/>
  <c r="D66" i="2"/>
  <c r="E66" i="2" s="1"/>
  <c r="G66" i="2" l="1"/>
  <c r="C194" i="2"/>
  <c r="A194" i="2" s="1"/>
  <c r="B194" i="2" s="1"/>
  <c r="F66" i="2"/>
  <c r="C195" i="2" l="1"/>
  <c r="A195" i="2" s="1"/>
  <c r="B195" i="2" s="1"/>
  <c r="H66" i="2"/>
  <c r="I66" i="2" s="1"/>
  <c r="C196" i="2" l="1"/>
  <c r="A196" i="2" s="1"/>
  <c r="B196" i="2" s="1"/>
  <c r="D67" i="2"/>
  <c r="E67" i="2" s="1"/>
  <c r="G67" i="2" l="1"/>
  <c r="C197" i="2"/>
  <c r="A197" i="2" s="1"/>
  <c r="B197" i="2" s="1"/>
  <c r="F67" i="2"/>
  <c r="C198" i="2" l="1"/>
  <c r="A198" i="2" s="1"/>
  <c r="B198" i="2" s="1"/>
  <c r="H67" i="2"/>
  <c r="I67" i="2" s="1"/>
  <c r="C199" i="2" l="1"/>
  <c r="A199" i="2" s="1"/>
  <c r="B199" i="2" s="1"/>
  <c r="D68" i="2"/>
  <c r="E68" i="2" s="1"/>
  <c r="G68" i="2" l="1"/>
  <c r="C200" i="2"/>
  <c r="A200" i="2" s="1"/>
  <c r="B200" i="2" s="1"/>
  <c r="F68" i="2"/>
  <c r="C201" i="2" l="1"/>
  <c r="A201" i="2" s="1"/>
  <c r="B201" i="2" s="1"/>
  <c r="H68" i="2"/>
  <c r="I68" i="2" s="1"/>
  <c r="C202" i="2" l="1"/>
  <c r="A202" i="2" s="1"/>
  <c r="B202" i="2" s="1"/>
  <c r="D69" i="2"/>
  <c r="E69" i="2" s="1"/>
  <c r="G69" i="2" l="1"/>
  <c r="C203" i="2"/>
  <c r="A203" i="2" s="1"/>
  <c r="B203" i="2" s="1"/>
  <c r="F69" i="2"/>
  <c r="C204" i="2" l="1"/>
  <c r="A204" i="2" s="1"/>
  <c r="B204" i="2" s="1"/>
  <c r="H69" i="2"/>
  <c r="I69" i="2" s="1"/>
  <c r="C205" i="2" l="1"/>
  <c r="A205" i="2" s="1"/>
  <c r="B205" i="2" s="1"/>
  <c r="D70" i="2"/>
  <c r="E70" i="2" s="1"/>
  <c r="G70" i="2" l="1"/>
  <c r="C206" i="2"/>
  <c r="A206" i="2" s="1"/>
  <c r="B206" i="2" s="1"/>
  <c r="F70" i="2"/>
  <c r="C207" i="2" l="1"/>
  <c r="A207" i="2" s="1"/>
  <c r="B207" i="2" s="1"/>
  <c r="H70" i="2"/>
  <c r="I70" i="2" s="1"/>
  <c r="C208" i="2" l="1"/>
  <c r="A208" i="2" s="1"/>
  <c r="B208" i="2" s="1"/>
  <c r="D71" i="2"/>
  <c r="E71" i="2" s="1"/>
  <c r="G71" i="2" l="1"/>
  <c r="C209" i="2"/>
  <c r="A209" i="2" s="1"/>
  <c r="B209" i="2" s="1"/>
  <c r="F71" i="2"/>
  <c r="C210" i="2" l="1"/>
  <c r="A210" i="2" s="1"/>
  <c r="B210" i="2" s="1"/>
  <c r="H71" i="2"/>
  <c r="I71" i="2" s="1"/>
  <c r="C211" i="2" l="1"/>
  <c r="A211" i="2" s="1"/>
  <c r="B211" i="2" s="1"/>
  <c r="D72" i="2"/>
  <c r="E72" i="2" s="1"/>
  <c r="G72" i="2" l="1"/>
  <c r="C212" i="2"/>
  <c r="A212" i="2" s="1"/>
  <c r="B212" i="2" s="1"/>
  <c r="F72" i="2"/>
  <c r="C213" i="2" l="1"/>
  <c r="A213" i="2" s="1"/>
  <c r="B213" i="2" s="1"/>
  <c r="H72" i="2"/>
  <c r="I72" i="2" s="1"/>
  <c r="C214" i="2" l="1"/>
  <c r="A214" i="2" s="1"/>
  <c r="B214" i="2" s="1"/>
  <c r="D73" i="2"/>
  <c r="E73" i="2" s="1"/>
  <c r="G73" i="2" l="1"/>
  <c r="C215" i="2"/>
  <c r="A215" i="2" s="1"/>
  <c r="B215" i="2" s="1"/>
  <c r="F73" i="2"/>
  <c r="C216" i="2" l="1"/>
  <c r="A216" i="2" s="1"/>
  <c r="B216" i="2" s="1"/>
  <c r="H73" i="2"/>
  <c r="I73" i="2" s="1"/>
  <c r="C217" i="2" l="1"/>
  <c r="A217" i="2" s="1"/>
  <c r="B217" i="2" s="1"/>
  <c r="D74" i="2"/>
  <c r="E74" i="2" s="1"/>
  <c r="G74" i="2" l="1"/>
  <c r="C218" i="2"/>
  <c r="A218" i="2" s="1"/>
  <c r="B218" i="2" s="1"/>
  <c r="F74" i="2"/>
  <c r="C219" i="2" l="1"/>
  <c r="A219" i="2" s="1"/>
  <c r="B219" i="2" s="1"/>
  <c r="H74" i="2"/>
  <c r="I74" i="2" s="1"/>
  <c r="C220" i="2" l="1"/>
  <c r="A220" i="2" s="1"/>
  <c r="B220" i="2" s="1"/>
  <c r="D75" i="2"/>
  <c r="E75" i="2" s="1"/>
  <c r="F75" i="2" l="1"/>
  <c r="G75" i="2"/>
  <c r="C221" i="2"/>
  <c r="A221" i="2" s="1"/>
  <c r="B221" i="2" s="1"/>
  <c r="C222" i="2" l="1"/>
  <c r="A222" i="2" s="1"/>
  <c r="B222" i="2" s="1"/>
  <c r="H75" i="2"/>
  <c r="I75" i="2" s="1"/>
  <c r="C223" i="2" l="1"/>
  <c r="A223" i="2" s="1"/>
  <c r="B223" i="2" s="1"/>
  <c r="D76" i="2"/>
  <c r="E76" i="2" s="1"/>
  <c r="G76" i="2" l="1"/>
  <c r="C224" i="2"/>
  <c r="A224" i="2" s="1"/>
  <c r="B224" i="2" s="1"/>
  <c r="F76" i="2"/>
  <c r="C225" i="2" l="1"/>
  <c r="A225" i="2" s="1"/>
  <c r="B225" i="2" s="1"/>
  <c r="H76" i="2"/>
  <c r="I76" i="2" s="1"/>
  <c r="C226" i="2" l="1"/>
  <c r="A226" i="2" s="1"/>
  <c r="B226" i="2" s="1"/>
  <c r="D77" i="2"/>
  <c r="E77" i="2" s="1"/>
  <c r="G77" i="2" l="1"/>
  <c r="C227" i="2"/>
  <c r="A227" i="2" s="1"/>
  <c r="B227" i="2" s="1"/>
  <c r="F77" i="2"/>
  <c r="C228" i="2" l="1"/>
  <c r="A228" i="2" s="1"/>
  <c r="B228" i="2" s="1"/>
  <c r="H77" i="2"/>
  <c r="I77" i="2" s="1"/>
  <c r="C229" i="2" l="1"/>
  <c r="A229" i="2" s="1"/>
  <c r="B229" i="2" s="1"/>
  <c r="D78" i="2"/>
  <c r="E78" i="2" s="1"/>
  <c r="G78" i="2" l="1"/>
  <c r="C230" i="2"/>
  <c r="A230" i="2" s="1"/>
  <c r="B230" i="2" s="1"/>
  <c r="F78" i="2"/>
  <c r="C231" i="2" l="1"/>
  <c r="A231" i="2" s="1"/>
  <c r="B231" i="2" s="1"/>
  <c r="H78" i="2"/>
  <c r="I78" i="2" s="1"/>
  <c r="C232" i="2" l="1"/>
  <c r="A232" i="2" s="1"/>
  <c r="B232" i="2" s="1"/>
  <c r="D79" i="2"/>
  <c r="E79" i="2" s="1"/>
  <c r="G79" i="2" l="1"/>
  <c r="C233" i="2"/>
  <c r="A233" i="2" s="1"/>
  <c r="B233" i="2" s="1"/>
  <c r="F79" i="2"/>
  <c r="C234" i="2" l="1"/>
  <c r="A234" i="2" s="1"/>
  <c r="B234" i="2" s="1"/>
  <c r="H79" i="2"/>
  <c r="I79" i="2" s="1"/>
  <c r="C235" i="2" l="1"/>
  <c r="A235" i="2" s="1"/>
  <c r="B235" i="2" s="1"/>
  <c r="D80" i="2"/>
  <c r="E80" i="2" s="1"/>
  <c r="G80" i="2" l="1"/>
  <c r="C236" i="2"/>
  <c r="A236" i="2" s="1"/>
  <c r="B236" i="2" s="1"/>
  <c r="F80" i="2"/>
  <c r="C237" i="2" l="1"/>
  <c r="A237" i="2" s="1"/>
  <c r="B237" i="2" s="1"/>
  <c r="H80" i="2"/>
  <c r="I80" i="2" s="1"/>
  <c r="C238" i="2" l="1"/>
  <c r="A238" i="2" s="1"/>
  <c r="B238" i="2" s="1"/>
  <c r="D81" i="2"/>
  <c r="E81" i="2" s="1"/>
  <c r="G81" i="2" l="1"/>
  <c r="F81" i="2"/>
  <c r="C239" i="2"/>
  <c r="A239" i="2" s="1"/>
  <c r="B239" i="2" s="1"/>
  <c r="C240" i="2" l="1"/>
  <c r="A240" i="2" s="1"/>
  <c r="B240" i="2" s="1"/>
  <c r="H81" i="2"/>
  <c r="I81" i="2" s="1"/>
  <c r="C241" i="2" l="1"/>
  <c r="A241" i="2" s="1"/>
  <c r="B241" i="2" s="1"/>
  <c r="D82" i="2"/>
  <c r="E82" i="2" s="1"/>
  <c r="G82" i="2" l="1"/>
  <c r="C242" i="2"/>
  <c r="A242" i="2" s="1"/>
  <c r="B242" i="2" s="1"/>
  <c r="F82" i="2"/>
  <c r="C243" i="2" l="1"/>
  <c r="A243" i="2" s="1"/>
  <c r="B243" i="2" s="1"/>
  <c r="H82" i="2"/>
  <c r="I82" i="2" s="1"/>
  <c r="C244" i="2" l="1"/>
  <c r="A244" i="2" s="1"/>
  <c r="B244" i="2" s="1"/>
  <c r="D83" i="2"/>
  <c r="E83" i="2" s="1"/>
  <c r="F83" i="2" l="1"/>
  <c r="G83" i="2"/>
  <c r="C245" i="2"/>
  <c r="A245" i="2" s="1"/>
  <c r="B245" i="2" s="1"/>
  <c r="C246" i="2" l="1"/>
  <c r="A246" i="2" s="1"/>
  <c r="B246" i="2" s="1"/>
  <c r="H83" i="2"/>
  <c r="I83" i="2" s="1"/>
  <c r="C247" i="2" l="1"/>
  <c r="A247" i="2" s="1"/>
  <c r="B247" i="2" s="1"/>
  <c r="D84" i="2"/>
  <c r="E84" i="2" s="1"/>
  <c r="F84" i="2" l="1"/>
  <c r="G84" i="2"/>
  <c r="C248" i="2"/>
  <c r="A248" i="2" s="1"/>
  <c r="B248" i="2" s="1"/>
  <c r="C249" i="2" l="1"/>
  <c r="A249" i="2" s="1"/>
  <c r="B249" i="2" s="1"/>
  <c r="H84" i="2"/>
  <c r="I84" i="2" s="1"/>
  <c r="C250" i="2" l="1"/>
  <c r="A250" i="2" s="1"/>
  <c r="B250" i="2" s="1"/>
  <c r="D85" i="2"/>
  <c r="E85" i="2" s="1"/>
  <c r="G85" i="2" l="1"/>
  <c r="C251" i="2"/>
  <c r="A251" i="2" s="1"/>
  <c r="B251" i="2" s="1"/>
  <c r="F85" i="2"/>
  <c r="C252" i="2" l="1"/>
  <c r="A252" i="2" s="1"/>
  <c r="B252" i="2" s="1"/>
  <c r="H85" i="2"/>
  <c r="I85" i="2" s="1"/>
  <c r="C253" i="2" l="1"/>
  <c r="A253" i="2" s="1"/>
  <c r="B253" i="2" s="1"/>
  <c r="D86" i="2"/>
  <c r="E86" i="2" s="1"/>
  <c r="G86" i="2" l="1"/>
  <c r="C254" i="2"/>
  <c r="A254" i="2" s="1"/>
  <c r="B254" i="2" s="1"/>
  <c r="F86" i="2"/>
  <c r="C255" i="2" l="1"/>
  <c r="A255" i="2" s="1"/>
  <c r="B255" i="2" s="1"/>
  <c r="H86" i="2"/>
  <c r="I86" i="2" s="1"/>
  <c r="C256" i="2" l="1"/>
  <c r="A256" i="2" s="1"/>
  <c r="B256" i="2" s="1"/>
  <c r="D87" i="2"/>
  <c r="E87" i="2" s="1"/>
  <c r="G87" i="2" l="1"/>
  <c r="C257" i="2"/>
  <c r="A257" i="2" s="1"/>
  <c r="B257" i="2" s="1"/>
  <c r="F87" i="2"/>
  <c r="C258" i="2" l="1"/>
  <c r="A258" i="2" s="1"/>
  <c r="B258" i="2" s="1"/>
  <c r="H87" i="2"/>
  <c r="I87" i="2" s="1"/>
  <c r="C259" i="2" l="1"/>
  <c r="A259" i="2" s="1"/>
  <c r="B259" i="2" s="1"/>
  <c r="D88" i="2"/>
  <c r="E88" i="2" s="1"/>
  <c r="G88" i="2" l="1"/>
  <c r="C260" i="2"/>
  <c r="A260" i="2" s="1"/>
  <c r="B260" i="2" s="1"/>
  <c r="F88" i="2"/>
  <c r="C261" i="2" l="1"/>
  <c r="A261" i="2" s="1"/>
  <c r="B261" i="2" s="1"/>
  <c r="H88" i="2"/>
  <c r="I88" i="2" l="1"/>
  <c r="D89" i="2" s="1"/>
  <c r="E89" i="2" s="1"/>
  <c r="C262" i="2"/>
  <c r="A262" i="2" s="1"/>
  <c r="B262" i="2" s="1"/>
  <c r="G89" i="2" l="1"/>
  <c r="H89" i="2" s="1"/>
  <c r="I89" i="2" s="1"/>
  <c r="C263" i="2"/>
  <c r="A263" i="2" s="1"/>
  <c r="B263" i="2" s="1"/>
  <c r="F89" i="2" l="1"/>
  <c r="C264" i="2"/>
  <c r="A264" i="2" s="1"/>
  <c r="B264" i="2" s="1"/>
  <c r="D90" i="2"/>
  <c r="E90" i="2" s="1"/>
  <c r="F90" i="2" l="1"/>
  <c r="G90" i="2"/>
  <c r="C265" i="2"/>
  <c r="A265" i="2" s="1"/>
  <c r="B265" i="2" s="1"/>
  <c r="C266" i="2" l="1"/>
  <c r="A266" i="2" s="1"/>
  <c r="B266" i="2" s="1"/>
  <c r="H90" i="2"/>
  <c r="I90" i="2" s="1"/>
  <c r="C267" i="2" l="1"/>
  <c r="A267" i="2" s="1"/>
  <c r="B267" i="2" s="1"/>
  <c r="D91" i="2"/>
  <c r="E91" i="2" s="1"/>
  <c r="F91" i="2" l="1"/>
  <c r="G91" i="2"/>
  <c r="C268" i="2"/>
  <c r="A268" i="2" s="1"/>
  <c r="B268" i="2" s="1"/>
  <c r="C269" i="2" l="1"/>
  <c r="A269" i="2" s="1"/>
  <c r="B269" i="2" s="1"/>
  <c r="H91" i="2"/>
  <c r="I91" i="2" s="1"/>
  <c r="C270" i="2" l="1"/>
  <c r="A270" i="2" s="1"/>
  <c r="B270" i="2" s="1"/>
  <c r="D92" i="2"/>
  <c r="E92" i="2" s="1"/>
  <c r="G92" i="2" l="1"/>
  <c r="C271" i="2"/>
  <c r="A271" i="2" s="1"/>
  <c r="B271" i="2" s="1"/>
  <c r="F92" i="2"/>
  <c r="C272" i="2" l="1"/>
  <c r="A272" i="2" s="1"/>
  <c r="B272" i="2" s="1"/>
  <c r="H92" i="2"/>
  <c r="I92" i="2" s="1"/>
  <c r="C273" i="2" l="1"/>
  <c r="A273" i="2" s="1"/>
  <c r="B273" i="2" s="1"/>
  <c r="D93" i="2"/>
  <c r="E93" i="2" s="1"/>
  <c r="G93" i="2" l="1"/>
  <c r="C274" i="2"/>
  <c r="A274" i="2" s="1"/>
  <c r="B274" i="2" s="1"/>
  <c r="F93" i="2"/>
  <c r="C275" i="2" l="1"/>
  <c r="A275" i="2" s="1"/>
  <c r="B275" i="2" s="1"/>
  <c r="H93" i="2"/>
  <c r="I93" i="2" s="1"/>
  <c r="C276" i="2" l="1"/>
  <c r="A276" i="2" s="1"/>
  <c r="B276" i="2" s="1"/>
  <c r="D94" i="2"/>
  <c r="E94" i="2" s="1"/>
  <c r="G94" i="2" l="1"/>
  <c r="C277" i="2"/>
  <c r="A277" i="2" s="1"/>
  <c r="B277" i="2" s="1"/>
  <c r="F94" i="2"/>
  <c r="C278" i="2" l="1"/>
  <c r="A278" i="2" s="1"/>
  <c r="B278" i="2" s="1"/>
  <c r="H94" i="2"/>
  <c r="I94" i="2" s="1"/>
  <c r="C279" i="2" l="1"/>
  <c r="A279" i="2" s="1"/>
  <c r="B279" i="2" s="1"/>
  <c r="D95" i="2"/>
  <c r="E95" i="2" s="1"/>
  <c r="F95" i="2" l="1"/>
  <c r="G95" i="2"/>
  <c r="C280" i="2"/>
  <c r="A280" i="2" s="1"/>
  <c r="B280" i="2" s="1"/>
  <c r="C281" i="2" l="1"/>
  <c r="A281" i="2" s="1"/>
  <c r="B281" i="2" s="1"/>
  <c r="H95" i="2"/>
  <c r="I95" i="2" s="1"/>
  <c r="C282" i="2" l="1"/>
  <c r="A282" i="2" s="1"/>
  <c r="B282" i="2" s="1"/>
  <c r="D96" i="2"/>
  <c r="E96" i="2" s="1"/>
  <c r="G96" i="2" l="1"/>
  <c r="C283" i="2"/>
  <c r="A283" i="2" s="1"/>
  <c r="B283" i="2" s="1"/>
  <c r="F96" i="2"/>
  <c r="C284" i="2" l="1"/>
  <c r="A284" i="2" s="1"/>
  <c r="B284" i="2" s="1"/>
  <c r="H96" i="2"/>
  <c r="I96" i="2" s="1"/>
  <c r="C285" i="2" l="1"/>
  <c r="A285" i="2" s="1"/>
  <c r="B285" i="2" s="1"/>
  <c r="D97" i="2"/>
  <c r="E97" i="2" s="1"/>
  <c r="G97" i="2" l="1"/>
  <c r="C286" i="2"/>
  <c r="A286" i="2" s="1"/>
  <c r="B286" i="2" s="1"/>
  <c r="F97" i="2"/>
  <c r="C287" i="2" l="1"/>
  <c r="A287" i="2" s="1"/>
  <c r="B287" i="2" s="1"/>
  <c r="H97" i="2"/>
  <c r="I97" i="2" s="1"/>
  <c r="C288" i="2" l="1"/>
  <c r="A288" i="2" s="1"/>
  <c r="B288" i="2" s="1"/>
  <c r="D98" i="2"/>
  <c r="E98" i="2" s="1"/>
  <c r="F98" i="2" l="1"/>
  <c r="G98" i="2"/>
  <c r="C289" i="2"/>
  <c r="A289" i="2" s="1"/>
  <c r="B289" i="2" s="1"/>
  <c r="C290" i="2" l="1"/>
  <c r="A290" i="2" s="1"/>
  <c r="B290" i="2" s="1"/>
  <c r="H98" i="2"/>
  <c r="I98" i="2" s="1"/>
  <c r="C291" i="2" l="1"/>
  <c r="A291" i="2" s="1"/>
  <c r="B291" i="2" s="1"/>
  <c r="D99" i="2"/>
  <c r="E99" i="2" s="1"/>
  <c r="G99" i="2" l="1"/>
  <c r="C292" i="2"/>
  <c r="A292" i="2" s="1"/>
  <c r="B292" i="2" s="1"/>
  <c r="F99" i="2"/>
  <c r="C293" i="2" l="1"/>
  <c r="A293" i="2" s="1"/>
  <c r="B293" i="2" s="1"/>
  <c r="H99" i="2"/>
  <c r="I99" i="2" s="1"/>
  <c r="C294" i="2" l="1"/>
  <c r="A294" i="2" s="1"/>
  <c r="B294" i="2" s="1"/>
  <c r="D100" i="2"/>
  <c r="E100" i="2" s="1"/>
  <c r="G100" i="2" l="1"/>
  <c r="C295" i="2"/>
  <c r="A295" i="2" s="1"/>
  <c r="B295" i="2" s="1"/>
  <c r="F100" i="2"/>
  <c r="C296" i="2" l="1"/>
  <c r="A296" i="2" s="1"/>
  <c r="B296" i="2" s="1"/>
  <c r="H100" i="2"/>
  <c r="I100" i="2" s="1"/>
  <c r="C297" i="2" l="1"/>
  <c r="A297" i="2" s="1"/>
  <c r="B297" i="2" s="1"/>
  <c r="D101" i="2"/>
  <c r="E101" i="2" s="1"/>
  <c r="G101" i="2" l="1"/>
  <c r="C298" i="2"/>
  <c r="A298" i="2" s="1"/>
  <c r="B298" i="2" s="1"/>
  <c r="F101" i="2"/>
  <c r="C299" i="2" l="1"/>
  <c r="A299" i="2" s="1"/>
  <c r="B299" i="2" s="1"/>
  <c r="H101" i="2"/>
  <c r="I101" i="2" s="1"/>
  <c r="C300" i="2" l="1"/>
  <c r="A300" i="2" s="1"/>
  <c r="B300" i="2" s="1"/>
  <c r="D102" i="2"/>
  <c r="E102" i="2" s="1"/>
  <c r="G102" i="2" l="1"/>
  <c r="C301" i="2"/>
  <c r="A301" i="2" s="1"/>
  <c r="B301" i="2" s="1"/>
  <c r="F102" i="2"/>
  <c r="C302" i="2" l="1"/>
  <c r="A302" i="2" s="1"/>
  <c r="B302" i="2" s="1"/>
  <c r="H102" i="2"/>
  <c r="I102" i="2" s="1"/>
  <c r="C303" i="2" l="1"/>
  <c r="A303" i="2" s="1"/>
  <c r="B303" i="2" s="1"/>
  <c r="D103" i="2"/>
  <c r="E103" i="2" s="1"/>
  <c r="G103" i="2" l="1"/>
  <c r="C304" i="2"/>
  <c r="A304" i="2" s="1"/>
  <c r="B304" i="2" s="1"/>
  <c r="F103" i="2"/>
  <c r="C305" i="2" l="1"/>
  <c r="A305" i="2" s="1"/>
  <c r="B305" i="2" s="1"/>
  <c r="H103" i="2"/>
  <c r="I103" i="2" s="1"/>
  <c r="C306" i="2" l="1"/>
  <c r="A306" i="2" s="1"/>
  <c r="B306" i="2" s="1"/>
  <c r="D104" i="2"/>
  <c r="E104" i="2" s="1"/>
  <c r="G104" i="2" l="1"/>
  <c r="C307" i="2"/>
  <c r="A307" i="2" s="1"/>
  <c r="B307" i="2" s="1"/>
  <c r="F104" i="2"/>
  <c r="C308" i="2" l="1"/>
  <c r="A308" i="2" s="1"/>
  <c r="B308" i="2" s="1"/>
  <c r="H104" i="2"/>
  <c r="I104" i="2" s="1"/>
  <c r="C309" i="2" l="1"/>
  <c r="A309" i="2" s="1"/>
  <c r="B309" i="2" s="1"/>
  <c r="D105" i="2"/>
  <c r="E105" i="2" s="1"/>
  <c r="G105" i="2" l="1"/>
  <c r="C310" i="2"/>
  <c r="A310" i="2" s="1"/>
  <c r="B310" i="2" s="1"/>
  <c r="F105" i="2"/>
  <c r="C311" i="2" l="1"/>
  <c r="A311" i="2" s="1"/>
  <c r="B311" i="2" s="1"/>
  <c r="H105" i="2"/>
  <c r="I105" i="2" s="1"/>
  <c r="C312" i="2" l="1"/>
  <c r="A312" i="2" s="1"/>
  <c r="B312" i="2" s="1"/>
  <c r="D106" i="2"/>
  <c r="E106" i="2" s="1"/>
  <c r="G106" i="2" l="1"/>
  <c r="C313" i="2"/>
  <c r="A313" i="2" s="1"/>
  <c r="B313" i="2" s="1"/>
  <c r="F106" i="2"/>
  <c r="C314" i="2" l="1"/>
  <c r="A314" i="2" s="1"/>
  <c r="B314" i="2" s="1"/>
  <c r="H106" i="2"/>
  <c r="I106" i="2" s="1"/>
  <c r="C315" i="2" l="1"/>
  <c r="A315" i="2" s="1"/>
  <c r="B315" i="2" s="1"/>
  <c r="D107" i="2"/>
  <c r="E107" i="2" s="1"/>
  <c r="F107" i="2" l="1"/>
  <c r="G107" i="2"/>
  <c r="C316" i="2"/>
  <c r="A316" i="2" s="1"/>
  <c r="B316" i="2" s="1"/>
  <c r="H107" i="2" l="1"/>
  <c r="I107" i="2" s="1"/>
  <c r="C317" i="2"/>
  <c r="A317" i="2" s="1"/>
  <c r="B317" i="2" s="1"/>
  <c r="C318" i="2" l="1"/>
  <c r="A318" i="2" s="1"/>
  <c r="B318" i="2" s="1"/>
  <c r="D108" i="2"/>
  <c r="E108" i="2" s="1"/>
  <c r="F108" i="2" l="1"/>
  <c r="G108" i="2"/>
  <c r="C319" i="2"/>
  <c r="A319" i="2" s="1"/>
  <c r="B319" i="2" s="1"/>
  <c r="C320" i="2" l="1"/>
  <c r="A320" i="2" s="1"/>
  <c r="B320" i="2" s="1"/>
  <c r="H108" i="2"/>
  <c r="I108" i="2" s="1"/>
  <c r="C321" i="2" l="1"/>
  <c r="A321" i="2" s="1"/>
  <c r="B321" i="2" s="1"/>
  <c r="D109" i="2"/>
  <c r="E109" i="2" s="1"/>
  <c r="F109" i="2" l="1"/>
  <c r="G109" i="2"/>
  <c r="C322" i="2"/>
  <c r="A322" i="2" s="1"/>
  <c r="B322" i="2" s="1"/>
  <c r="C323" i="2" l="1"/>
  <c r="A323" i="2" s="1"/>
  <c r="B323" i="2" s="1"/>
  <c r="H109" i="2"/>
  <c r="I109" i="2" s="1"/>
  <c r="C324" i="2" l="1"/>
  <c r="A324" i="2" s="1"/>
  <c r="B324" i="2" s="1"/>
  <c r="D110" i="2"/>
  <c r="E110" i="2" s="1"/>
  <c r="F110" i="2" l="1"/>
  <c r="G110" i="2"/>
  <c r="C325" i="2"/>
  <c r="A325" i="2" s="1"/>
  <c r="B325" i="2" s="1"/>
  <c r="C326" i="2" l="1"/>
  <c r="A326" i="2" s="1"/>
  <c r="B326" i="2" s="1"/>
  <c r="H110" i="2"/>
  <c r="I110" i="2" s="1"/>
  <c r="C327" i="2" l="1"/>
  <c r="A327" i="2" s="1"/>
  <c r="B327" i="2" s="1"/>
  <c r="D111" i="2"/>
  <c r="E111" i="2" s="1"/>
  <c r="G111" i="2" l="1"/>
  <c r="C328" i="2"/>
  <c r="A328" i="2" s="1"/>
  <c r="B328" i="2" s="1"/>
  <c r="F111" i="2"/>
  <c r="C329" i="2" l="1"/>
  <c r="A329" i="2" s="1"/>
  <c r="B329" i="2" s="1"/>
  <c r="H111" i="2"/>
  <c r="I111" i="2" s="1"/>
  <c r="C330" i="2" l="1"/>
  <c r="A330" i="2" s="1"/>
  <c r="B330" i="2" s="1"/>
  <c r="D112" i="2"/>
  <c r="E112" i="2" s="1"/>
  <c r="G112" i="2" l="1"/>
  <c r="C331" i="2"/>
  <c r="A331" i="2" s="1"/>
  <c r="B331" i="2" s="1"/>
  <c r="F112" i="2"/>
  <c r="C332" i="2" l="1"/>
  <c r="A332" i="2" s="1"/>
  <c r="B332" i="2" s="1"/>
  <c r="H112" i="2"/>
  <c r="I112" i="2" s="1"/>
  <c r="C333" i="2" l="1"/>
  <c r="A333" i="2" s="1"/>
  <c r="B333" i="2" s="1"/>
  <c r="D113" i="2"/>
  <c r="E113" i="2" s="1"/>
  <c r="F113" i="2" l="1"/>
  <c r="G113" i="2"/>
  <c r="C334" i="2"/>
  <c r="A334" i="2" s="1"/>
  <c r="B334" i="2" s="1"/>
  <c r="C335" i="2" l="1"/>
  <c r="A335" i="2" s="1"/>
  <c r="B335" i="2" s="1"/>
  <c r="H113" i="2"/>
  <c r="I113" i="2" s="1"/>
  <c r="C336" i="2" l="1"/>
  <c r="A336" i="2" s="1"/>
  <c r="B336" i="2" s="1"/>
  <c r="D114" i="2"/>
  <c r="E114" i="2" s="1"/>
  <c r="F114" i="2" l="1"/>
  <c r="G114" i="2"/>
  <c r="C337" i="2"/>
  <c r="A337" i="2" s="1"/>
  <c r="B337" i="2" s="1"/>
  <c r="C338" i="2" l="1"/>
  <c r="A338" i="2" s="1"/>
  <c r="B338" i="2" s="1"/>
  <c r="H114" i="2"/>
  <c r="I114" i="2" s="1"/>
  <c r="C339" i="2" l="1"/>
  <c r="A339" i="2" s="1"/>
  <c r="B339" i="2" s="1"/>
  <c r="D115" i="2"/>
  <c r="E115" i="2" s="1"/>
  <c r="G115" i="2" l="1"/>
  <c r="C340" i="2"/>
  <c r="A340" i="2" s="1"/>
  <c r="B340" i="2" s="1"/>
  <c r="F115" i="2"/>
  <c r="C341" i="2" l="1"/>
  <c r="A341" i="2" s="1"/>
  <c r="B341" i="2" s="1"/>
  <c r="H115" i="2"/>
  <c r="I115" i="2" s="1"/>
  <c r="C342" i="2" l="1"/>
  <c r="A342" i="2" s="1"/>
  <c r="B342" i="2" s="1"/>
  <c r="D116" i="2"/>
  <c r="E116" i="2" s="1"/>
  <c r="G116" i="2" l="1"/>
  <c r="C343" i="2"/>
  <c r="A343" i="2" s="1"/>
  <c r="B343" i="2" s="1"/>
  <c r="F116" i="2"/>
  <c r="C344" i="2" l="1"/>
  <c r="A344" i="2" s="1"/>
  <c r="B344" i="2" s="1"/>
  <c r="H116" i="2"/>
  <c r="I116" i="2" s="1"/>
  <c r="C345" i="2" l="1"/>
  <c r="A345" i="2" s="1"/>
  <c r="B345" i="2" s="1"/>
  <c r="D117" i="2"/>
  <c r="E117" i="2" s="1"/>
  <c r="F117" i="2" l="1"/>
  <c r="G117" i="2"/>
  <c r="C346" i="2"/>
  <c r="A346" i="2" s="1"/>
  <c r="B346" i="2" s="1"/>
  <c r="C347" i="2" l="1"/>
  <c r="A347" i="2" s="1"/>
  <c r="B347" i="2" s="1"/>
  <c r="H117" i="2"/>
  <c r="I117" i="2" s="1"/>
  <c r="C348" i="2" l="1"/>
  <c r="A348" i="2" s="1"/>
  <c r="B348" i="2" s="1"/>
  <c r="D118" i="2"/>
  <c r="E118" i="2" s="1"/>
  <c r="G118" i="2" l="1"/>
  <c r="C349" i="2"/>
  <c r="A349" i="2" s="1"/>
  <c r="B349" i="2" s="1"/>
  <c r="F118" i="2"/>
  <c r="C350" i="2" l="1"/>
  <c r="A350" i="2" s="1"/>
  <c r="B350" i="2" s="1"/>
  <c r="H118" i="2"/>
  <c r="I118" i="2" s="1"/>
  <c r="C351" i="2" l="1"/>
  <c r="A351" i="2" s="1"/>
  <c r="B351" i="2" s="1"/>
  <c r="D119" i="2"/>
  <c r="E119" i="2" s="1"/>
  <c r="G119" i="2" l="1"/>
  <c r="C352" i="2"/>
  <c r="A352" i="2" s="1"/>
  <c r="B352" i="2" s="1"/>
  <c r="F119" i="2"/>
  <c r="C353" i="2" l="1"/>
  <c r="A353" i="2" s="1"/>
  <c r="B353" i="2" s="1"/>
  <c r="H119" i="2"/>
  <c r="I119" i="2" s="1"/>
  <c r="C354" i="2" l="1"/>
  <c r="A354" i="2" s="1"/>
  <c r="B354" i="2" s="1"/>
  <c r="D120" i="2"/>
  <c r="E120" i="2" s="1"/>
  <c r="G120" i="2" l="1"/>
  <c r="C355" i="2"/>
  <c r="A355" i="2" s="1"/>
  <c r="B355" i="2" s="1"/>
  <c r="F120" i="2"/>
  <c r="C356" i="2" l="1"/>
  <c r="A356" i="2" s="1"/>
  <c r="B356" i="2" s="1"/>
  <c r="H120" i="2"/>
  <c r="I120" i="2" s="1"/>
  <c r="C357" i="2" l="1"/>
  <c r="A357" i="2" s="1"/>
  <c r="B357" i="2" s="1"/>
  <c r="D121" i="2"/>
  <c r="E121" i="2" s="1"/>
  <c r="G121" i="2" l="1"/>
  <c r="C358" i="2"/>
  <c r="A358" i="2" s="1"/>
  <c r="B358" i="2" s="1"/>
  <c r="F121" i="2"/>
  <c r="C359" i="2" l="1"/>
  <c r="A359" i="2" s="1"/>
  <c r="B359" i="2" s="1"/>
  <c r="H121" i="2"/>
  <c r="I121" i="2" l="1"/>
  <c r="D122" i="2" s="1"/>
  <c r="E122" i="2" s="1"/>
  <c r="C360" i="2"/>
  <c r="A360" i="2" s="1"/>
  <c r="B360" i="2" s="1"/>
  <c r="G122" i="2" l="1"/>
  <c r="H122" i="2" s="1"/>
  <c r="F122" i="2"/>
  <c r="C361" i="2"/>
  <c r="A361" i="2" s="1"/>
  <c r="B361" i="2" s="1"/>
  <c r="I122" i="2" l="1"/>
  <c r="D123" i="2" s="1"/>
  <c r="E123" i="2" s="1"/>
  <c r="C362" i="2"/>
  <c r="A362" i="2" s="1"/>
  <c r="B362" i="2" s="1"/>
  <c r="G123" i="2" l="1"/>
  <c r="H123" i="2" s="1"/>
  <c r="F123" i="2"/>
  <c r="I123" i="2" l="1"/>
  <c r="D124" i="2" s="1"/>
  <c r="E124" i="2" s="1"/>
  <c r="G124" i="2" l="1"/>
  <c r="H124" i="2" s="1"/>
  <c r="F124" i="2"/>
  <c r="I124" i="2" l="1"/>
  <c r="D125" i="2" s="1"/>
  <c r="E125" i="2" s="1"/>
  <c r="F125" i="2" l="1"/>
  <c r="G125" i="2"/>
  <c r="H125" i="2" s="1"/>
  <c r="I125" i="2" s="1"/>
  <c r="D126" i="2" l="1"/>
  <c r="E126" i="2" s="1"/>
  <c r="G126" i="2" l="1"/>
  <c r="F126" i="2"/>
  <c r="H126" i="2" l="1"/>
  <c r="I126" i="2" s="1"/>
  <c r="D127" i="2" l="1"/>
  <c r="E127" i="2" s="1"/>
  <c r="G127" i="2" l="1"/>
  <c r="F127" i="2"/>
  <c r="H127" i="2" l="1"/>
  <c r="I127" i="2" s="1"/>
  <c r="D128" i="2" l="1"/>
  <c r="E128" i="2" s="1"/>
  <c r="G128" i="2" l="1"/>
  <c r="F128" i="2"/>
  <c r="H128" i="2" l="1"/>
  <c r="I128" i="2" s="1"/>
  <c r="D129" i="2" l="1"/>
  <c r="E129" i="2" s="1"/>
  <c r="G129" i="2" l="1"/>
  <c r="F129" i="2"/>
  <c r="H129" i="2" l="1"/>
  <c r="I129" i="2" s="1"/>
  <c r="D130" i="2" l="1"/>
  <c r="E130" i="2" s="1"/>
  <c r="G130" i="2" l="1"/>
  <c r="F130" i="2"/>
  <c r="H130" i="2" l="1"/>
  <c r="I130" i="2" s="1"/>
  <c r="D131" i="2" l="1"/>
  <c r="E131" i="2" s="1"/>
  <c r="F131" i="2" l="1"/>
  <c r="G131" i="2"/>
  <c r="H131" i="2" l="1"/>
  <c r="I131" i="2" s="1"/>
  <c r="D132" i="2" l="1"/>
  <c r="E132" i="2" s="1"/>
  <c r="G132" i="2" l="1"/>
  <c r="F132" i="2"/>
  <c r="H132" i="2" l="1"/>
  <c r="I132" i="2" s="1"/>
  <c r="D133" i="2" l="1"/>
  <c r="E133" i="2" s="1"/>
  <c r="F133" i="2" l="1"/>
  <c r="G133" i="2"/>
  <c r="H133" i="2" l="1"/>
  <c r="I133" i="2" s="1"/>
  <c r="D134" i="2" l="1"/>
  <c r="E134" i="2" s="1"/>
  <c r="G134" i="2" l="1"/>
  <c r="F134" i="2"/>
  <c r="H134" i="2" l="1"/>
  <c r="I134" i="2" l="1"/>
  <c r="D135" i="2" s="1"/>
  <c r="E135" i="2" s="1"/>
  <c r="G135" i="2" l="1"/>
  <c r="H135" i="2" s="1"/>
  <c r="I135" i="2" s="1"/>
  <c r="F135" i="2"/>
  <c r="D136" i="2" l="1"/>
  <c r="E136" i="2" s="1"/>
  <c r="G136" i="2" l="1"/>
  <c r="F136" i="2"/>
  <c r="H136" i="2" l="1"/>
  <c r="I136" i="2" s="1"/>
  <c r="D137" i="2" l="1"/>
  <c r="E137" i="2" s="1"/>
  <c r="F137" i="2" l="1"/>
  <c r="G137" i="2"/>
  <c r="H137" i="2" l="1"/>
  <c r="I137" i="2" s="1"/>
  <c r="D138" i="2" l="1"/>
  <c r="E138" i="2" s="1"/>
  <c r="G138" i="2" l="1"/>
  <c r="F138" i="2"/>
  <c r="H138" i="2" l="1"/>
  <c r="I138" i="2" s="1"/>
  <c r="D139" i="2" l="1"/>
  <c r="E139" i="2" s="1"/>
  <c r="G139" i="2" l="1"/>
  <c r="F139" i="2"/>
  <c r="H139" i="2" l="1"/>
  <c r="I139" i="2" s="1"/>
  <c r="D140" i="2" l="1"/>
  <c r="E140" i="2" s="1"/>
  <c r="G140" i="2" l="1"/>
  <c r="F140" i="2"/>
  <c r="H140" i="2"/>
  <c r="I140" i="2" s="1"/>
  <c r="D141" i="2" l="1"/>
  <c r="E141" i="2" s="1"/>
  <c r="G141" i="2" l="1"/>
  <c r="F141" i="2"/>
  <c r="H141" i="2" l="1"/>
  <c r="I141" i="2" s="1"/>
  <c r="D142" i="2" l="1"/>
  <c r="E142" i="2" s="1"/>
  <c r="G142" i="2" l="1"/>
  <c r="H142" i="2" s="1"/>
  <c r="I142" i="2" s="1"/>
  <c r="F142" i="2"/>
  <c r="D143" i="2" l="1"/>
  <c r="E143" i="2" s="1"/>
  <c r="F143" i="2" l="1"/>
  <c r="G143" i="2"/>
  <c r="H143" i="2" l="1"/>
  <c r="I143" i="2" s="1"/>
  <c r="D144" i="2" l="1"/>
  <c r="E144" i="2" s="1"/>
  <c r="F144" i="2" l="1"/>
  <c r="G144" i="2"/>
  <c r="H144" i="2" l="1"/>
  <c r="I144" i="2" s="1"/>
  <c r="D145" i="2" l="1"/>
  <c r="E145" i="2" s="1"/>
  <c r="G145" i="2" l="1"/>
  <c r="F145" i="2"/>
  <c r="H145" i="2" l="1"/>
  <c r="I145" i="2" s="1"/>
  <c r="D146" i="2" l="1"/>
  <c r="E146" i="2" s="1"/>
  <c r="G146" i="2" l="1"/>
  <c r="F146" i="2"/>
  <c r="H146" i="2" l="1"/>
  <c r="I146" i="2" s="1"/>
  <c r="D147" i="2" l="1"/>
  <c r="E147" i="2" s="1"/>
  <c r="G147" i="2" l="1"/>
  <c r="F147" i="2"/>
  <c r="H147" i="2" l="1"/>
  <c r="I147" i="2" s="1"/>
  <c r="D148" i="2" l="1"/>
  <c r="E148" i="2" s="1"/>
  <c r="G148" i="2" l="1"/>
  <c r="F148" i="2"/>
  <c r="H148" i="2" l="1"/>
  <c r="I148" i="2" s="1"/>
  <c r="D149" i="2" l="1"/>
  <c r="E149" i="2" s="1"/>
  <c r="F149" i="2" l="1"/>
  <c r="G149" i="2"/>
  <c r="H149" i="2" l="1"/>
  <c r="I149" i="2" s="1"/>
  <c r="D150" i="2" l="1"/>
  <c r="E150" i="2" s="1"/>
  <c r="G150" i="2" l="1"/>
  <c r="F150" i="2"/>
  <c r="H150" i="2" l="1"/>
  <c r="I150" i="2" s="1"/>
  <c r="D151" i="2" l="1"/>
  <c r="E151" i="2" s="1"/>
  <c r="F151" i="2" l="1"/>
  <c r="G151" i="2"/>
  <c r="H151" i="2" l="1"/>
  <c r="I151" i="2" s="1"/>
  <c r="D152" i="2" l="1"/>
  <c r="E152" i="2" s="1"/>
  <c r="G152" i="2" l="1"/>
  <c r="F152" i="2"/>
  <c r="H152" i="2" l="1"/>
  <c r="I152" i="2" s="1"/>
  <c r="D153" i="2" l="1"/>
  <c r="E153" i="2" s="1"/>
  <c r="G153" i="2" l="1"/>
  <c r="F153" i="2"/>
  <c r="H153" i="2" l="1"/>
  <c r="I153" i="2" s="1"/>
  <c r="D154" i="2" l="1"/>
  <c r="E154" i="2" s="1"/>
  <c r="G154" i="2" l="1"/>
  <c r="F154" i="2"/>
  <c r="H154" i="2" l="1"/>
  <c r="I154" i="2" s="1"/>
  <c r="D155" i="2" l="1"/>
  <c r="E155" i="2" s="1"/>
  <c r="G155" i="2" l="1"/>
  <c r="F155" i="2"/>
  <c r="H155" i="2" l="1"/>
  <c r="I155" i="2" l="1"/>
  <c r="D156" i="2" s="1"/>
  <c r="E156" i="2" s="1"/>
  <c r="G156" i="2" l="1"/>
  <c r="H156" i="2" s="1"/>
  <c r="F156" i="2"/>
  <c r="I156" i="2" l="1"/>
  <c r="D157" i="2" s="1"/>
  <c r="E157" i="2" s="1"/>
  <c r="G157" i="2" l="1"/>
  <c r="H157" i="2" s="1"/>
  <c r="I157" i="2" s="1"/>
  <c r="F157" i="2"/>
  <c r="D158" i="2" l="1"/>
  <c r="E158" i="2" s="1"/>
  <c r="G158" i="2" l="1"/>
  <c r="F158" i="2"/>
  <c r="H158" i="2" l="1"/>
  <c r="I158" i="2" l="1"/>
  <c r="D159" i="2" s="1"/>
  <c r="E159" i="2" s="1"/>
  <c r="G159" i="2" l="1"/>
  <c r="H159" i="2" s="1"/>
  <c r="I159" i="2" s="1"/>
  <c r="D160" i="2" s="1"/>
  <c r="E160" i="2" s="1"/>
  <c r="F159" i="2"/>
  <c r="G160" i="2" l="1"/>
  <c r="F160" i="2"/>
  <c r="H160" i="2" l="1"/>
  <c r="I160" i="2" s="1"/>
  <c r="D161" i="2" l="1"/>
  <c r="E161" i="2" s="1"/>
  <c r="G161" i="2" l="1"/>
  <c r="F161" i="2"/>
  <c r="H161" i="2" l="1"/>
  <c r="I161" i="2" s="1"/>
  <c r="D162" i="2" l="1"/>
  <c r="E162" i="2" s="1"/>
  <c r="G162" i="2" l="1"/>
  <c r="F162" i="2"/>
  <c r="H162" i="2" l="1"/>
  <c r="I162" i="2" s="1"/>
  <c r="D163" i="2" l="1"/>
  <c r="E163" i="2" s="1"/>
  <c r="G163" i="2" l="1"/>
  <c r="F163" i="2"/>
  <c r="H163" i="2" l="1"/>
  <c r="I163" i="2" s="1"/>
  <c r="D164" i="2" l="1"/>
  <c r="E164" i="2" s="1"/>
  <c r="G164" i="2" l="1"/>
  <c r="F164" i="2"/>
  <c r="H164" i="2" l="1"/>
  <c r="I164" i="2" s="1"/>
  <c r="D165" i="2" l="1"/>
  <c r="E165" i="2" s="1"/>
  <c r="G165" i="2" l="1"/>
  <c r="F165" i="2"/>
  <c r="H165" i="2" l="1"/>
  <c r="I165" i="2" s="1"/>
  <c r="D166" i="2" l="1"/>
  <c r="E166" i="2" s="1"/>
  <c r="F166" i="2" l="1"/>
  <c r="G166" i="2"/>
  <c r="H166" i="2" l="1"/>
  <c r="I166" i="2" s="1"/>
  <c r="D167" i="2" l="1"/>
  <c r="E167" i="2" s="1"/>
  <c r="G167" i="2" l="1"/>
  <c r="F167" i="2"/>
  <c r="H167" i="2" l="1"/>
  <c r="I167" i="2" s="1"/>
  <c r="D168" i="2" l="1"/>
  <c r="E168" i="2" s="1"/>
  <c r="G168" i="2" l="1"/>
  <c r="F168" i="2"/>
  <c r="H168" i="2" l="1"/>
  <c r="I168" i="2" s="1"/>
  <c r="D169" i="2" l="1"/>
  <c r="E169" i="2" s="1"/>
  <c r="G169" i="2" l="1"/>
  <c r="F169" i="2"/>
  <c r="H169" i="2" l="1"/>
  <c r="I169" i="2" s="1"/>
  <c r="D170" i="2" l="1"/>
  <c r="E170" i="2" s="1"/>
  <c r="G170" i="2" l="1"/>
  <c r="F170" i="2"/>
  <c r="H170" i="2" l="1"/>
  <c r="I170" i="2" s="1"/>
  <c r="D171" i="2" l="1"/>
  <c r="E171" i="2" s="1"/>
  <c r="G171" i="2" l="1"/>
  <c r="F171" i="2"/>
  <c r="H171" i="2" l="1"/>
  <c r="I171" i="2" s="1"/>
  <c r="D172" i="2" l="1"/>
  <c r="E172" i="2" s="1"/>
  <c r="G172" i="2" l="1"/>
  <c r="F172" i="2"/>
  <c r="H172" i="2" l="1"/>
  <c r="I172" i="2" s="1"/>
  <c r="D173" i="2" l="1"/>
  <c r="E173" i="2" s="1"/>
  <c r="F173" i="2" l="1"/>
  <c r="G173" i="2"/>
  <c r="H173" i="2" l="1"/>
  <c r="I173" i="2" s="1"/>
  <c r="D174" i="2" l="1"/>
  <c r="E174" i="2" s="1"/>
  <c r="G174" i="2" l="1"/>
  <c r="F174" i="2"/>
  <c r="H174" i="2" l="1"/>
  <c r="I174" i="2" s="1"/>
  <c r="D175" i="2" l="1"/>
  <c r="E175" i="2" s="1"/>
  <c r="G175" i="2" l="1"/>
  <c r="F175" i="2"/>
  <c r="H175" i="2" l="1"/>
  <c r="I175" i="2" s="1"/>
  <c r="D176" i="2" l="1"/>
  <c r="E176" i="2" s="1"/>
  <c r="F176" i="2" l="1"/>
  <c r="G176" i="2"/>
  <c r="H176" i="2" l="1"/>
  <c r="I176" i="2" s="1"/>
  <c r="D177" i="2" l="1"/>
  <c r="E177" i="2" s="1"/>
  <c r="G177" i="2" l="1"/>
  <c r="F177" i="2"/>
  <c r="H177" i="2" l="1"/>
  <c r="I177" i="2" s="1"/>
  <c r="D178" i="2" l="1"/>
  <c r="E178" i="2" s="1"/>
  <c r="G178" i="2" l="1"/>
  <c r="F178" i="2"/>
  <c r="H178" i="2" l="1"/>
  <c r="I178" i="2" s="1"/>
  <c r="D179" i="2" l="1"/>
  <c r="E179" i="2" s="1"/>
  <c r="G179" i="2" l="1"/>
  <c r="F179" i="2"/>
  <c r="H179" i="2" l="1"/>
  <c r="I179" i="2" s="1"/>
  <c r="D180" i="2" l="1"/>
  <c r="E180" i="2" s="1"/>
  <c r="G180" i="2" l="1"/>
  <c r="F180" i="2"/>
  <c r="H180" i="2" l="1"/>
  <c r="I180" i="2" s="1"/>
  <c r="D181" i="2" l="1"/>
  <c r="E181" i="2" s="1"/>
  <c r="G181" i="2" l="1"/>
  <c r="F181" i="2"/>
  <c r="H181" i="2" l="1"/>
  <c r="I181" i="2" l="1"/>
  <c r="D182" i="2" s="1"/>
  <c r="E182" i="2" s="1"/>
  <c r="G182" i="2" l="1"/>
  <c r="F182" i="2"/>
  <c r="H182" i="2" l="1"/>
  <c r="I182" i="2" s="1"/>
  <c r="D183" i="2" l="1"/>
  <c r="E183" i="2" s="1"/>
  <c r="F183" i="2" l="1"/>
  <c r="G183" i="2"/>
  <c r="H183" i="2" l="1"/>
  <c r="I183" i="2" s="1"/>
  <c r="D184" i="2" l="1"/>
  <c r="E184" i="2" s="1"/>
  <c r="G184" i="2" l="1"/>
  <c r="F184" i="2"/>
  <c r="H184" i="2" l="1"/>
  <c r="I184" i="2" l="1"/>
  <c r="D185" i="2" s="1"/>
  <c r="E185" i="2" s="1"/>
  <c r="F185" i="2" l="1"/>
  <c r="G185" i="2"/>
  <c r="H185" i="2"/>
  <c r="I185" i="2" s="1"/>
  <c r="D186" i="2" l="1"/>
  <c r="E186" i="2" s="1"/>
  <c r="F186" i="2" l="1"/>
  <c r="G186" i="2"/>
  <c r="H186" i="2" l="1"/>
  <c r="I186" i="2" s="1"/>
  <c r="D187" i="2" l="1"/>
  <c r="E187" i="2" s="1"/>
  <c r="G187" i="2" l="1"/>
  <c r="F187" i="2"/>
  <c r="H187" i="2" l="1"/>
  <c r="I187" i="2" s="1"/>
  <c r="D188" i="2" l="1"/>
  <c r="E188" i="2" s="1"/>
  <c r="F188" i="2" l="1"/>
  <c r="G188" i="2"/>
  <c r="H188" i="2" l="1"/>
  <c r="I188" i="2" s="1"/>
  <c r="D189" i="2" l="1"/>
  <c r="E189" i="2" s="1"/>
  <c r="F189" i="2" l="1"/>
  <c r="G189" i="2"/>
  <c r="H189" i="2" l="1"/>
  <c r="I189" i="2" s="1"/>
  <c r="D190" i="2" l="1"/>
  <c r="E190" i="2" s="1"/>
  <c r="F190" i="2" l="1"/>
  <c r="G190" i="2"/>
  <c r="H190" i="2" l="1"/>
  <c r="I190" i="2" s="1"/>
  <c r="D191" i="2" l="1"/>
  <c r="E191" i="2" s="1"/>
  <c r="F191" i="2" l="1"/>
  <c r="G191" i="2"/>
  <c r="H191" i="2" l="1"/>
  <c r="I191" i="2" l="1"/>
  <c r="D192" i="2" s="1"/>
  <c r="E192" i="2" s="1"/>
  <c r="G192" i="2" l="1"/>
  <c r="F192" i="2"/>
  <c r="H192" i="2" l="1"/>
  <c r="I192" i="2" s="1"/>
  <c r="D193" i="2" l="1"/>
  <c r="E193" i="2" s="1"/>
  <c r="G193" i="2" l="1"/>
  <c r="H193" i="2" s="1"/>
  <c r="I193" i="2" s="1"/>
  <c r="F193" i="2" l="1"/>
  <c r="D194" i="2" l="1"/>
  <c r="E194" i="2" s="1"/>
  <c r="G194" i="2" l="1"/>
  <c r="H194" i="2" s="1"/>
  <c r="I194" i="2" s="1"/>
  <c r="F194" i="2"/>
  <c r="D195" i="2" l="1"/>
  <c r="E195" i="2" s="1"/>
  <c r="F195" i="2" l="1"/>
  <c r="G195" i="2"/>
  <c r="H195" i="2" l="1"/>
  <c r="I195" i="2" s="1"/>
  <c r="D196" i="2" l="1"/>
  <c r="E196" i="2" s="1"/>
  <c r="G196" i="2" l="1"/>
  <c r="F196" i="2"/>
  <c r="H196" i="2" l="1"/>
  <c r="I196" i="2" s="1"/>
  <c r="D197" i="2" l="1"/>
  <c r="E197" i="2" s="1"/>
  <c r="F197" i="2" l="1"/>
  <c r="G197" i="2"/>
  <c r="H197" i="2" l="1"/>
  <c r="I197" i="2" s="1"/>
  <c r="D198" i="2" l="1"/>
  <c r="E198" i="2" s="1"/>
  <c r="G198" i="2" l="1"/>
  <c r="F198" i="2"/>
  <c r="H198" i="2" l="1"/>
  <c r="I198" i="2" s="1"/>
  <c r="D199" i="2" l="1"/>
  <c r="E199" i="2" s="1"/>
  <c r="G199" i="2" l="1"/>
  <c r="F199" i="2"/>
  <c r="H199" i="2" l="1"/>
  <c r="I199" i="2" s="1"/>
  <c r="D200" i="2" l="1"/>
  <c r="E200" i="2" s="1"/>
  <c r="F200" i="2" l="1"/>
  <c r="G200" i="2"/>
  <c r="H200" i="2" l="1"/>
  <c r="I200" i="2" s="1"/>
  <c r="D201" i="2" l="1"/>
  <c r="E201" i="2" s="1"/>
  <c r="F201" i="2" l="1"/>
  <c r="G201" i="2"/>
  <c r="H201" i="2" l="1"/>
  <c r="I201" i="2" l="1"/>
  <c r="D202" i="2" s="1"/>
  <c r="E202" i="2" s="1"/>
  <c r="G202" i="2" l="1"/>
  <c r="F202" i="2"/>
  <c r="H202" i="2"/>
  <c r="I202" i="2" l="1"/>
  <c r="D203" i="2" s="1"/>
  <c r="E203" i="2" s="1"/>
  <c r="G203" i="2" l="1"/>
  <c r="H203" i="2" s="1"/>
  <c r="F203" i="2"/>
  <c r="I203" i="2" l="1"/>
  <c r="D204" i="2" s="1"/>
  <c r="E204" i="2" s="1"/>
  <c r="G204" i="2" l="1"/>
  <c r="H204" i="2" s="1"/>
  <c r="F204" i="2"/>
  <c r="I204" i="2" l="1"/>
  <c r="D205" i="2" s="1"/>
  <c r="E205" i="2" s="1"/>
  <c r="F205" i="2" l="1"/>
  <c r="G205" i="2"/>
  <c r="H205" i="2" s="1"/>
  <c r="I205" i="2" l="1"/>
  <c r="D206" i="2" s="1"/>
  <c r="E206" i="2" s="1"/>
  <c r="F206" i="2" l="1"/>
  <c r="G206" i="2"/>
  <c r="H206" i="2" s="1"/>
  <c r="I206" i="2" l="1"/>
  <c r="D207" i="2" s="1"/>
  <c r="E207" i="2" s="1"/>
  <c r="G207" i="2" l="1"/>
  <c r="F207" i="2"/>
  <c r="H207" i="2"/>
  <c r="I207" i="2" l="1"/>
  <c r="D208" i="2" s="1"/>
  <c r="E208" i="2" s="1"/>
  <c r="G208" i="2" l="1"/>
  <c r="H208" i="2" s="1"/>
  <c r="I208" i="2" s="1"/>
  <c r="F208" i="2"/>
  <c r="D209" i="2" l="1"/>
  <c r="E209" i="2" s="1"/>
  <c r="G209" i="2" l="1"/>
  <c r="H209" i="2" s="1"/>
  <c r="I209" i="2" s="1"/>
  <c r="F209" i="2"/>
  <c r="D210" i="2" l="1"/>
  <c r="E210" i="2" s="1"/>
  <c r="G210" i="2" l="1"/>
  <c r="F210" i="2"/>
  <c r="H210" i="2" l="1"/>
  <c r="I210" i="2" s="1"/>
  <c r="D211" i="2" l="1"/>
  <c r="E211" i="2" s="1"/>
  <c r="G211" i="2" l="1"/>
  <c r="H211" i="2" s="1"/>
  <c r="I211" i="2" s="1"/>
  <c r="F211" i="2" l="1"/>
  <c r="D212" i="2" l="1"/>
  <c r="E212" i="2" s="1"/>
  <c r="G212" i="2" l="1"/>
  <c r="H212" i="2" s="1"/>
  <c r="I212" i="2" s="1"/>
  <c r="F212" i="2"/>
  <c r="D213" i="2" l="1"/>
  <c r="E213" i="2" s="1"/>
  <c r="G213" i="2" l="1"/>
  <c r="F213" i="2"/>
  <c r="H213" i="2" l="1"/>
  <c r="I213" i="2" s="1"/>
  <c r="D214" i="2" l="1"/>
  <c r="E214" i="2" s="1"/>
  <c r="F214" i="2" l="1"/>
  <c r="G214" i="2"/>
  <c r="H214" i="2" l="1"/>
  <c r="I214" i="2" s="1"/>
  <c r="D215" i="2" l="1"/>
  <c r="E215" i="2" s="1"/>
  <c r="F215" i="2" l="1"/>
  <c r="G215" i="2"/>
  <c r="H215" i="2" s="1"/>
  <c r="I215" i="2" s="1"/>
  <c r="D216" i="2" l="1"/>
  <c r="E216" i="2" s="1"/>
  <c r="G216" i="2" l="1"/>
  <c r="F216" i="2"/>
  <c r="H216" i="2" l="1"/>
  <c r="I216" i="2" s="1"/>
  <c r="D217" i="2" l="1"/>
  <c r="E217" i="2" s="1"/>
  <c r="G217" i="2" l="1"/>
  <c r="F217" i="2"/>
  <c r="H217" i="2" l="1"/>
  <c r="I217" i="2" s="1"/>
  <c r="D218" i="2" l="1"/>
  <c r="E218" i="2" s="1"/>
  <c r="G218" i="2" l="1"/>
  <c r="H218" i="2" s="1"/>
  <c r="I218" i="2" s="1"/>
  <c r="F218" i="2"/>
  <c r="D219" i="2" l="1"/>
  <c r="E219" i="2" s="1"/>
  <c r="G219" i="2" l="1"/>
  <c r="H219" i="2" s="1"/>
  <c r="I219" i="2" s="1"/>
  <c r="F219" i="2"/>
  <c r="D220" i="2" l="1"/>
  <c r="E220" i="2" s="1"/>
  <c r="G220" i="2" l="1"/>
  <c r="F220" i="2"/>
  <c r="H220" i="2" l="1"/>
  <c r="I220" i="2" s="1"/>
  <c r="D221" i="2" l="1"/>
  <c r="E221" i="2" s="1"/>
  <c r="F221" i="2" l="1"/>
  <c r="G221" i="2"/>
  <c r="H221" i="2" l="1"/>
  <c r="I221" i="2" s="1"/>
  <c r="D222" i="2" l="1"/>
  <c r="E222" i="2" s="1"/>
  <c r="F222" i="2" l="1"/>
  <c r="G222" i="2"/>
  <c r="H222" i="2" l="1"/>
  <c r="I222" i="2" s="1"/>
  <c r="D223" i="2" l="1"/>
  <c r="E223" i="2" s="1"/>
  <c r="G223" i="2" l="1"/>
  <c r="H223" i="2" s="1"/>
  <c r="I223" i="2" s="1"/>
  <c r="F223" i="2"/>
  <c r="D224" i="2" l="1"/>
  <c r="E224" i="2" s="1"/>
  <c r="G224" i="2" l="1"/>
  <c r="F224" i="2"/>
  <c r="H224" i="2" l="1"/>
  <c r="I224" i="2" s="1"/>
  <c r="D225" i="2" l="1"/>
  <c r="E225" i="2" s="1"/>
  <c r="G225" i="2" l="1"/>
  <c r="H225" i="2" s="1"/>
  <c r="I225" i="2" s="1"/>
  <c r="F225" i="2"/>
  <c r="D226" i="2" l="1"/>
  <c r="E226" i="2" s="1"/>
  <c r="G226" i="2" l="1"/>
  <c r="F226" i="2"/>
  <c r="H226" i="2" l="1"/>
  <c r="I226" i="2" s="1"/>
  <c r="D227" i="2" l="1"/>
  <c r="E227" i="2" s="1"/>
  <c r="G227" i="2" l="1"/>
  <c r="F227" i="2"/>
  <c r="H227" i="2" l="1"/>
  <c r="I227" i="2" s="1"/>
  <c r="D228" i="2" l="1"/>
  <c r="E228" i="2" s="1"/>
  <c r="G228" i="2" l="1"/>
  <c r="F228" i="2"/>
  <c r="H228" i="2" l="1"/>
  <c r="I228" i="2" s="1"/>
  <c r="D229" i="2" l="1"/>
  <c r="E229" i="2" s="1"/>
  <c r="G229" i="2" l="1"/>
  <c r="F229" i="2"/>
  <c r="H229" i="2" l="1"/>
  <c r="I229" i="2" s="1"/>
  <c r="D230" i="2" l="1"/>
  <c r="E230" i="2" s="1"/>
  <c r="F230" i="2" l="1"/>
  <c r="G230" i="2"/>
  <c r="H230" i="2" l="1"/>
  <c r="I230" i="2" s="1"/>
  <c r="D231" i="2" l="1"/>
  <c r="E231" i="2" s="1"/>
  <c r="G231" i="2" l="1"/>
  <c r="H231" i="2" s="1"/>
  <c r="I231" i="2" s="1"/>
  <c r="F231" i="2"/>
  <c r="D232" i="2" l="1"/>
  <c r="E232" i="2" s="1"/>
  <c r="F232" i="2" l="1"/>
  <c r="G232" i="2"/>
  <c r="H232" i="2" s="1"/>
  <c r="I232" i="2" s="1"/>
  <c r="D233" i="2" l="1"/>
  <c r="E233" i="2" s="1"/>
  <c r="G233" i="2" l="1"/>
  <c r="F233" i="2"/>
  <c r="H233" i="2" l="1"/>
  <c r="I233" i="2" s="1"/>
  <c r="D234" i="2" l="1"/>
  <c r="E234" i="2" s="1"/>
  <c r="G234" i="2" l="1"/>
  <c r="F234" i="2"/>
  <c r="H234" i="2" l="1"/>
  <c r="I234" i="2" s="1"/>
  <c r="D235" i="2" l="1"/>
  <c r="E235" i="2" s="1"/>
  <c r="G235" i="2" l="1"/>
  <c r="F235" i="2"/>
  <c r="H235" i="2" l="1"/>
  <c r="I235" i="2" s="1"/>
  <c r="D236" i="2" l="1"/>
  <c r="E236" i="2" s="1"/>
  <c r="F236" i="2" l="1"/>
  <c r="G236" i="2"/>
  <c r="H236" i="2" l="1"/>
  <c r="I236" i="2" s="1"/>
  <c r="D237" i="2" l="1"/>
  <c r="E237" i="2" s="1"/>
  <c r="G237" i="2" l="1"/>
  <c r="F237" i="2"/>
  <c r="H237" i="2" l="1"/>
  <c r="I237" i="2" l="1"/>
  <c r="D238" i="2" s="1"/>
  <c r="E238" i="2" s="1"/>
  <c r="G238" i="2" l="1"/>
  <c r="F238" i="2"/>
  <c r="H238" i="2"/>
  <c r="I238" i="2" s="1"/>
  <c r="D239" i="2" l="1"/>
  <c r="E239" i="2" s="1"/>
  <c r="G239" i="2" l="1"/>
  <c r="F239" i="2"/>
  <c r="H239" i="2" l="1"/>
  <c r="I239" i="2" s="1"/>
  <c r="D240" i="2" l="1"/>
  <c r="E240" i="2" s="1"/>
  <c r="G240" i="2" l="1"/>
  <c r="F240" i="2"/>
  <c r="H240" i="2" l="1"/>
  <c r="I240" i="2" s="1"/>
  <c r="D241" i="2" l="1"/>
  <c r="E241" i="2" s="1"/>
  <c r="G241" i="2" l="1"/>
  <c r="H241" i="2" s="1"/>
  <c r="I241" i="2" s="1"/>
  <c r="F241" i="2"/>
  <c r="D242" i="2" l="1"/>
  <c r="E242" i="2" s="1"/>
  <c r="G242" i="2" l="1"/>
  <c r="H242" i="2" s="1"/>
  <c r="I242" i="2" s="1"/>
  <c r="F242" i="2"/>
  <c r="D243" i="2" l="1"/>
  <c r="E243" i="2" s="1"/>
  <c r="F243" i="2" l="1"/>
  <c r="G243" i="2"/>
  <c r="H243" i="2" l="1"/>
  <c r="I243" i="2" s="1"/>
  <c r="D244" i="2" l="1"/>
  <c r="E244" i="2" s="1"/>
  <c r="G244" i="2" l="1"/>
  <c r="F244" i="2"/>
  <c r="H244" i="2" l="1"/>
  <c r="I244" i="2" s="1"/>
  <c r="D245" i="2" l="1"/>
  <c r="E245" i="2" s="1"/>
  <c r="G245" i="2" l="1"/>
  <c r="F245" i="2"/>
  <c r="H245" i="2" l="1"/>
  <c r="I245" i="2" s="1"/>
  <c r="D246" i="2" l="1"/>
  <c r="E246" i="2" s="1"/>
  <c r="G246" i="2" l="1"/>
  <c r="F246" i="2"/>
  <c r="H246" i="2" l="1"/>
  <c r="I246" i="2" l="1"/>
  <c r="D247" i="2" s="1"/>
  <c r="E247" i="2" s="1"/>
  <c r="G247" i="2" l="1"/>
  <c r="F247" i="2"/>
  <c r="H247" i="2"/>
  <c r="I247" i="2" l="1"/>
  <c r="D248" i="2" s="1"/>
  <c r="E248" i="2" s="1"/>
  <c r="G248" i="2" l="1"/>
  <c r="H248" i="2" s="1"/>
  <c r="I248" i="2" s="1"/>
  <c r="F248" i="2"/>
  <c r="D249" i="2" l="1"/>
  <c r="E249" i="2" s="1"/>
  <c r="G249" i="2" l="1"/>
  <c r="F249" i="2"/>
  <c r="H249" i="2" l="1"/>
  <c r="I249" i="2" s="1"/>
  <c r="D250" i="2" l="1"/>
  <c r="E250" i="2" s="1"/>
  <c r="G250" i="2" l="1"/>
  <c r="F250" i="2"/>
  <c r="H250" i="2" l="1"/>
  <c r="I250" i="2" l="1"/>
  <c r="D251" i="2" s="1"/>
  <c r="E251" i="2" s="1"/>
  <c r="F251" i="2" l="1"/>
  <c r="G251" i="2"/>
  <c r="H251" i="2" s="1"/>
  <c r="I251" i="2" l="1"/>
  <c r="D252" i="2" s="1"/>
  <c r="E252" i="2" s="1"/>
  <c r="G252" i="2" l="1"/>
  <c r="H252" i="2" s="1"/>
  <c r="I252" i="2" s="1"/>
  <c r="F252" i="2"/>
  <c r="D253" i="2" l="1"/>
  <c r="E253" i="2" s="1"/>
  <c r="G253" i="2" l="1"/>
  <c r="H253" i="2" s="1"/>
  <c r="I253" i="2" s="1"/>
  <c r="F253" i="2"/>
  <c r="D254" i="2" l="1"/>
  <c r="E254" i="2" s="1"/>
  <c r="F254" i="2" l="1"/>
  <c r="G254" i="2"/>
  <c r="H254" i="2" l="1"/>
  <c r="I254" i="2" s="1"/>
  <c r="D255" i="2" l="1"/>
  <c r="E255" i="2" s="1"/>
  <c r="G255" i="2" l="1"/>
  <c r="F255" i="2"/>
  <c r="H255" i="2" l="1"/>
  <c r="I255" i="2" s="1"/>
  <c r="D256" i="2" l="1"/>
  <c r="E256" i="2" s="1"/>
  <c r="F256" i="2" l="1"/>
  <c r="G256" i="2"/>
  <c r="H256" i="2" l="1"/>
  <c r="I256" i="2" s="1"/>
  <c r="D257" i="2" l="1"/>
  <c r="E257" i="2" s="1"/>
  <c r="G257" i="2" l="1"/>
  <c r="H257" i="2" s="1"/>
  <c r="I257" i="2" s="1"/>
  <c r="F257" i="2"/>
  <c r="D258" i="2" l="1"/>
  <c r="E258" i="2" s="1"/>
  <c r="G258" i="2" l="1"/>
  <c r="F258" i="2"/>
  <c r="H258" i="2" l="1"/>
  <c r="I258" i="2" l="1"/>
  <c r="D259" i="2" s="1"/>
  <c r="E259" i="2" s="1"/>
  <c r="G259" i="2" l="1"/>
  <c r="F259" i="2"/>
  <c r="H259" i="2"/>
  <c r="I259" i="2" l="1"/>
  <c r="D260" i="2" s="1"/>
  <c r="E260" i="2" s="1"/>
  <c r="G260" i="2" l="1"/>
  <c r="F260" i="2"/>
  <c r="H260" i="2"/>
  <c r="I260" i="2" s="1"/>
  <c r="D261" i="2" l="1"/>
  <c r="E261" i="2" s="1"/>
  <c r="F261" i="2" l="1"/>
  <c r="G261" i="2"/>
  <c r="H261" i="2" l="1"/>
  <c r="I261" i="2" s="1"/>
  <c r="D262" i="2" l="1"/>
  <c r="E262" i="2" s="1"/>
  <c r="G262" i="2" l="1"/>
  <c r="F262" i="2"/>
  <c r="H262" i="2" l="1"/>
  <c r="I262" i="2" l="1"/>
  <c r="D263" i="2" s="1"/>
  <c r="E263" i="2" s="1"/>
  <c r="G263" i="2" l="1"/>
  <c r="F263" i="2"/>
  <c r="H263" i="2"/>
  <c r="I263" i="2" l="1"/>
  <c r="D264" i="2" s="1"/>
  <c r="E264" i="2" s="1"/>
  <c r="G264" i="2" l="1"/>
  <c r="F264" i="2"/>
  <c r="H264" i="2"/>
  <c r="I264" i="2" s="1"/>
  <c r="D265" i="2" l="1"/>
  <c r="E265" i="2" s="1"/>
  <c r="G265" i="2" l="1"/>
  <c r="F265" i="2"/>
  <c r="H265" i="2" l="1"/>
  <c r="I265" i="2" s="1"/>
  <c r="D266" i="2" l="1"/>
  <c r="E266" i="2" s="1"/>
  <c r="G266" i="2" l="1"/>
  <c r="F266" i="2"/>
  <c r="H266" i="2" l="1"/>
  <c r="I266" i="2" s="1"/>
  <c r="D267" i="2" l="1"/>
  <c r="E267" i="2" s="1"/>
  <c r="F267" i="2" l="1"/>
  <c r="G267" i="2"/>
  <c r="H267" i="2" l="1"/>
  <c r="I267" i="2" s="1"/>
  <c r="D268" i="2" l="1"/>
  <c r="E268" i="2" s="1"/>
  <c r="G268" i="2" l="1"/>
  <c r="F268" i="2"/>
  <c r="H268" i="2" l="1"/>
  <c r="I268" i="2" s="1"/>
  <c r="D269" i="2" l="1"/>
  <c r="E269" i="2" s="1"/>
  <c r="G269" i="2" l="1"/>
  <c r="H269" i="2" s="1"/>
  <c r="I269" i="2" s="1"/>
  <c r="F269" i="2"/>
  <c r="D270" i="2" l="1"/>
  <c r="E270" i="2" s="1"/>
  <c r="F270" i="2" l="1"/>
  <c r="G270" i="2"/>
  <c r="H270" i="2" l="1"/>
  <c r="I270" i="2" s="1"/>
  <c r="D271" i="2" l="1"/>
  <c r="E271" i="2" s="1"/>
  <c r="G271" i="2" l="1"/>
  <c r="F271" i="2"/>
  <c r="H271" i="2" l="1"/>
  <c r="I271" i="2" s="1"/>
  <c r="D272" i="2" l="1"/>
  <c r="E272" i="2" s="1"/>
  <c r="F272" i="2" l="1"/>
  <c r="G272" i="2"/>
  <c r="H272" i="2" l="1"/>
  <c r="I272" i="2" s="1"/>
  <c r="D273" i="2" l="1"/>
  <c r="E273" i="2" s="1"/>
  <c r="G273" i="2" l="1"/>
  <c r="F273" i="2"/>
  <c r="H273" i="2" l="1"/>
  <c r="I273" i="2" s="1"/>
  <c r="D274" i="2" l="1"/>
  <c r="E274" i="2" s="1"/>
  <c r="F274" i="2" l="1"/>
  <c r="G274" i="2"/>
  <c r="H274" i="2" l="1"/>
  <c r="I274" i="2" s="1"/>
  <c r="D275" i="2" l="1"/>
  <c r="E275" i="2" s="1"/>
  <c r="G275" i="2" l="1"/>
  <c r="F275" i="2"/>
  <c r="H275" i="2" l="1"/>
  <c r="I275" i="2" s="1"/>
  <c r="D276" i="2" l="1"/>
  <c r="E276" i="2" s="1"/>
  <c r="G276" i="2" l="1"/>
  <c r="F276" i="2"/>
  <c r="H276" i="2" l="1"/>
  <c r="I276" i="2" s="1"/>
  <c r="D277" i="2" l="1"/>
  <c r="E277" i="2" s="1"/>
  <c r="G277" i="2" l="1"/>
  <c r="F277" i="2"/>
  <c r="H277" i="2" l="1"/>
  <c r="I277" i="2" s="1"/>
  <c r="D278" i="2" l="1"/>
  <c r="E278" i="2" s="1"/>
  <c r="G278" i="2" l="1"/>
  <c r="F278" i="2"/>
  <c r="H278" i="2" l="1"/>
  <c r="I278" i="2" s="1"/>
  <c r="D279" i="2" l="1"/>
  <c r="E279" i="2" s="1"/>
  <c r="F279" i="2" l="1"/>
  <c r="G279" i="2"/>
  <c r="H279" i="2" l="1"/>
  <c r="I279" i="2" s="1"/>
  <c r="D280" i="2" l="1"/>
  <c r="E280" i="2" s="1"/>
  <c r="F280" i="2" l="1"/>
  <c r="G280" i="2"/>
  <c r="H280" i="2" s="1"/>
  <c r="I280" i="2" s="1"/>
  <c r="D281" i="2" l="1"/>
  <c r="E281" i="2" s="1"/>
  <c r="G281" i="2" l="1"/>
  <c r="F281" i="2"/>
  <c r="H281" i="2" l="1"/>
  <c r="I281" i="2" s="1"/>
  <c r="D282" i="2" l="1"/>
  <c r="E282" i="2" s="1"/>
  <c r="F282" i="2" l="1"/>
  <c r="G282" i="2"/>
  <c r="H282" i="2" l="1"/>
  <c r="I282" i="2" s="1"/>
  <c r="D283" i="2" l="1"/>
  <c r="E283" i="2" s="1"/>
  <c r="F283" i="2" l="1"/>
  <c r="G283" i="2"/>
  <c r="H283" i="2" l="1"/>
  <c r="I283" i="2" s="1"/>
  <c r="D284" i="2" l="1"/>
  <c r="E284" i="2" s="1"/>
  <c r="F284" i="2" l="1"/>
  <c r="G284" i="2"/>
  <c r="H284" i="2" l="1"/>
  <c r="I284" i="2" l="1"/>
  <c r="D285" i="2" s="1"/>
  <c r="E285" i="2" s="1"/>
  <c r="F285" i="2" l="1"/>
  <c r="G285" i="2"/>
  <c r="H285" i="2"/>
  <c r="I285" i="2" s="1"/>
  <c r="D286" i="2" l="1"/>
  <c r="E286" i="2" s="1"/>
  <c r="F286" i="2" l="1"/>
  <c r="G286" i="2"/>
  <c r="H286" i="2" l="1"/>
  <c r="I286" i="2" s="1"/>
  <c r="D287" i="2" l="1"/>
  <c r="E287" i="2" s="1"/>
  <c r="G287" i="2" l="1"/>
  <c r="H287" i="2" s="1"/>
  <c r="I287" i="2" s="1"/>
  <c r="F287" i="2"/>
  <c r="D288" i="2" l="1"/>
  <c r="E288" i="2" s="1"/>
  <c r="G288" i="2" l="1"/>
  <c r="H288" i="2" s="1"/>
  <c r="I288" i="2" s="1"/>
  <c r="F288" i="2"/>
  <c r="D289" i="2" l="1"/>
  <c r="E289" i="2" s="1"/>
  <c r="F289" i="2" l="1"/>
  <c r="G289" i="2"/>
  <c r="H289" i="2" l="1"/>
  <c r="I289" i="2" s="1"/>
  <c r="D290" i="2" l="1"/>
  <c r="E290" i="2" s="1"/>
  <c r="G290" i="2" l="1"/>
  <c r="H290" i="2" s="1"/>
  <c r="I290" i="2" s="1"/>
  <c r="F290" i="2"/>
  <c r="D291" i="2" l="1"/>
  <c r="E291" i="2" s="1"/>
  <c r="G291" i="2" l="1"/>
  <c r="H291" i="2" s="1"/>
  <c r="I291" i="2" s="1"/>
  <c r="F291" i="2"/>
  <c r="D292" i="2" l="1"/>
  <c r="E292" i="2" s="1"/>
  <c r="F292" i="2" l="1"/>
  <c r="G292" i="2"/>
  <c r="H292" i="2" s="1"/>
  <c r="I292" i="2" s="1"/>
  <c r="D293" i="2" l="1"/>
  <c r="E293" i="2" s="1"/>
  <c r="G293" i="2" l="1"/>
  <c r="F293" i="2"/>
  <c r="H293" i="2" l="1"/>
  <c r="I293" i="2" s="1"/>
  <c r="D294" i="2" l="1"/>
  <c r="E294" i="2" s="1"/>
  <c r="F294" i="2" l="1"/>
  <c r="G294" i="2"/>
  <c r="H294" i="2" l="1"/>
  <c r="I294" i="2" s="1"/>
  <c r="D295" i="2" l="1"/>
  <c r="E295" i="2" s="1"/>
  <c r="G295" i="2" l="1"/>
  <c r="H295" i="2" s="1"/>
  <c r="I295" i="2" s="1"/>
  <c r="F295" i="2"/>
  <c r="D296" i="2" l="1"/>
  <c r="E296" i="2" s="1"/>
  <c r="F296" i="2" l="1"/>
  <c r="G296" i="2"/>
  <c r="H296" i="2" l="1"/>
  <c r="I296" i="2" s="1"/>
  <c r="D297" i="2" l="1"/>
  <c r="E297" i="2" s="1"/>
  <c r="G297" i="2" l="1"/>
  <c r="H297" i="2" s="1"/>
  <c r="I297" i="2" s="1"/>
  <c r="F297" i="2"/>
  <c r="D298" i="2" l="1"/>
  <c r="E298" i="2" s="1"/>
  <c r="G298" i="2" l="1"/>
  <c r="H298" i="2" s="1"/>
  <c r="I298" i="2" s="1"/>
  <c r="F298" i="2"/>
  <c r="D299" i="2" l="1"/>
  <c r="E299" i="2" s="1"/>
  <c r="G299" i="2" l="1"/>
  <c r="F299" i="2"/>
  <c r="H299" i="2" l="1"/>
  <c r="I299" i="2" s="1"/>
  <c r="D300" i="2" l="1"/>
  <c r="E300" i="2" s="1"/>
  <c r="G300" i="2" l="1"/>
  <c r="F300" i="2"/>
  <c r="H300" i="2" l="1"/>
  <c r="I300" i="2" s="1"/>
  <c r="D301" i="2" l="1"/>
  <c r="E301" i="2" s="1"/>
  <c r="G301" i="2" l="1"/>
  <c r="F301" i="2"/>
  <c r="H301" i="2" l="1"/>
  <c r="I301" i="2" s="1"/>
  <c r="D302" i="2" l="1"/>
  <c r="E302" i="2" s="1"/>
  <c r="G302" i="2" l="1"/>
  <c r="F302" i="2"/>
  <c r="H302" i="2" l="1"/>
  <c r="I302" i="2" s="1"/>
  <c r="D303" i="2" l="1"/>
  <c r="E303" i="2" s="1"/>
  <c r="G303" i="2" l="1"/>
  <c r="F303" i="2"/>
  <c r="H303" i="2"/>
  <c r="I303" i="2" s="1"/>
  <c r="D304" i="2" l="1"/>
  <c r="E304" i="2" s="1"/>
  <c r="G304" i="2" l="1"/>
  <c r="H304" i="2"/>
  <c r="I304" i="2" s="1"/>
  <c r="F304" i="2"/>
  <c r="D305" i="2" l="1"/>
  <c r="E305" i="2" s="1"/>
  <c r="F305" i="2" l="1"/>
  <c r="G305" i="2"/>
  <c r="H305" i="2" l="1"/>
  <c r="I305" i="2" s="1"/>
  <c r="D306" i="2" l="1"/>
  <c r="E306" i="2" s="1"/>
  <c r="G306" i="2" l="1"/>
  <c r="F306" i="2"/>
  <c r="H306" i="2" l="1"/>
  <c r="I306" i="2" s="1"/>
  <c r="D307" i="2" l="1"/>
  <c r="E307" i="2" s="1"/>
  <c r="G307" i="2" l="1"/>
  <c r="H307" i="2" s="1"/>
  <c r="I307" i="2" s="1"/>
  <c r="F307" i="2"/>
  <c r="D308" i="2" l="1"/>
  <c r="E308" i="2" s="1"/>
  <c r="G308" i="2" l="1"/>
  <c r="F308" i="2"/>
  <c r="H308" i="2" l="1"/>
  <c r="I308" i="2" s="1"/>
  <c r="D309" i="2" l="1"/>
  <c r="E309" i="2" s="1"/>
  <c r="G309" i="2" l="1"/>
  <c r="F309" i="2"/>
  <c r="H309" i="2" l="1"/>
  <c r="I309" i="2" s="1"/>
  <c r="D310" i="2" l="1"/>
  <c r="E310" i="2" s="1"/>
  <c r="G310" i="2" l="1"/>
  <c r="F310" i="2"/>
  <c r="H310" i="2" l="1"/>
  <c r="I310" i="2" s="1"/>
  <c r="D311" i="2" l="1"/>
  <c r="E311" i="2" s="1"/>
  <c r="G311" i="2" l="1"/>
  <c r="H311" i="2" s="1"/>
  <c r="I311" i="2" s="1"/>
  <c r="F311" i="2"/>
  <c r="D312" i="2" l="1"/>
  <c r="E312" i="2" s="1"/>
  <c r="G312" i="2" l="1"/>
  <c r="F312" i="2"/>
  <c r="H312" i="2" l="1"/>
  <c r="I312" i="2" s="1"/>
  <c r="D313" i="2" l="1"/>
  <c r="E313" i="2" s="1"/>
  <c r="G313" i="2" l="1"/>
  <c r="H313" i="2" s="1"/>
  <c r="I313" i="2" s="1"/>
  <c r="F313" i="2"/>
  <c r="D314" i="2" l="1"/>
  <c r="E314" i="2" s="1"/>
  <c r="G314" i="2" l="1"/>
  <c r="F314" i="2"/>
  <c r="H314" i="2"/>
  <c r="I314" i="2" s="1"/>
  <c r="D315" i="2" l="1"/>
  <c r="E315" i="2" s="1"/>
  <c r="G315" i="2" l="1"/>
  <c r="F315" i="2"/>
  <c r="H315" i="2" l="1"/>
  <c r="I315" i="2" s="1"/>
  <c r="D316" i="2" l="1"/>
  <c r="E316" i="2" s="1"/>
  <c r="G316" i="2" l="1"/>
  <c r="F316" i="2"/>
  <c r="H316" i="2" l="1"/>
  <c r="I316" i="2" s="1"/>
  <c r="D317" i="2" l="1"/>
  <c r="E317" i="2" s="1"/>
  <c r="F317" i="2" l="1"/>
  <c r="G317" i="2"/>
  <c r="H317" i="2" s="1"/>
  <c r="I317" i="2" s="1"/>
  <c r="D318" i="2" l="1"/>
  <c r="E318" i="2" s="1"/>
  <c r="G318" i="2" l="1"/>
  <c r="H318" i="2" s="1"/>
  <c r="I318" i="2" s="1"/>
  <c r="F318" i="2" l="1"/>
  <c r="D319" i="2" l="1"/>
  <c r="E319" i="2" s="1"/>
  <c r="G319" i="2" l="1"/>
  <c r="F319" i="2"/>
  <c r="H319" i="2" l="1"/>
  <c r="I319" i="2" s="1"/>
  <c r="D320" i="2" l="1"/>
  <c r="E320" i="2" s="1"/>
  <c r="F320" i="2" l="1"/>
  <c r="G320" i="2"/>
  <c r="H320" i="2" l="1"/>
  <c r="I320" i="2" l="1"/>
  <c r="D321" i="2" s="1"/>
  <c r="E321" i="2" s="1"/>
  <c r="G321" i="2" l="1"/>
  <c r="H321" i="2" s="1"/>
  <c r="I321" i="2" s="1"/>
  <c r="F321" i="2"/>
  <c r="D322" i="2" l="1"/>
  <c r="E322" i="2" s="1"/>
  <c r="G322" i="2" l="1"/>
  <c r="H322" i="2"/>
  <c r="I322" i="2" s="1"/>
  <c r="F322" i="2"/>
  <c r="D323" i="2" l="1"/>
  <c r="E323" i="2" s="1"/>
  <c r="F323" i="2" l="1"/>
  <c r="G323" i="2"/>
  <c r="H323" i="2" l="1"/>
  <c r="I323" i="2" s="1"/>
  <c r="D324" i="2" l="1"/>
  <c r="E324" i="2" s="1"/>
  <c r="G324" i="2" l="1"/>
  <c r="F324" i="2"/>
  <c r="H324" i="2" l="1"/>
  <c r="I324" i="2" s="1"/>
  <c r="D325" i="2" l="1"/>
  <c r="E325" i="2" s="1"/>
  <c r="G325" i="2" l="1"/>
  <c r="F325" i="2"/>
  <c r="H325" i="2" l="1"/>
  <c r="I325" i="2" s="1"/>
  <c r="D326" i="2" l="1"/>
  <c r="E326" i="2" s="1"/>
  <c r="G326" i="2" l="1"/>
  <c r="F326" i="2"/>
  <c r="H326" i="2" l="1"/>
  <c r="I326" i="2" s="1"/>
  <c r="D327" i="2" l="1"/>
  <c r="E327" i="2" s="1"/>
  <c r="G327" i="2" l="1"/>
  <c r="F327" i="2"/>
  <c r="H327" i="2" l="1"/>
  <c r="I327" i="2" s="1"/>
  <c r="D328" i="2" l="1"/>
  <c r="E328" i="2" s="1"/>
  <c r="G328" i="2" l="1"/>
  <c r="H328" i="2" s="1"/>
  <c r="I328" i="2" s="1"/>
  <c r="F328" i="2"/>
  <c r="D329" i="2" l="1"/>
  <c r="E329" i="2" s="1"/>
  <c r="G329" i="2" l="1"/>
  <c r="F329" i="2"/>
  <c r="H329" i="2" l="1"/>
  <c r="I329" i="2" s="1"/>
  <c r="D330" i="2" l="1"/>
  <c r="E330" i="2" s="1"/>
  <c r="G330" i="2" l="1"/>
  <c r="H330" i="2" s="1"/>
  <c r="I330" i="2" s="1"/>
  <c r="F330" i="2"/>
  <c r="D331" i="2" l="1"/>
  <c r="E331" i="2" s="1"/>
  <c r="G331" i="2" l="1"/>
  <c r="F331" i="2"/>
  <c r="H331" i="2" l="1"/>
  <c r="I331" i="2" s="1"/>
  <c r="D332" i="2" l="1"/>
  <c r="E332" i="2" s="1"/>
  <c r="G332" i="2" l="1"/>
  <c r="F332" i="2"/>
  <c r="H332" i="2" l="1"/>
  <c r="I332" i="2" s="1"/>
  <c r="D333" i="2" l="1"/>
  <c r="E333" i="2" s="1"/>
  <c r="G333" i="2" l="1"/>
  <c r="F333" i="2"/>
  <c r="H333" i="2" l="1"/>
  <c r="I333" i="2" s="1"/>
  <c r="D334" i="2" l="1"/>
  <c r="E334" i="2" s="1"/>
  <c r="G334" i="2" l="1"/>
  <c r="F334" i="2"/>
  <c r="H334" i="2" l="1"/>
  <c r="I334" i="2" s="1"/>
  <c r="D335" i="2" l="1"/>
  <c r="E335" i="2" s="1"/>
  <c r="G335" i="2" l="1"/>
  <c r="H335" i="2"/>
  <c r="I335" i="2" s="1"/>
  <c r="F335" i="2"/>
  <c r="D336" i="2" l="1"/>
  <c r="E336" i="2" s="1"/>
  <c r="G336" i="2" l="1"/>
  <c r="F336" i="2"/>
  <c r="H336" i="2" l="1"/>
  <c r="I336" i="2" s="1"/>
  <c r="D337" i="2" l="1"/>
  <c r="E337" i="2" s="1"/>
  <c r="G337" i="2" l="1"/>
  <c r="F337" i="2"/>
  <c r="H337" i="2" l="1"/>
  <c r="I337" i="2" s="1"/>
  <c r="D338" i="2" l="1"/>
  <c r="E338" i="2" s="1"/>
  <c r="G338" i="2" l="1"/>
  <c r="F338" i="2"/>
  <c r="H338" i="2" l="1"/>
  <c r="I338" i="2" s="1"/>
  <c r="D339" i="2" l="1"/>
  <c r="E339" i="2" s="1"/>
  <c r="G339" i="2" l="1"/>
  <c r="H339" i="2"/>
  <c r="I339" i="2" s="1"/>
  <c r="F339" i="2"/>
  <c r="D340" i="2" l="1"/>
  <c r="E340" i="2" s="1"/>
  <c r="G340" i="2" l="1"/>
  <c r="F340" i="2"/>
  <c r="H340" i="2"/>
  <c r="I340" i="2" s="1"/>
  <c r="D341" i="2" l="1"/>
  <c r="E341" i="2" s="1"/>
  <c r="G341" i="2" l="1"/>
  <c r="F341" i="2"/>
  <c r="H341" i="2" l="1"/>
  <c r="I341" i="2" s="1"/>
  <c r="D342" i="2" l="1"/>
  <c r="E342" i="2" s="1"/>
  <c r="F342" i="2" l="1"/>
  <c r="G342" i="2"/>
  <c r="H342" i="2" s="1"/>
  <c r="I342" i="2" s="1"/>
  <c r="D343" i="2" l="1"/>
  <c r="E343" i="2" s="1"/>
  <c r="G343" i="2" l="1"/>
  <c r="F343" i="2"/>
  <c r="H343" i="2"/>
  <c r="I343" i="2" s="1"/>
  <c r="D344" i="2" l="1"/>
  <c r="E344" i="2" s="1"/>
  <c r="F344" i="2" l="1"/>
  <c r="G344" i="2"/>
  <c r="H344" i="2" l="1"/>
  <c r="I344" i="2" s="1"/>
  <c r="D345" i="2" l="1"/>
  <c r="E345" i="2" s="1"/>
  <c r="G345" i="2" l="1"/>
  <c r="F345" i="2"/>
  <c r="H345" i="2" l="1"/>
  <c r="I345" i="2" s="1"/>
  <c r="D346" i="2" l="1"/>
  <c r="E346" i="2" s="1"/>
  <c r="G346" i="2" l="1"/>
  <c r="F346" i="2"/>
  <c r="H346" i="2"/>
  <c r="I346" i="2" s="1"/>
  <c r="D347" i="2" l="1"/>
  <c r="E347" i="2" s="1"/>
  <c r="G347" i="2" l="1"/>
  <c r="H347" i="2" s="1"/>
  <c r="I347" i="2" s="1"/>
  <c r="F347" i="2"/>
  <c r="D348" i="2" l="1"/>
  <c r="E348" i="2" s="1"/>
  <c r="G348" i="2" l="1"/>
  <c r="F348" i="2"/>
  <c r="H348" i="2" l="1"/>
  <c r="I348" i="2" s="1"/>
  <c r="D349" i="2" l="1"/>
  <c r="E349" i="2" s="1"/>
  <c r="F349" i="2" l="1"/>
  <c r="G349" i="2"/>
  <c r="H349" i="2" l="1"/>
  <c r="I349" i="2" s="1"/>
  <c r="D350" i="2" l="1"/>
  <c r="E350" i="2" s="1"/>
  <c r="G350" i="2" l="1"/>
  <c r="F350" i="2"/>
  <c r="H350" i="2" l="1"/>
  <c r="I350" i="2" s="1"/>
  <c r="D351" i="2" l="1"/>
  <c r="E351" i="2" s="1"/>
  <c r="G351" i="2" l="1"/>
  <c r="F351" i="2"/>
  <c r="H351" i="2"/>
  <c r="I351" i="2" s="1"/>
  <c r="D352" i="2" l="1"/>
  <c r="E352" i="2" s="1"/>
  <c r="G352" i="2" l="1"/>
  <c r="F352" i="2"/>
  <c r="H352" i="2" l="1"/>
  <c r="I352" i="2" s="1"/>
  <c r="D353" i="2" l="1"/>
  <c r="E353" i="2" s="1"/>
  <c r="G353" i="2" l="1"/>
  <c r="F353" i="2"/>
  <c r="H353" i="2" l="1"/>
  <c r="I353" i="2" s="1"/>
  <c r="D354" i="2" l="1"/>
  <c r="E354" i="2" s="1"/>
  <c r="G354" i="2" l="1"/>
  <c r="F354" i="2"/>
  <c r="H354" i="2"/>
  <c r="I354" i="2" s="1"/>
  <c r="D355" i="2" l="1"/>
  <c r="E355" i="2" s="1"/>
  <c r="G355" i="2" l="1"/>
  <c r="F355" i="2"/>
  <c r="H355" i="2" l="1"/>
  <c r="I355" i="2" s="1"/>
  <c r="D356" i="2" l="1"/>
  <c r="E356" i="2" s="1"/>
  <c r="G356" i="2" l="1"/>
  <c r="F356" i="2"/>
  <c r="H356" i="2" l="1"/>
  <c r="I356" i="2" s="1"/>
  <c r="D357" i="2" l="1"/>
  <c r="E357" i="2" s="1"/>
  <c r="G357" i="2" l="1"/>
  <c r="F357" i="2"/>
  <c r="H357" i="2" l="1"/>
  <c r="I357" i="2" l="1"/>
  <c r="D358" i="2" s="1"/>
  <c r="E358" i="2" s="1"/>
  <c r="G358" i="2" l="1"/>
  <c r="H358" i="2" s="1"/>
  <c r="I358" i="2" s="1"/>
  <c r="D359" i="2" s="1"/>
  <c r="E359" i="2" s="1"/>
  <c r="F358" i="2"/>
  <c r="G359" i="2" l="1"/>
  <c r="H359" i="2" s="1"/>
  <c r="I359" i="2" s="1"/>
  <c r="F359" i="2" l="1"/>
  <c r="D360" i="2"/>
  <c r="E360" i="2" s="1"/>
  <c r="G360" i="2" l="1"/>
  <c r="F360" i="2"/>
  <c r="H360" i="2" l="1"/>
  <c r="I360" i="2" l="1"/>
  <c r="D361" i="2" s="1"/>
  <c r="E361" i="2" s="1"/>
  <c r="G361" i="2" l="1"/>
  <c r="H361" i="2" s="1"/>
  <c r="F361" i="2"/>
  <c r="I361" i="2" l="1"/>
  <c r="D362" i="2" s="1"/>
  <c r="E362" i="2" s="1"/>
  <c r="G362" i="2" l="1"/>
  <c r="H362" i="2" s="1"/>
  <c r="F362" i="2"/>
  <c r="I362" i="2" l="1"/>
  <c r="F28" i="1"/>
</calcChain>
</file>

<file path=xl/sharedStrings.xml><?xml version="1.0" encoding="utf-8"?>
<sst xmlns="http://schemas.openxmlformats.org/spreadsheetml/2006/main" count="73" uniqueCount="73">
  <si>
    <t>Property Name</t>
  </si>
  <si>
    <t>Property Type</t>
  </si>
  <si>
    <t>Units</t>
  </si>
  <si>
    <t>Year Built</t>
  </si>
  <si>
    <t>Occupancy rate</t>
  </si>
  <si>
    <t>Market</t>
  </si>
  <si>
    <t>Average Unit Side</t>
  </si>
  <si>
    <t>Test Property 1</t>
  </si>
  <si>
    <t>Garden Style Multifamily</t>
  </si>
  <si>
    <t>Secondary metro, growing pop</t>
  </si>
  <si>
    <t>900 Sq Ft</t>
  </si>
  <si>
    <t>Income Assumptions</t>
  </si>
  <si>
    <t>Property Overview</t>
  </si>
  <si>
    <t>Average In-place rent</t>
  </si>
  <si>
    <t>Market Rent</t>
  </si>
  <si>
    <t>Economic Vacancy</t>
  </si>
  <si>
    <t>Annual rent growth</t>
  </si>
  <si>
    <t>Other income (as a % of gross potential rent)</t>
  </si>
  <si>
    <t>Operating Expenses</t>
  </si>
  <si>
    <t>Reparis &amp; maintenance</t>
  </si>
  <si>
    <t>payroll &amp; admin</t>
  </si>
  <si>
    <t>Utilities</t>
  </si>
  <si>
    <t>management fee</t>
  </si>
  <si>
    <t>insurance</t>
  </si>
  <si>
    <t>replacement reserves</t>
  </si>
  <si>
    <t>As a % of EGI</t>
  </si>
  <si>
    <t>Property taxes (as a % of purchase price)</t>
  </si>
  <si>
    <t>$ Per unit per year</t>
  </si>
  <si>
    <t>Acquisition assumptions</t>
  </si>
  <si>
    <t>Purchase Price</t>
  </si>
  <si>
    <t>Cap Rate (in Place)</t>
  </si>
  <si>
    <t>Closing costs</t>
  </si>
  <si>
    <t>up-front CapEx</t>
  </si>
  <si>
    <t>Exit Cap Rate</t>
  </si>
  <si>
    <t>Holding Period</t>
  </si>
  <si>
    <t>Sales Costs</t>
  </si>
  <si>
    <t>10 years</t>
  </si>
  <si>
    <t>Per Unit</t>
  </si>
  <si>
    <t>Debt Terms</t>
  </si>
  <si>
    <t>Minimum DSCR</t>
  </si>
  <si>
    <t>Maximum LTV</t>
  </si>
  <si>
    <t>Minimum Debt Yield</t>
  </si>
  <si>
    <t>Property DSCR</t>
  </si>
  <si>
    <t>Property LTV</t>
  </si>
  <si>
    <t>Property Debt Yield</t>
  </si>
  <si>
    <t>month</t>
  </si>
  <si>
    <t>PMT</t>
  </si>
  <si>
    <t>After pmt mortgage amount</t>
  </si>
  <si>
    <t>Interest amount</t>
  </si>
  <si>
    <t>Amount Paid on top of interest</t>
  </si>
  <si>
    <t>Interest Rate (annual)</t>
  </si>
  <si>
    <t>Principal paid</t>
  </si>
  <si>
    <t>Fixed or Adjustable rate</t>
  </si>
  <si>
    <t>FRM</t>
  </si>
  <si>
    <t>ARM Mode Enabled?</t>
  </si>
  <si>
    <t>Green = Yes             Red = No</t>
  </si>
  <si>
    <t>Rate Adjustments</t>
  </si>
  <si>
    <t>Month of adjustment</t>
  </si>
  <si>
    <t>New annual rate</t>
  </si>
  <si>
    <t>ARM Adjustment check</t>
  </si>
  <si>
    <t>Interest rate</t>
  </si>
  <si>
    <t>Amortization Length</t>
  </si>
  <si>
    <t>Loan Length</t>
  </si>
  <si>
    <t>Beginning Balance</t>
  </si>
  <si>
    <t>End of Month Balance</t>
  </si>
  <si>
    <t>Balloon at end of mortgage</t>
  </si>
  <si>
    <t>Check if balloon exists</t>
  </si>
  <si>
    <t>Model Limitations</t>
  </si>
  <si>
    <t>Amortization can not be shorter than loan length or monthly payments will be inaccurate</t>
  </si>
  <si>
    <t>Custom Inputs</t>
  </si>
  <si>
    <t>Custom Loan Length</t>
  </si>
  <si>
    <t>Custom Amortization Period</t>
  </si>
  <si>
    <t>Balloon Payment does not work with ARM due to calculation relying on starting interest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</si>
</sst>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7" formatCode="0.00&quot;x&quot;"/>
    <numFmt numFmtId="168" formatCode="0&quot; Years&quot;"/>
    <numFmt numFmtId="170" formatCode="0&quot; Year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4">
    <xf numFmtId="0" fontId="0" fillId="0" borderId="0" xfId="0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/>
    <xf numFmtId="10" fontId="0" fillId="0" borderId="0" xfId="0" applyNumberFormat="1"/>
    <xf numFmtId="0" fontId="0" fillId="3" borderId="2" xfId="0" applyFill="1" applyBorder="1" applyAlignment="1">
      <alignment horizontal="center"/>
    </xf>
    <xf numFmtId="9" fontId="0" fillId="3" borderId="3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9" fontId="0" fillId="3" borderId="8" xfId="0" applyNumberFormat="1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9" fontId="0" fillId="3" borderId="9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9" fontId="0" fillId="2" borderId="3" xfId="0" applyNumberFormat="1" applyFill="1" applyBorder="1" applyAlignment="1">
      <alignment horizontal="center"/>
    </xf>
    <xf numFmtId="10" fontId="0" fillId="3" borderId="9" xfId="0" applyNumberForma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0" fontId="0" fillId="4" borderId="8" xfId="2" applyNumberFormat="1" applyFont="1" applyFill="1" applyBorder="1" applyAlignment="1">
      <alignment horizontal="center"/>
    </xf>
    <xf numFmtId="10" fontId="0" fillId="4" borderId="3" xfId="2" applyNumberFormat="1" applyFont="1" applyFill="1" applyBorder="1" applyAlignment="1">
      <alignment horizontal="center"/>
    </xf>
    <xf numFmtId="10" fontId="0" fillId="4" borderId="8" xfId="2" applyNumberFormat="1" applyFont="1" applyFill="1" applyBorder="1" applyAlignment="1">
      <alignment horizontal="center"/>
    </xf>
    <xf numFmtId="10" fontId="0" fillId="4" borderId="9" xfId="2" applyNumberFormat="1" applyFont="1" applyFill="1" applyBorder="1" applyAlignment="1">
      <alignment horizontal="center"/>
    </xf>
    <xf numFmtId="44" fontId="0" fillId="3" borderId="8" xfId="1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44" fontId="0" fillId="4" borderId="8" xfId="1" applyFont="1" applyFill="1" applyBorder="1" applyAlignment="1">
      <alignment horizontal="center"/>
    </xf>
    <xf numFmtId="44" fontId="0" fillId="4" borderId="4" xfId="1" applyFont="1" applyFill="1" applyBorder="1" applyAlignment="1">
      <alignment horizontal="center"/>
    </xf>
    <xf numFmtId="44" fontId="0" fillId="4" borderId="9" xfId="1" applyFont="1" applyFill="1" applyBorder="1" applyAlignment="1">
      <alignment horizontal="center"/>
    </xf>
    <xf numFmtId="44" fontId="0" fillId="4" borderId="9" xfId="1" applyFont="1" applyFill="1" applyBorder="1" applyAlignment="1">
      <alignment horizontal="center"/>
    </xf>
    <xf numFmtId="44" fontId="0" fillId="0" borderId="0" xfId="1" applyFont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44" fontId="0" fillId="5" borderId="8" xfId="1" applyFont="1" applyFill="1" applyBorder="1"/>
    <xf numFmtId="10" fontId="0" fillId="5" borderId="4" xfId="0" applyNumberFormat="1" applyFill="1" applyBorder="1"/>
    <xf numFmtId="0" fontId="0" fillId="5" borderId="4" xfId="0" applyFill="1" applyBorder="1"/>
    <xf numFmtId="9" fontId="0" fillId="5" borderId="9" xfId="0" applyNumberFormat="1" applyFill="1" applyBorder="1"/>
    <xf numFmtId="0" fontId="0" fillId="5" borderId="2" xfId="0" applyFill="1" applyBorder="1"/>
    <xf numFmtId="10" fontId="0" fillId="5" borderId="3" xfId="0" applyNumberFormat="1" applyFill="1" applyBorder="1"/>
    <xf numFmtId="44" fontId="0" fillId="5" borderId="3" xfId="1" applyFont="1" applyFill="1" applyBorder="1"/>
    <xf numFmtId="0" fontId="0" fillId="5" borderId="3" xfId="0" applyFill="1" applyBorder="1"/>
    <xf numFmtId="10" fontId="0" fillId="0" borderId="0" xfId="2" applyNumberFormat="1" applyFont="1"/>
    <xf numFmtId="167" fontId="0" fillId="0" borderId="0" xfId="2" applyNumberFormat="1" applyFont="1"/>
    <xf numFmtId="44" fontId="0" fillId="0" borderId="0" xfId="1" applyFont="1" applyFill="1"/>
    <xf numFmtId="8" fontId="0" fillId="0" borderId="0" xfId="0" applyNumberFormat="1"/>
    <xf numFmtId="44" fontId="0" fillId="0" borderId="0" xfId="0" applyNumberFormat="1"/>
    <xf numFmtId="168" fontId="0" fillId="0" borderId="0" xfId="0" applyNumberFormat="1"/>
    <xf numFmtId="170" fontId="0" fillId="0" borderId="0" xfId="0" applyNumberFormat="1"/>
    <xf numFmtId="0" fontId="0" fillId="0" borderId="0" xfId="0" applyAlignment="1">
      <alignment horizontal="center" wrapText="1"/>
    </xf>
    <xf numFmtId="0" fontId="0" fillId="0" borderId="10" xfId="0" applyBorder="1"/>
    <xf numFmtId="0" fontId="0" fillId="0" borderId="11" xfId="0" applyBorder="1"/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0" fillId="0" borderId="0" xfId="0" applyNumberFormat="1"/>
    <xf numFmtId="1" fontId="0" fillId="0" borderId="5" xfId="0" applyNumberFormat="1" applyBorder="1"/>
    <xf numFmtId="1" fontId="0" fillId="0" borderId="10" xfId="0" applyNumberFormat="1" applyBorder="1"/>
    <xf numFmtId="1" fontId="0" fillId="0" borderId="8" xfId="0" applyNumberFormat="1" applyBorder="1"/>
    <xf numFmtId="10" fontId="0" fillId="0" borderId="7" xfId="2" applyNumberFormat="1" applyFont="1" applyBorder="1"/>
    <xf numFmtId="10" fontId="0" fillId="0" borderId="11" xfId="2" applyNumberFormat="1" applyFont="1" applyBorder="1"/>
    <xf numFmtId="10" fontId="0" fillId="0" borderId="9" xfId="2" applyNumberFormat="1" applyFont="1" applyBorder="1"/>
    <xf numFmtId="44" fontId="0" fillId="0" borderId="0" xfId="0" applyNumberFormat="1" applyAlignment="1">
      <alignment horizontal="center"/>
    </xf>
    <xf numFmtId="0" fontId="0" fillId="6" borderId="5" xfId="0" applyFill="1" applyBorder="1"/>
    <xf numFmtId="0" fontId="0" fillId="6" borderId="7" xfId="0" applyFill="1" applyBorder="1"/>
    <xf numFmtId="0" fontId="0" fillId="6" borderId="1" xfId="0" applyFill="1" applyBorder="1"/>
  </cellXfs>
  <cellStyles count="3">
    <cellStyle name="Currency" xfId="1" builtinId="4"/>
    <cellStyle name="Normal" xfId="0" builtinId="0"/>
    <cellStyle name="Percent" xfId="2" builtinId="5"/>
  </cellStyles>
  <dxfs count="2"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38"/>
  <sheetViews>
    <sheetView tabSelected="1" workbookViewId="0">
      <selection activeCell="B39" sqref="B39"/>
    </sheetView>
  </sheetViews>
  <sheetFormatPr defaultColWidth="9.28515625" defaultRowHeight="15" x14ac:dyDescent="0.25"/>
  <cols>
    <col min="2" max="2" width="20.28515625" bestFit="1" customWidth="1"/>
    <col min="3" max="3" width="23.42578125" bestFit="1" customWidth="1"/>
    <col min="4" max="4" width="20.5703125" bestFit="1" customWidth="1"/>
    <col min="5" max="5" width="19.42578125" bestFit="1" customWidth="1"/>
    <col min="6" max="6" width="18.7109375" customWidth="1"/>
    <col min="7" max="7" width="18.28515625" customWidth="1"/>
    <col min="8" max="8" width="18.42578125" bestFit="1" customWidth="1"/>
    <col min="9" max="9" width="16.85546875" bestFit="1" customWidth="1"/>
    <col min="10" max="10" width="6" customWidth="1"/>
    <col min="11" max="11" width="1.42578125" customWidth="1"/>
    <col min="14" max="14" width="20" bestFit="1" customWidth="1"/>
    <col min="15" max="15" width="22.140625" bestFit="1" customWidth="1"/>
    <col min="21" max="21" width="26.5703125" bestFit="1" customWidth="1"/>
    <col min="22" max="22" width="13.85546875" bestFit="1" customWidth="1"/>
  </cols>
  <sheetData>
    <row r="1" spans="2:22" ht="23.25" x14ac:dyDescent="0.35">
      <c r="B1" s="2" t="s">
        <v>12</v>
      </c>
      <c r="C1" s="2"/>
    </row>
    <row r="2" spans="2:22" x14ac:dyDescent="0.25"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25" t="s">
        <v>5</v>
      </c>
      <c r="H2" s="26"/>
      <c r="I2" s="8" t="s">
        <v>6</v>
      </c>
      <c r="U2" s="71"/>
      <c r="V2" s="72" t="s">
        <v>69</v>
      </c>
    </row>
    <row r="3" spans="2:22" x14ac:dyDescent="0.25">
      <c r="B3" s="9" t="s">
        <v>7</v>
      </c>
      <c r="C3" s="9" t="s">
        <v>8</v>
      </c>
      <c r="D3" s="9">
        <v>96</v>
      </c>
      <c r="E3" s="9">
        <v>1998</v>
      </c>
      <c r="F3" s="17">
        <v>0.93</v>
      </c>
      <c r="G3" s="27" t="s">
        <v>9</v>
      </c>
      <c r="H3" s="28"/>
      <c r="I3" s="9" t="s">
        <v>10</v>
      </c>
      <c r="U3" s="73" t="s">
        <v>70</v>
      </c>
      <c r="V3" s="73">
        <v>22</v>
      </c>
    </row>
    <row r="4" spans="2:22" x14ac:dyDescent="0.25">
      <c r="U4" s="73" t="s">
        <v>71</v>
      </c>
      <c r="V4" s="73">
        <v>25</v>
      </c>
    </row>
    <row r="6" spans="2:22" ht="23.25" x14ac:dyDescent="0.35">
      <c r="B6" s="1" t="s">
        <v>11</v>
      </c>
      <c r="C6" s="1"/>
    </row>
    <row r="7" spans="2:22" x14ac:dyDescent="0.25">
      <c r="B7" s="23" t="s">
        <v>13</v>
      </c>
      <c r="C7" s="23" t="s">
        <v>14</v>
      </c>
      <c r="D7" s="6" t="s">
        <v>15</v>
      </c>
      <c r="E7" s="10" t="s">
        <v>17</v>
      </c>
      <c r="F7" s="11"/>
      <c r="G7" s="14"/>
      <c r="H7" s="24" t="s">
        <v>16</v>
      </c>
    </row>
    <row r="8" spans="2:22" x14ac:dyDescent="0.25">
      <c r="B8" s="33">
        <v>1425</v>
      </c>
      <c r="C8" s="33">
        <v>1500</v>
      </c>
      <c r="D8" s="7">
        <v>7.0000000000000007E-2</v>
      </c>
      <c r="E8" s="12">
        <v>0.03</v>
      </c>
      <c r="F8" s="13"/>
      <c r="G8" s="15"/>
      <c r="H8" s="18">
        <v>2.75E-2</v>
      </c>
    </row>
    <row r="10" spans="2:22" ht="23.25" x14ac:dyDescent="0.35">
      <c r="B10" s="1" t="s">
        <v>18</v>
      </c>
      <c r="C10" s="1"/>
      <c r="D10" t="s">
        <v>25</v>
      </c>
      <c r="H10" t="s">
        <v>27</v>
      </c>
      <c r="Q10" s="3" t="s">
        <v>54</v>
      </c>
      <c r="R10" s="3"/>
    </row>
    <row r="11" spans="2:22" x14ac:dyDescent="0.25">
      <c r="B11" s="21" t="s">
        <v>19</v>
      </c>
      <c r="C11" s="16" t="s">
        <v>20</v>
      </c>
      <c r="D11" s="16" t="s">
        <v>21</v>
      </c>
      <c r="E11" s="16" t="s">
        <v>22</v>
      </c>
      <c r="F11" s="19" t="s">
        <v>26</v>
      </c>
      <c r="G11" s="20"/>
      <c r="H11" s="22" t="s">
        <v>23</v>
      </c>
      <c r="I11" s="19" t="s">
        <v>24</v>
      </c>
      <c r="J11" s="34"/>
      <c r="K11" s="20"/>
    </row>
    <row r="12" spans="2:22" ht="18.75" x14ac:dyDescent="0.3">
      <c r="B12" s="29">
        <v>0.06</v>
      </c>
      <c r="C12" s="30">
        <v>0.05</v>
      </c>
      <c r="D12" s="30">
        <v>7.4999999999999997E-2</v>
      </c>
      <c r="E12" s="30">
        <v>0.05</v>
      </c>
      <c r="F12" s="31">
        <v>1.2500000000000001E-2</v>
      </c>
      <c r="G12" s="32"/>
      <c r="H12" s="38">
        <v>425</v>
      </c>
      <c r="I12" s="35">
        <v>300</v>
      </c>
      <c r="J12" s="36"/>
      <c r="K12" s="37"/>
      <c r="N12" s="62" t="s">
        <v>56</v>
      </c>
      <c r="O12" s="61"/>
      <c r="Q12" s="58" t="s">
        <v>55</v>
      </c>
      <c r="R12" s="58"/>
    </row>
    <row r="13" spans="2:22" x14ac:dyDescent="0.25">
      <c r="N13" s="59" t="s">
        <v>57</v>
      </c>
      <c r="O13" s="60" t="s">
        <v>58</v>
      </c>
      <c r="Q13" s="58"/>
      <c r="R13" s="58"/>
    </row>
    <row r="14" spans="2:22" x14ac:dyDescent="0.25">
      <c r="N14" s="64">
        <v>7</v>
      </c>
      <c r="O14" s="67">
        <v>0.01</v>
      </c>
    </row>
    <row r="15" spans="2:22" ht="23.25" x14ac:dyDescent="0.35">
      <c r="B15" s="1" t="s">
        <v>28</v>
      </c>
      <c r="C15" s="1"/>
      <c r="E15" t="s">
        <v>37</v>
      </c>
      <c r="N15" s="65">
        <v>12</v>
      </c>
      <c r="O15" s="68">
        <v>6.0999999999999999E-2</v>
      </c>
    </row>
    <row r="16" spans="2:22" x14ac:dyDescent="0.25">
      <c r="B16" s="40" t="s">
        <v>29</v>
      </c>
      <c r="C16" s="47" t="s">
        <v>30</v>
      </c>
      <c r="D16" s="41" t="s">
        <v>31</v>
      </c>
      <c r="E16" s="47" t="s">
        <v>32</v>
      </c>
      <c r="F16" s="41" t="s">
        <v>33</v>
      </c>
      <c r="G16" s="47" t="s">
        <v>34</v>
      </c>
      <c r="H16" s="42" t="s">
        <v>35</v>
      </c>
      <c r="N16" s="65"/>
      <c r="O16" s="68"/>
    </row>
    <row r="17" spans="2:15" x14ac:dyDescent="0.25">
      <c r="B17" s="43">
        <v>16800000</v>
      </c>
      <c r="C17" s="48">
        <v>5.8999999999999997E-2</v>
      </c>
      <c r="D17" s="44">
        <v>2.2499999999999999E-2</v>
      </c>
      <c r="E17" s="49">
        <v>6500</v>
      </c>
      <c r="F17" s="45">
        <v>6.75</v>
      </c>
      <c r="G17" s="50" t="s">
        <v>36</v>
      </c>
      <c r="H17" s="46">
        <v>0.02</v>
      </c>
      <c r="N17" s="65"/>
      <c r="O17" s="68"/>
    </row>
    <row r="18" spans="2:15" ht="15" customHeight="1" x14ac:dyDescent="0.25">
      <c r="N18" s="65"/>
      <c r="O18" s="68"/>
    </row>
    <row r="19" spans="2:15" x14ac:dyDescent="0.25">
      <c r="N19" s="65"/>
      <c r="O19" s="68"/>
    </row>
    <row r="20" spans="2:15" x14ac:dyDescent="0.25">
      <c r="N20" s="65"/>
      <c r="O20" s="68"/>
    </row>
    <row r="21" spans="2:15" x14ac:dyDescent="0.25">
      <c r="N21" s="65"/>
      <c r="O21" s="68"/>
    </row>
    <row r="22" spans="2:15" x14ac:dyDescent="0.25">
      <c r="N22" s="65"/>
      <c r="O22" s="68"/>
    </row>
    <row r="23" spans="2:15" x14ac:dyDescent="0.25">
      <c r="B23" t="s">
        <v>38</v>
      </c>
      <c r="N23" s="65"/>
      <c r="O23" s="68"/>
    </row>
    <row r="24" spans="2:15" x14ac:dyDescent="0.25">
      <c r="B24" t="s">
        <v>62</v>
      </c>
      <c r="C24" t="s">
        <v>52</v>
      </c>
      <c r="D24" t="s">
        <v>50</v>
      </c>
      <c r="E24" t="s">
        <v>61</v>
      </c>
      <c r="N24" s="65"/>
      <c r="O24" s="68"/>
    </row>
    <row r="25" spans="2:15" x14ac:dyDescent="0.25">
      <c r="B25" s="57">
        <v>15</v>
      </c>
      <c r="C25" t="s">
        <v>53</v>
      </c>
      <c r="D25" s="51">
        <v>6.3500000000000001E-2</v>
      </c>
      <c r="E25" s="56">
        <v>30</v>
      </c>
      <c r="N25" s="65"/>
      <c r="O25" s="68"/>
    </row>
    <row r="26" spans="2:15" x14ac:dyDescent="0.25">
      <c r="N26" s="66"/>
      <c r="O26" s="69"/>
    </row>
    <row r="27" spans="2:15" x14ac:dyDescent="0.25">
      <c r="B27" t="s">
        <v>39</v>
      </c>
      <c r="C27" t="s">
        <v>40</v>
      </c>
      <c r="D27" t="s">
        <v>41</v>
      </c>
      <c r="F27" s="3" t="s">
        <v>65</v>
      </c>
      <c r="G27" s="3"/>
    </row>
    <row r="28" spans="2:15" x14ac:dyDescent="0.25">
      <c r="B28" s="52">
        <v>1.25</v>
      </c>
      <c r="C28" s="4">
        <v>0.65</v>
      </c>
      <c r="D28" s="5">
        <v>8.7499999999999994E-2</v>
      </c>
      <c r="F28" s="70">
        <f>'Debt calculations'!M10</f>
        <v>0</v>
      </c>
      <c r="G28" s="70"/>
    </row>
    <row r="30" spans="2:15" x14ac:dyDescent="0.25">
      <c r="B30" t="s">
        <v>42</v>
      </c>
      <c r="C30" t="s">
        <v>43</v>
      </c>
      <c r="D30" t="s">
        <v>44</v>
      </c>
    </row>
    <row r="36" spans="2:2" x14ac:dyDescent="0.25">
      <c r="B36" t="s">
        <v>67</v>
      </c>
    </row>
    <row r="37" spans="2:2" x14ac:dyDescent="0.25">
      <c r="B37" t="s">
        <v>68</v>
      </c>
    </row>
    <row r="38" spans="2:2" x14ac:dyDescent="0.25">
      <c r="B38" t="s">
        <v>72</v>
      </c>
    </row>
  </sheetData>
  <mergeCells count="17">
    <mergeCell ref="F28:G28"/>
    <mergeCell ref="B15:C15"/>
    <mergeCell ref="Q10:R10"/>
    <mergeCell ref="Q12:R13"/>
    <mergeCell ref="N12:O12"/>
    <mergeCell ref="F27:G27"/>
    <mergeCell ref="B10:C10"/>
    <mergeCell ref="F11:G11"/>
    <mergeCell ref="F12:G12"/>
    <mergeCell ref="I11:K11"/>
    <mergeCell ref="I12:K12"/>
    <mergeCell ref="B1:C1"/>
    <mergeCell ref="B6:C6"/>
    <mergeCell ref="E7:G7"/>
    <mergeCell ref="E8:G8"/>
    <mergeCell ref="G2:H2"/>
    <mergeCell ref="G3:H3"/>
  </mergeCells>
  <conditionalFormatting sqref="Q14:R14">
    <cfRule type="expression" dxfId="1" priority="1">
      <formula>$C$25="FRM"</formula>
    </cfRule>
    <cfRule type="expression" dxfId="0" priority="2">
      <formula>$C$25="ARM"</formula>
    </cfRule>
  </conditionalFormatting>
  <dataValidations count="3">
    <dataValidation type="list" allowBlank="1" showInputMessage="1" showErrorMessage="1" sqref="B25" xr:uid="{FC357456-91AA-4689-964F-E414C0D83E6B}">
      <formula1>"10, 15 , 30,=$V$3"</formula1>
    </dataValidation>
    <dataValidation type="list" allowBlank="1" showInputMessage="1" showErrorMessage="1" sqref="E25" xr:uid="{C450F64E-19C8-4B41-BC06-ED748FE2B506}">
      <formula1>"10, 15, 30,=$V$4"</formula1>
    </dataValidation>
    <dataValidation type="list" allowBlank="1" showInputMessage="1" showErrorMessage="1" sqref="C25" xr:uid="{232904E2-56E0-44B0-93A5-1257433B68E3}">
      <formula1>"FRM,ARM"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65845-2EF4-4A19-A1C1-3026C1087859}">
  <dimension ref="A2:M362"/>
  <sheetViews>
    <sheetView workbookViewId="0">
      <selection activeCell="M10" sqref="M10"/>
    </sheetView>
  </sheetViews>
  <sheetFormatPr defaultRowHeight="15" x14ac:dyDescent="0.25"/>
  <cols>
    <col min="1" max="1" width="8.140625" customWidth="1"/>
    <col min="4" max="4" width="17.5703125" bestFit="1" customWidth="1"/>
    <col min="5" max="5" width="14.7109375" customWidth="1"/>
    <col min="6" max="6" width="26.28515625" bestFit="1" customWidth="1"/>
    <col min="7" max="7" width="15.42578125" bestFit="1" customWidth="1"/>
    <col min="8" max="8" width="29.7109375" customWidth="1"/>
    <col min="9" max="9" width="29.7109375" bestFit="1" customWidth="1"/>
    <col min="10" max="10" width="28.85546875" bestFit="1" customWidth="1"/>
    <col min="12" max="12" width="21.7109375" bestFit="1" customWidth="1"/>
    <col min="13" max="13" width="15.28515625" bestFit="1" customWidth="1"/>
  </cols>
  <sheetData>
    <row r="2" spans="1:13" x14ac:dyDescent="0.25">
      <c r="A2" t="s">
        <v>59</v>
      </c>
      <c r="B2" t="s">
        <v>60</v>
      </c>
      <c r="C2" t="s">
        <v>45</v>
      </c>
      <c r="D2" t="s">
        <v>63</v>
      </c>
      <c r="E2" t="s">
        <v>46</v>
      </c>
      <c r="F2" t="s">
        <v>47</v>
      </c>
      <c r="G2" t="s">
        <v>48</v>
      </c>
      <c r="H2" t="s">
        <v>51</v>
      </c>
      <c r="I2" t="s">
        <v>64</v>
      </c>
      <c r="J2" t="s">
        <v>49</v>
      </c>
    </row>
    <row r="3" spans="1:13" x14ac:dyDescent="0.25">
      <c r="A3" t="b">
        <f>IF(('Input Data'!$C$25)="FRM", FALSE, ISNUMBER(MATCH(C3,'Input Data'!$N$14:$N$26,0)))</f>
        <v>0</v>
      </c>
      <c r="B3" s="5">
        <f>'Input Data'!$D$25</f>
        <v>6.3500000000000001E-2</v>
      </c>
      <c r="C3" s="63">
        <v>1</v>
      </c>
      <c r="D3" s="53">
        <f>'Input Data'!B17-'Input Data'!E17</f>
        <v>16793500</v>
      </c>
      <c r="E3" s="54">
        <f>IF(D3&gt;0,IF(AND(C3='Input Data'!$B$25*12,'Input Data'!$E$25&gt;'Input Data'!$B$25),D3+D3*B3/12,-PMT(B3/12,'Input Data'!$E$25*12,D3,IF(AND(C3='Input Data'!$E$25*12,'Input Data'!$E$25&lt;'Input Data'!$B$25),D3,0))),0)</f>
        <v>104495.15319547101</v>
      </c>
      <c r="F3" s="55">
        <f>D3-E3</f>
        <v>16689004.846804529</v>
      </c>
      <c r="G3" s="55">
        <f>ROUND(D3*B3/12,2)</f>
        <v>88865.600000000006</v>
      </c>
      <c r="H3" s="54">
        <f>MIN(E3-G3,D3)</f>
        <v>15629.553195471002</v>
      </c>
      <c r="I3" s="55">
        <f>IF(ROUND(D3-H3,2)=0,0,D3-H3)</f>
        <v>16777870.446804527</v>
      </c>
    </row>
    <row r="4" spans="1:13" x14ac:dyDescent="0.25">
      <c r="A4" t="b">
        <f>IF(('Input Data'!$C$25)="FRM", FALSE, ISNUMBER(MATCH(C4,'Input Data'!$N$14:$N$26,0)))</f>
        <v>0</v>
      </c>
      <c r="B4" s="51">
        <f>IF($A4, _xlfn.XLOOKUP(C4,'Input Data'!$N$13:$N$25,'Input Data'!$O$13:$O$25),$B3)</f>
        <v>6.3500000000000001E-2</v>
      </c>
      <c r="C4" s="63">
        <f>C3+1</f>
        <v>2</v>
      </c>
      <c r="D4" s="55">
        <f>IF(I3&gt;0,I3-J3,0)</f>
        <v>16777870.446804527</v>
      </c>
      <c r="E4" s="54">
        <f>IF(D4&gt;0,IF(AND(C4='Input Data'!$B$25*12,'Input Data'!$E$25&gt;'Input Data'!$B$25),D4+D4*B4/12,-PMT(B4/12,'Input Data'!$E$25*12,D4,IF(AND(C4='Input Data'!$E$25*12,'Input Data'!$E$25&lt;'Input Data'!$B$25),D4,0))),0)</f>
        <v>104397.90053488579</v>
      </c>
      <c r="F4" s="55">
        <f>D4-E4</f>
        <v>16673472.546269642</v>
      </c>
      <c r="G4" s="55">
        <f t="shared" ref="G4:G67" si="0">ROUND(D4*B4/12,2)</f>
        <v>88782.9</v>
      </c>
      <c r="H4" s="54">
        <f>MIN(E4-G4,D4)</f>
        <v>15615.000534885796</v>
      </c>
      <c r="I4" s="55">
        <f t="shared" ref="I4:I67" si="1">IF(ROUND(D4-H4,2)=0,0,D4-H4)</f>
        <v>16762255.446269641</v>
      </c>
    </row>
    <row r="5" spans="1:13" x14ac:dyDescent="0.25">
      <c r="A5" t="b">
        <f>IF(('Input Data'!$C$25)="FRM", FALSE, ISNUMBER(MATCH(C5,'Input Data'!$N$14:$N$26,0)))</f>
        <v>0</v>
      </c>
      <c r="B5" s="51">
        <f>IF($A5, _xlfn.XLOOKUP(C5,'Input Data'!$N$13:$N$25,'Input Data'!$O$13:$O$25),$B4)</f>
        <v>6.3500000000000001E-2</v>
      </c>
      <c r="C5" s="63">
        <f t="shared" ref="C5:C68" si="2">C4+1</f>
        <v>3</v>
      </c>
      <c r="D5" s="55">
        <f>IF(I4&gt;0,I4-J4,0)</f>
        <v>16762255.446269641</v>
      </c>
      <c r="E5" s="54">
        <f>IF(D5&gt;0,IF(AND(C5='Input Data'!$B$25*12,'Input Data'!$E$25&gt;'Input Data'!$B$25),D5+D5*B5/12,-PMT(B5/12,'Input Data'!$E$25*12,D5,IF(AND(C5='Input Data'!$E$25*12,'Input Data'!$E$25&lt;'Input Data'!$B$25),D5,0))),0)</f>
        <v>104300.73842615086</v>
      </c>
      <c r="F5" s="55">
        <f>D5-E5</f>
        <v>16657954.70784349</v>
      </c>
      <c r="G5" s="55">
        <f t="shared" si="0"/>
        <v>88700.27</v>
      </c>
      <c r="H5" s="54">
        <f>MIN(E5-G5,D5)</f>
        <v>15600.468426150852</v>
      </c>
      <c r="I5" s="55">
        <f t="shared" si="1"/>
        <v>16746654.977843489</v>
      </c>
    </row>
    <row r="6" spans="1:13" x14ac:dyDescent="0.25">
      <c r="A6" t="b">
        <f>IF(('Input Data'!$C$25)="FRM", FALSE, ISNUMBER(MATCH(C6,'Input Data'!$N$14:$N$26,0)))</f>
        <v>0</v>
      </c>
      <c r="B6" s="51">
        <f>IF($A6, _xlfn.XLOOKUP(C6,'Input Data'!$N$13:$N$25,'Input Data'!$O$13:$O$25),$B5)</f>
        <v>6.3500000000000001E-2</v>
      </c>
      <c r="C6" s="63">
        <f t="shared" si="2"/>
        <v>4</v>
      </c>
      <c r="D6" s="55">
        <f>IF(I5&gt;0,I5-J5,0)</f>
        <v>16746654.977843489</v>
      </c>
      <c r="E6" s="54">
        <f>IF(D6&gt;0,IF(AND(C6='Input Data'!$B$25*12,'Input Data'!$E$25&gt;'Input Data'!$B$25),D6+D6*B6/12,-PMT(B6/12,'Input Data'!$E$25*12,D6,IF(AND(C6='Input Data'!$E$25*12,'Input Data'!$E$25&lt;'Input Data'!$B$25),D6,0))),0)</f>
        <v>104203.6667413852</v>
      </c>
      <c r="F6" s="55">
        <f>D6-E6</f>
        <v>16642451.311102103</v>
      </c>
      <c r="G6" s="55">
        <f t="shared" si="0"/>
        <v>88617.72</v>
      </c>
      <c r="H6" s="54">
        <f>MIN(E6-G6,D6)</f>
        <v>15585.946741385196</v>
      </c>
      <c r="I6" s="55">
        <f t="shared" si="1"/>
        <v>16731069.031102104</v>
      </c>
    </row>
    <row r="7" spans="1:13" x14ac:dyDescent="0.25">
      <c r="A7" t="b">
        <f>IF(('Input Data'!$C$25)="FRM", FALSE, ISNUMBER(MATCH(C7,'Input Data'!$N$14:$N$26,0)))</f>
        <v>0</v>
      </c>
      <c r="B7" s="51">
        <f>IF($A7, _xlfn.XLOOKUP(C7,'Input Data'!$N$13:$N$25,'Input Data'!$O$13:$O$25),$B6)</f>
        <v>6.3500000000000001E-2</v>
      </c>
      <c r="C7" s="63">
        <f>C6+1</f>
        <v>5</v>
      </c>
      <c r="D7" s="55">
        <f t="shared" ref="D5:D68" si="3">IF(I6&gt;0,I6-J6,0)</f>
        <v>16731069.031102104</v>
      </c>
      <c r="E7" s="54">
        <f>IF(D7&gt;0,IF(AND(C7='Input Data'!$B$25*12,'Input Data'!$E$25&gt;'Input Data'!$B$25),D7+D7*B7/12,-PMT(B7/12,'Input Data'!$E$25*12,D7,IF(AND(C7='Input Data'!$E$25*12,'Input Data'!$E$25&lt;'Input Data'!$B$25),D7,0))),0)</f>
        <v>104106.68541572722</v>
      </c>
      <c r="F7" s="55">
        <f>D7-E7</f>
        <v>16626962.345686376</v>
      </c>
      <c r="G7" s="55">
        <f t="shared" si="0"/>
        <v>88535.24</v>
      </c>
      <c r="H7" s="54">
        <f>MIN(E7-G7,D7)</f>
        <v>15571.445415727212</v>
      </c>
      <c r="I7" s="55">
        <f t="shared" si="1"/>
        <v>16715497.585686376</v>
      </c>
    </row>
    <row r="8" spans="1:13" x14ac:dyDescent="0.25">
      <c r="A8" t="b">
        <f>IF(('Input Data'!$C$25)="FRM", FALSE, ISNUMBER(MATCH(C8,'Input Data'!$N$14:$N$26,0)))</f>
        <v>0</v>
      </c>
      <c r="B8" s="51">
        <f>IF($A8, _xlfn.XLOOKUP(C8,'Input Data'!$N$13:$N$25,'Input Data'!$O$13:$O$25),$B7)</f>
        <v>6.3500000000000001E-2</v>
      </c>
      <c r="C8" s="63">
        <f t="shared" si="2"/>
        <v>6</v>
      </c>
      <c r="D8" s="55">
        <f t="shared" si="3"/>
        <v>16715497.585686376</v>
      </c>
      <c r="E8" s="54">
        <f>IF(D8&gt;0,IF(AND(C8='Input Data'!$B$25*12,'Input Data'!$E$25&gt;'Input Data'!$B$25),D8+D8*B8/12,-PMT(B8/12,'Input Data'!$E$25*12,D8,IF(AND(C8='Input Data'!$E$25*12,'Input Data'!$E$25&lt;'Input Data'!$B$25),D8,0))),0)</f>
        <v>104009.79432249522</v>
      </c>
      <c r="F8" s="55">
        <f>D8-E8</f>
        <v>16611487.791363882</v>
      </c>
      <c r="G8" s="55">
        <f t="shared" si="0"/>
        <v>88452.84</v>
      </c>
      <c r="H8" s="54">
        <f>MIN(E8-G8,D8)</f>
        <v>15556.954322495221</v>
      </c>
      <c r="I8" s="55">
        <f t="shared" si="1"/>
        <v>16699940.631363882</v>
      </c>
      <c r="M8" s="39"/>
    </row>
    <row r="9" spans="1:13" x14ac:dyDescent="0.25">
      <c r="A9" t="b">
        <f>IF(('Input Data'!$C$25)="FRM", FALSE, ISNUMBER(MATCH(C9,'Input Data'!$N$14:$N$26,0)))</f>
        <v>0</v>
      </c>
      <c r="B9" s="51">
        <f>IF($A9, _xlfn.XLOOKUP(C9,'Input Data'!$N$13:$N$25,'Input Data'!$O$13:$O$25),$B8)</f>
        <v>6.3500000000000001E-2</v>
      </c>
      <c r="C9" s="63">
        <f t="shared" si="2"/>
        <v>7</v>
      </c>
      <c r="D9" s="55">
        <f t="shared" si="3"/>
        <v>16699940.631363882</v>
      </c>
      <c r="E9" s="54">
        <f>IF(D9&gt;0,IF(AND(C9='Input Data'!$B$25*12,'Input Data'!$E$25&gt;'Input Data'!$B$25),D9+D9*B9/12,-PMT(B9/12,'Input Data'!$E$25*12,D9,IF(AND(C9='Input Data'!$E$25*12,'Input Data'!$E$25&lt;'Input Data'!$B$25),D9,0))),0)</f>
        <v>103912.99339801943</v>
      </c>
      <c r="F9" s="55">
        <f>D9-E9</f>
        <v>16596027.637965862</v>
      </c>
      <c r="G9" s="55">
        <f t="shared" si="0"/>
        <v>88370.52</v>
      </c>
      <c r="H9" s="54">
        <f>MIN(E9-G9,D9)</f>
        <v>15542.473398019429</v>
      </c>
      <c r="I9" s="55">
        <f t="shared" si="1"/>
        <v>16684398.157965863</v>
      </c>
      <c r="M9" s="54"/>
    </row>
    <row r="10" spans="1:13" x14ac:dyDescent="0.25">
      <c r="A10" t="b">
        <f>IF(('Input Data'!$C$25)="FRM", FALSE, ISNUMBER(MATCH(C10,'Input Data'!$N$14:$N$26,0)))</f>
        <v>0</v>
      </c>
      <c r="B10" s="51">
        <f>IF($A10, _xlfn.XLOOKUP(C10,'Input Data'!$N$13:$N$25,'Input Data'!$O$13:$O$25),$B9)</f>
        <v>6.3500000000000001E-2</v>
      </c>
      <c r="C10" s="63">
        <f t="shared" si="2"/>
        <v>8</v>
      </c>
      <c r="D10" s="55">
        <f t="shared" si="3"/>
        <v>16684398.157965863</v>
      </c>
      <c r="E10" s="54">
        <f>IF(D10&gt;0,IF(AND(C10='Input Data'!$B$25*12,'Input Data'!$E$25&gt;'Input Data'!$B$25),D10+D10*B10/12,-PMT(B10/12,'Input Data'!$E$25*12,D10,IF(AND(C10='Input Data'!$E$25*12,'Input Data'!$E$25&lt;'Input Data'!$B$25),D10,0))),0)</f>
        <v>103816.28257902623</v>
      </c>
      <c r="F10" s="55">
        <f>D10-E10</f>
        <v>16580581.875386836</v>
      </c>
      <c r="G10" s="55">
        <f t="shared" si="0"/>
        <v>88288.27</v>
      </c>
      <c r="H10" s="54">
        <f>MIN(E10-G10,D10)</f>
        <v>15528.012579026225</v>
      </c>
      <c r="I10" s="55">
        <f t="shared" si="1"/>
        <v>16668870.145386837</v>
      </c>
      <c r="L10" t="s">
        <v>66</v>
      </c>
      <c r="M10" s="39">
        <f>IFERROR(IF('Input Data'!$E$25&gt;'Input Data'!$B$25, FV('Input Data'!$B3/12,'Input Data'!$B$25*12,-PMT('Input Data'!$B3/12,'Input Data'!$E$25*12,'Input Data'!$D$3)),0),0)</f>
        <v>0</v>
      </c>
    </row>
    <row r="11" spans="1:13" x14ac:dyDescent="0.25">
      <c r="A11" t="b">
        <f>IF(('Input Data'!$C$25)="FRM", FALSE, ISNUMBER(MATCH(C11,'Input Data'!$N$14:$N$26,0)))</f>
        <v>0</v>
      </c>
      <c r="B11" s="51">
        <f>IF($A11, _xlfn.XLOOKUP(C11,'Input Data'!$N$13:$N$25,'Input Data'!$O$13:$O$25),$B10)</f>
        <v>6.3500000000000001E-2</v>
      </c>
      <c r="C11" s="63">
        <f t="shared" si="2"/>
        <v>9</v>
      </c>
      <c r="D11" s="55">
        <f t="shared" si="3"/>
        <v>16668870.145386837</v>
      </c>
      <c r="E11" s="54">
        <f>IF(D11&gt;0,IF(AND(C11='Input Data'!$B$25*12,'Input Data'!$E$25&gt;'Input Data'!$B$25),D11+D11*B11/12,-PMT(B11/12,'Input Data'!$E$25*12,D11,IF(AND(C11='Input Data'!$E$25*12,'Input Data'!$E$25&lt;'Input Data'!$B$25),D11,0))),0)</f>
        <v>103719.66174041209</v>
      </c>
      <c r="F11" s="55">
        <f>D11-E11</f>
        <v>16565150.483646424</v>
      </c>
      <c r="G11" s="55">
        <f t="shared" si="0"/>
        <v>88206.1</v>
      </c>
      <c r="H11" s="54">
        <f>MIN(E11-G11,D11)</f>
        <v>15513.561740412086</v>
      </c>
      <c r="I11" s="55">
        <f t="shared" si="1"/>
        <v>16653356.583646426</v>
      </c>
    </row>
    <row r="12" spans="1:13" x14ac:dyDescent="0.25">
      <c r="A12" t="b">
        <f>IF(('Input Data'!$C$25)="FRM", FALSE, ISNUMBER(MATCH(C12,'Input Data'!$N$14:$N$26,0)))</f>
        <v>0</v>
      </c>
      <c r="B12" s="51">
        <f>IF($A12, _xlfn.XLOOKUP(C12,'Input Data'!$N$13:$N$25,'Input Data'!$O$13:$O$25),$B11)</f>
        <v>6.3500000000000001E-2</v>
      </c>
      <c r="C12" s="63">
        <f t="shared" si="2"/>
        <v>10</v>
      </c>
      <c r="D12" s="55">
        <f t="shared" si="3"/>
        <v>16653356.583646426</v>
      </c>
      <c r="E12" s="54">
        <f>IF(D12&gt;0,IF(AND(C12='Input Data'!$B$25*12,'Input Data'!$E$25&gt;'Input Data'!$B$25),D12+D12*B12/12,-PMT(B12/12,'Input Data'!$E$25*12,D12,IF(AND(C12='Input Data'!$E$25*12,'Input Data'!$E$25&lt;'Input Data'!$B$25),D12,0))),0)</f>
        <v>103623.13082007556</v>
      </c>
      <c r="F12" s="55">
        <f>D12-E12</f>
        <v>16549733.452826351</v>
      </c>
      <c r="G12" s="55">
        <f t="shared" si="0"/>
        <v>88124.01</v>
      </c>
      <c r="H12" s="54">
        <f>MIN(E12-G12,D12)</f>
        <v>15499.120820075565</v>
      </c>
      <c r="I12" s="55">
        <f t="shared" si="1"/>
        <v>16637857.462826351</v>
      </c>
    </row>
    <row r="13" spans="1:13" x14ac:dyDescent="0.25">
      <c r="A13" t="b">
        <f>IF(('Input Data'!$C$25)="FRM", FALSE, ISNUMBER(MATCH(C13,'Input Data'!$N$14:$N$26,0)))</f>
        <v>0</v>
      </c>
      <c r="B13" s="51">
        <f>IF($A13, _xlfn.XLOOKUP(C13,'Input Data'!$N$13:$N$25,'Input Data'!$O$13:$O$25),$B12)</f>
        <v>6.3500000000000001E-2</v>
      </c>
      <c r="C13" s="63">
        <f t="shared" si="2"/>
        <v>11</v>
      </c>
      <c r="D13" s="55">
        <f t="shared" si="3"/>
        <v>16637857.462826351</v>
      </c>
      <c r="E13" s="54">
        <f>IF(D13&gt;0,IF(AND(C13='Input Data'!$B$25*12,'Input Data'!$E$25&gt;'Input Data'!$B$25),D13+D13*B13/12,-PMT(B13/12,'Input Data'!$E$25*12,D13,IF(AND(C13='Input Data'!$E$25*12,'Input Data'!$E$25&lt;'Input Data'!$B$25),D13,0))),0)</f>
        <v>103526.68975630154</v>
      </c>
      <c r="F13" s="55">
        <f>D13-E13</f>
        <v>16534330.773070049</v>
      </c>
      <c r="G13" s="55">
        <f t="shared" si="0"/>
        <v>88042</v>
      </c>
      <c r="H13" s="54">
        <f>MIN(E13-G13,D13)</f>
        <v>15484.689756301537</v>
      </c>
      <c r="I13" s="55">
        <f t="shared" si="1"/>
        <v>16622372.773070049</v>
      </c>
    </row>
    <row r="14" spans="1:13" x14ac:dyDescent="0.25">
      <c r="A14" t="b">
        <f>IF(('Input Data'!$C$25)="FRM", FALSE, ISNUMBER(MATCH(C14,'Input Data'!$N$14:$N$26,0)))</f>
        <v>0</v>
      </c>
      <c r="B14" s="51">
        <f>IF($A14, _xlfn.XLOOKUP(C14,'Input Data'!$N$13:$N$25,'Input Data'!$O$13:$O$25),$B13)</f>
        <v>6.3500000000000001E-2</v>
      </c>
      <c r="C14" s="63">
        <f t="shared" si="2"/>
        <v>12</v>
      </c>
      <c r="D14" s="55">
        <f t="shared" si="3"/>
        <v>16622372.773070049</v>
      </c>
      <c r="E14" s="54">
        <f>IF(D14&gt;0,IF(AND(C14='Input Data'!$B$25*12,'Input Data'!$E$25&gt;'Input Data'!$B$25),D14+D14*B14/12,-PMT(B14/12,'Input Data'!$E$25*12,D14,IF(AND(C14='Input Data'!$E$25*12,'Input Data'!$E$25&lt;'Input Data'!$B$25),D14,0))),0)</f>
        <v>103430.338487759</v>
      </c>
      <c r="F14" s="55">
        <f>D14-E14</f>
        <v>16518942.434582289</v>
      </c>
      <c r="G14" s="55">
        <f t="shared" si="0"/>
        <v>87960.06</v>
      </c>
      <c r="H14" s="54">
        <f>MIN(E14-G14,D14)</f>
        <v>15470.278487759002</v>
      </c>
      <c r="I14" s="55">
        <f t="shared" si="1"/>
        <v>16606902.49458229</v>
      </c>
    </row>
    <row r="15" spans="1:13" x14ac:dyDescent="0.25">
      <c r="A15" t="b">
        <f>IF(('Input Data'!$C$25)="FRM", FALSE, ISNUMBER(MATCH(C15,'Input Data'!$N$14:$N$26,0)))</f>
        <v>0</v>
      </c>
      <c r="B15" s="51">
        <f>IF($A15, _xlfn.XLOOKUP(C15,'Input Data'!$N$13:$N$25,'Input Data'!$O$13:$O$25),$B14)</f>
        <v>6.3500000000000001E-2</v>
      </c>
      <c r="C15" s="63">
        <f t="shared" si="2"/>
        <v>13</v>
      </c>
      <c r="D15" s="55">
        <f t="shared" si="3"/>
        <v>16606902.49458229</v>
      </c>
      <c r="E15" s="54">
        <f>IF(D15&gt;0,IF(AND(C15='Input Data'!$B$25*12,'Input Data'!$E$25&gt;'Input Data'!$B$25),D15+D15*B15/12,-PMT(B15/12,'Input Data'!$E$25*12,D15,IF(AND(C15='Input Data'!$E$25*12,'Input Data'!$E$25&lt;'Input Data'!$B$25),D15,0))),0)</f>
        <v>103334.07689127496</v>
      </c>
      <c r="F15" s="55">
        <f>D15-E15</f>
        <v>16503568.417691015</v>
      </c>
      <c r="G15" s="55">
        <f t="shared" si="0"/>
        <v>87878.19</v>
      </c>
      <c r="H15" s="54">
        <f>MIN(E15-G15,D15)</f>
        <v>15455.88689127496</v>
      </c>
      <c r="I15" s="55">
        <f t="shared" si="1"/>
        <v>16591446.607691014</v>
      </c>
    </row>
    <row r="16" spans="1:13" x14ac:dyDescent="0.25">
      <c r="A16" t="b">
        <f>IF(('Input Data'!$C$25)="FRM", FALSE, ISNUMBER(MATCH(C16,'Input Data'!$N$14:$N$26,0)))</f>
        <v>0</v>
      </c>
      <c r="B16" s="51">
        <f>IF($A16, _xlfn.XLOOKUP(C16,'Input Data'!$N$13:$N$25,'Input Data'!$O$13:$O$25),$B15)</f>
        <v>6.3500000000000001E-2</v>
      </c>
      <c r="C16" s="63">
        <f t="shared" si="2"/>
        <v>14</v>
      </c>
      <c r="D16" s="55">
        <f t="shared" si="3"/>
        <v>16591446.607691014</v>
      </c>
      <c r="E16" s="54">
        <f>IF(D16&gt;0,IF(AND(C16='Input Data'!$B$25*12,'Input Data'!$E$25&gt;'Input Data'!$B$25),D16+D16*B16/12,-PMT(B16/12,'Input Data'!$E$25*12,D16,IF(AND(C16='Input Data'!$E$25*12,'Input Data'!$E$25&lt;'Input Data'!$B$25),D16,0))),0)</f>
        <v>103237.9048444428</v>
      </c>
      <c r="F16" s="55">
        <f>D16-E16</f>
        <v>16488208.702846572</v>
      </c>
      <c r="G16" s="55">
        <f t="shared" si="0"/>
        <v>87796.4</v>
      </c>
      <c r="H16" s="54">
        <f>MIN(E16-G16,D16)</f>
        <v>15441.50484444281</v>
      </c>
      <c r="I16" s="55">
        <f t="shared" si="1"/>
        <v>16576005.102846572</v>
      </c>
    </row>
    <row r="17" spans="1:9" x14ac:dyDescent="0.25">
      <c r="A17" t="b">
        <f>IF(('Input Data'!$C$25)="FRM", FALSE, ISNUMBER(MATCH(C17,'Input Data'!$N$14:$N$26,0)))</f>
        <v>0</v>
      </c>
      <c r="B17" s="51">
        <f>IF($A17, _xlfn.XLOOKUP(C17,'Input Data'!$N$13:$N$25,'Input Data'!$O$13:$O$25),$B16)</f>
        <v>6.3500000000000001E-2</v>
      </c>
      <c r="C17" s="63">
        <f t="shared" si="2"/>
        <v>15</v>
      </c>
      <c r="D17" s="55">
        <f t="shared" si="3"/>
        <v>16576005.102846572</v>
      </c>
      <c r="E17" s="54">
        <f>IF(D17&gt;0,IF(AND(C17='Input Data'!$B$25*12,'Input Data'!$E$25&gt;'Input Data'!$B$25),D17+D17*B17/12,-PMT(B17/12,'Input Data'!$E$25*12,D17,IF(AND(C17='Input Data'!$E$25*12,'Input Data'!$E$25&lt;'Input Data'!$B$25),D17,0))),0)</f>
        <v>103141.82228784122</v>
      </c>
      <c r="F17" s="55">
        <f>D17-E17</f>
        <v>16472863.280558731</v>
      </c>
      <c r="G17" s="55">
        <f t="shared" si="0"/>
        <v>87714.69</v>
      </c>
      <c r="H17" s="54">
        <f>MIN(E17-G17,D17)</f>
        <v>15427.132287841217</v>
      </c>
      <c r="I17" s="55">
        <f t="shared" si="1"/>
        <v>16560577.970558731</v>
      </c>
    </row>
    <row r="18" spans="1:9" x14ac:dyDescent="0.25">
      <c r="A18" t="b">
        <f>IF(('Input Data'!$C$25)="FRM", FALSE, ISNUMBER(MATCH(C18,'Input Data'!$N$14:$N$26,0)))</f>
        <v>0</v>
      </c>
      <c r="B18" s="51">
        <f>IF($A18, _xlfn.XLOOKUP(C18,'Input Data'!$N$13:$N$25,'Input Data'!$O$13:$O$25),$B17)</f>
        <v>6.3500000000000001E-2</v>
      </c>
      <c r="C18" s="63">
        <f t="shared" si="2"/>
        <v>16</v>
      </c>
      <c r="D18" s="55">
        <f t="shared" si="3"/>
        <v>16560577.970558731</v>
      </c>
      <c r="E18" s="54">
        <f>IF(D18&gt;0,IF(AND(C18='Input Data'!$B$25*12,'Input Data'!$E$25&gt;'Input Data'!$B$25),D18+D18*B18/12,-PMT(B18/12,'Input Data'!$E$25*12,D18,IF(AND(C18='Input Data'!$E$25*12,'Input Data'!$E$25&lt;'Input Data'!$B$25),D18,0))),0)</f>
        <v>103045.82916241861</v>
      </c>
      <c r="F18" s="55">
        <f>D18-E18</f>
        <v>16457532.141396312</v>
      </c>
      <c r="G18" s="55">
        <f t="shared" si="0"/>
        <v>87633.06</v>
      </c>
      <c r="H18" s="54">
        <f>MIN(E18-G18,D18)</f>
        <v>15412.769162418612</v>
      </c>
      <c r="I18" s="55">
        <f t="shared" si="1"/>
        <v>16545165.201396313</v>
      </c>
    </row>
    <row r="19" spans="1:9" x14ac:dyDescent="0.25">
      <c r="A19" t="b">
        <f>IF(('Input Data'!$C$25)="FRM", FALSE, ISNUMBER(MATCH(C19,'Input Data'!$N$14:$N$26,0)))</f>
        <v>0</v>
      </c>
      <c r="B19" s="51">
        <f>IF($A19, _xlfn.XLOOKUP(C19,'Input Data'!$N$13:$N$25,'Input Data'!$O$13:$O$25),$B18)</f>
        <v>6.3500000000000001E-2</v>
      </c>
      <c r="C19" s="63">
        <f t="shared" si="2"/>
        <v>17</v>
      </c>
      <c r="D19" s="55">
        <f t="shared" si="3"/>
        <v>16545165.201396313</v>
      </c>
      <c r="E19" s="54">
        <f>IF(D19&gt;0,IF(AND(C19='Input Data'!$B$25*12,'Input Data'!$E$25&gt;'Input Data'!$B$25),D19+D19*B19/12,-PMT(B19/12,'Input Data'!$E$25*12,D19,IF(AND(C19='Input Data'!$E$25*12,'Input Data'!$E$25&lt;'Input Data'!$B$25),D19,0))),0)</f>
        <v>102949.92540949078</v>
      </c>
      <c r="F19" s="55">
        <f>D19-E19</f>
        <v>16442215.275986822</v>
      </c>
      <c r="G19" s="55">
        <f t="shared" si="0"/>
        <v>87551.5</v>
      </c>
      <c r="H19" s="54">
        <f>MIN(E19-G19,D19)</f>
        <v>15398.425409490781</v>
      </c>
      <c r="I19" s="55">
        <f t="shared" si="1"/>
        <v>16529766.775986822</v>
      </c>
    </row>
    <row r="20" spans="1:9" x14ac:dyDescent="0.25">
      <c r="A20" t="b">
        <f>IF(('Input Data'!$C$25)="FRM", FALSE, ISNUMBER(MATCH(C20,'Input Data'!$N$14:$N$26,0)))</f>
        <v>0</v>
      </c>
      <c r="B20" s="51">
        <f>IF($A20, _xlfn.XLOOKUP(C20,'Input Data'!$N$13:$N$25,'Input Data'!$O$13:$O$25),$B19)</f>
        <v>6.3500000000000001E-2</v>
      </c>
      <c r="C20" s="63">
        <f t="shared" si="2"/>
        <v>18</v>
      </c>
      <c r="D20" s="55">
        <f t="shared" si="3"/>
        <v>16529766.775986822</v>
      </c>
      <c r="E20" s="54">
        <f>IF(D20&gt;0,IF(AND(C20='Input Data'!$B$25*12,'Input Data'!$E$25&gt;'Input Data'!$B$25),D20+D20*B20/12,-PMT(B20/12,'Input Data'!$E$25*12,D20,IF(AND(C20='Input Data'!$E$25*12,'Input Data'!$E$25&lt;'Input Data'!$B$25),D20,0))),0)</f>
        <v>102854.11090851518</v>
      </c>
      <c r="F20" s="55">
        <f>D20-E20</f>
        <v>16426912.665078307</v>
      </c>
      <c r="G20" s="55">
        <f t="shared" si="0"/>
        <v>87470.02</v>
      </c>
      <c r="H20" s="54">
        <f>MIN(E20-G20,D20)</f>
        <v>15384.09090851518</v>
      </c>
      <c r="I20" s="55">
        <f t="shared" si="1"/>
        <v>16514382.685078308</v>
      </c>
    </row>
    <row r="21" spans="1:9" x14ac:dyDescent="0.25">
      <c r="A21" t="b">
        <f>IF(('Input Data'!$C$25)="FRM", FALSE, ISNUMBER(MATCH(C21,'Input Data'!$N$14:$N$26,0)))</f>
        <v>0</v>
      </c>
      <c r="B21" s="51">
        <f>IF($A21, _xlfn.XLOOKUP(C21,'Input Data'!$N$13:$N$25,'Input Data'!$O$13:$O$25),$B20)</f>
        <v>6.3500000000000001E-2</v>
      </c>
      <c r="C21" s="63">
        <f t="shared" si="2"/>
        <v>19</v>
      </c>
      <c r="D21" s="55">
        <f t="shared" si="3"/>
        <v>16514382.685078308</v>
      </c>
      <c r="E21" s="54">
        <f>IF(D21&gt;0,IF(AND(C21='Input Data'!$B$25*12,'Input Data'!$E$25&gt;'Input Data'!$B$25),D21+D21*B21/12,-PMT(B21/12,'Input Data'!$E$25*12,D21,IF(AND(C21='Input Data'!$E$25*12,'Input Data'!$E$25&lt;'Input Data'!$B$25),D21,0))),0)</f>
        <v>102758.38560192286</v>
      </c>
      <c r="F21" s="55">
        <f>D21-E21</f>
        <v>16411624.299476385</v>
      </c>
      <c r="G21" s="55">
        <f t="shared" si="0"/>
        <v>87388.61</v>
      </c>
      <c r="H21" s="54">
        <f>MIN(E21-G21,D21)</f>
        <v>15369.775601922855</v>
      </c>
      <c r="I21" s="55">
        <f t="shared" si="1"/>
        <v>16499012.909476385</v>
      </c>
    </row>
    <row r="22" spans="1:9" x14ac:dyDescent="0.25">
      <c r="A22" t="b">
        <f>IF(('Input Data'!$C$25)="FRM", FALSE, ISNUMBER(MATCH(C22,'Input Data'!$N$14:$N$26,0)))</f>
        <v>0</v>
      </c>
      <c r="B22" s="51">
        <f>IF($A22, _xlfn.XLOOKUP(C22,'Input Data'!$N$13:$N$25,'Input Data'!$O$13:$O$25),$B21)</f>
        <v>6.3500000000000001E-2</v>
      </c>
      <c r="C22" s="63">
        <f t="shared" si="2"/>
        <v>20</v>
      </c>
      <c r="D22" s="55">
        <f t="shared" si="3"/>
        <v>16499012.909476385</v>
      </c>
      <c r="E22" s="54">
        <f>IF(D22&gt;0,IF(AND(C22='Input Data'!$B$25*12,'Input Data'!$E$25&gt;'Input Data'!$B$25),D22+D22*B22/12,-PMT(B22/12,'Input Data'!$E$25*12,D22,IF(AND(C22='Input Data'!$E$25*12,'Input Data'!$E$25&lt;'Input Data'!$B$25),D22,0))),0)</f>
        <v>102662.74937027947</v>
      </c>
      <c r="F22" s="55">
        <f>D22-E22</f>
        <v>16396350.160106106</v>
      </c>
      <c r="G22" s="55">
        <f t="shared" si="0"/>
        <v>87307.28</v>
      </c>
      <c r="H22" s="54">
        <f>MIN(E22-G22,D22)</f>
        <v>15355.469370279476</v>
      </c>
      <c r="I22" s="55">
        <f t="shared" si="1"/>
        <v>16483657.440106105</v>
      </c>
    </row>
    <row r="23" spans="1:9" x14ac:dyDescent="0.25">
      <c r="A23" t="b">
        <f>IF(('Input Data'!$C$25)="FRM", FALSE, ISNUMBER(MATCH(C23,'Input Data'!$N$14:$N$26,0)))</f>
        <v>0</v>
      </c>
      <c r="B23" s="51">
        <f>IF($A23, _xlfn.XLOOKUP(C23,'Input Data'!$N$13:$N$25,'Input Data'!$O$13:$O$25),$B22)</f>
        <v>6.3500000000000001E-2</v>
      </c>
      <c r="C23" s="63">
        <f t="shared" si="2"/>
        <v>21</v>
      </c>
      <c r="D23" s="55">
        <f t="shared" si="3"/>
        <v>16483657.440106105</v>
      </c>
      <c r="E23" s="54">
        <f>IF(D23&gt;0,IF(AND(C23='Input Data'!$B$25*12,'Input Data'!$E$25&gt;'Input Data'!$B$25),D23+D23*B23/12,-PMT(B23/12,'Input Data'!$E$25*12,D23,IF(AND(C23='Input Data'!$E$25*12,'Input Data'!$E$25&lt;'Input Data'!$B$25),D23,0))),0)</f>
        <v>102567.20215711751</v>
      </c>
      <c r="F23" s="55">
        <f>D23-E23</f>
        <v>16381090.237948988</v>
      </c>
      <c r="G23" s="55">
        <f t="shared" si="0"/>
        <v>87226.02</v>
      </c>
      <c r="H23" s="54">
        <f>MIN(E23-G23,D23)</f>
        <v>15341.18215711751</v>
      </c>
      <c r="I23" s="55">
        <f t="shared" si="1"/>
        <v>16468316.257948987</v>
      </c>
    </row>
    <row r="24" spans="1:9" x14ac:dyDescent="0.25">
      <c r="A24" t="b">
        <f>IF(('Input Data'!$C$25)="FRM", FALSE, ISNUMBER(MATCH(C24,'Input Data'!$N$14:$N$26,0)))</f>
        <v>0</v>
      </c>
      <c r="B24" s="51">
        <f>IF($A24, _xlfn.XLOOKUP(C24,'Input Data'!$N$13:$N$25,'Input Data'!$O$13:$O$25),$B23)</f>
        <v>6.3500000000000001E-2</v>
      </c>
      <c r="C24" s="63">
        <f t="shared" si="2"/>
        <v>22</v>
      </c>
      <c r="D24" s="55">
        <f t="shared" si="3"/>
        <v>16468316.257948987</v>
      </c>
      <c r="E24" s="54">
        <f>IF(D24&gt;0,IF(AND(C24='Input Data'!$B$25*12,'Input Data'!$E$25&gt;'Input Data'!$B$25),D24+D24*B24/12,-PMT(B24/12,'Input Data'!$E$25*12,D24,IF(AND(C24='Input Data'!$E$25*12,'Input Data'!$E$25&lt;'Input Data'!$B$25),D24,0))),0)</f>
        <v>102471.74384409712</v>
      </c>
      <c r="F24" s="55">
        <f>D24-E24</f>
        <v>16365844.51410489</v>
      </c>
      <c r="G24" s="55">
        <f t="shared" si="0"/>
        <v>87144.84</v>
      </c>
      <c r="H24" s="54">
        <f>MIN(E24-G24,D24)</f>
        <v>15326.90384409712</v>
      </c>
      <c r="I24" s="55">
        <f t="shared" si="1"/>
        <v>16452989.35410489</v>
      </c>
    </row>
    <row r="25" spans="1:9" x14ac:dyDescent="0.25">
      <c r="A25" t="b">
        <f>IF(('Input Data'!$C$25)="FRM", FALSE, ISNUMBER(MATCH(C25,'Input Data'!$N$14:$N$26,0)))</f>
        <v>0</v>
      </c>
      <c r="B25" s="51">
        <f>IF($A25, _xlfn.XLOOKUP(C25,'Input Data'!$N$13:$N$25,'Input Data'!$O$13:$O$25),$B24)</f>
        <v>6.3500000000000001E-2</v>
      </c>
      <c r="C25" s="63">
        <f t="shared" si="2"/>
        <v>23</v>
      </c>
      <c r="D25" s="55">
        <f t="shared" si="3"/>
        <v>16452989.35410489</v>
      </c>
      <c r="E25" s="54">
        <f>IF(D25&gt;0,IF(AND(C25='Input Data'!$B$25*12,'Input Data'!$E$25&gt;'Input Data'!$B$25),D25+D25*B25/12,-PMT(B25/12,'Input Data'!$E$25*12,D25,IF(AND(C25='Input Data'!$E$25*12,'Input Data'!$E$25&lt;'Input Data'!$B$25),D25,0))),0)</f>
        <v>102376.37437583851</v>
      </c>
      <c r="F25" s="55">
        <f>D25-E25</f>
        <v>16350612.979729051</v>
      </c>
      <c r="G25" s="55">
        <f t="shared" si="0"/>
        <v>87063.74</v>
      </c>
      <c r="H25" s="54">
        <f>MIN(E25-G25,D25)</f>
        <v>15312.634375838505</v>
      </c>
      <c r="I25" s="55">
        <f t="shared" si="1"/>
        <v>16437676.719729051</v>
      </c>
    </row>
    <row r="26" spans="1:9" x14ac:dyDescent="0.25">
      <c r="A26" t="b">
        <f>IF(('Input Data'!$C$25)="FRM", FALSE, ISNUMBER(MATCH(C26,'Input Data'!$N$14:$N$26,0)))</f>
        <v>0</v>
      </c>
      <c r="B26" s="51">
        <f>IF($A26, _xlfn.XLOOKUP(C26,'Input Data'!$N$13:$N$25,'Input Data'!$O$13:$O$25),$B25)</f>
        <v>6.3500000000000001E-2</v>
      </c>
      <c r="C26" s="63">
        <f t="shared" si="2"/>
        <v>24</v>
      </c>
      <c r="D26" s="55">
        <f t="shared" si="3"/>
        <v>16437676.719729051</v>
      </c>
      <c r="E26" s="54">
        <f>IF(D26&gt;0,IF(AND(C26='Input Data'!$B$25*12,'Input Data'!$E$25&gt;'Input Data'!$B$25),D26+D26*B26/12,-PMT(B26/12,'Input Data'!$E$25*12,D26,IF(AND(C26='Input Data'!$E$25*12,'Input Data'!$E$25&lt;'Input Data'!$B$25),D26,0))),0)</f>
        <v>102281.09369730637</v>
      </c>
      <c r="F26" s="55">
        <f>D26-E26</f>
        <v>16335395.626031745</v>
      </c>
      <c r="G26" s="55">
        <f t="shared" si="0"/>
        <v>86982.71</v>
      </c>
      <c r="H26" s="54">
        <f>MIN(E26-G26,D26)</f>
        <v>15298.383697306359</v>
      </c>
      <c r="I26" s="55">
        <f t="shared" si="1"/>
        <v>16422378.336031744</v>
      </c>
    </row>
    <row r="27" spans="1:9" x14ac:dyDescent="0.25">
      <c r="A27" t="b">
        <f>IF(('Input Data'!$C$25)="FRM", FALSE, ISNUMBER(MATCH(C27,'Input Data'!$N$14:$N$26,0)))</f>
        <v>0</v>
      </c>
      <c r="B27" s="51">
        <f>IF($A27, _xlfn.XLOOKUP(C27,'Input Data'!$N$13:$N$25,'Input Data'!$O$13:$O$25),$B26)</f>
        <v>6.3500000000000001E-2</v>
      </c>
      <c r="C27" s="63">
        <f t="shared" si="2"/>
        <v>25</v>
      </c>
      <c r="D27" s="55">
        <f t="shared" si="3"/>
        <v>16422378.336031744</v>
      </c>
      <c r="E27" s="54">
        <f>IF(D27&gt;0,IF(AND(C27='Input Data'!$B$25*12,'Input Data'!$E$25&gt;'Input Data'!$B$25),D27+D27*B27/12,-PMT(B27/12,'Input Data'!$E$25*12,D27,IF(AND(C27='Input Data'!$E$25*12,'Input Data'!$E$25&lt;'Input Data'!$B$25),D27,0))),0)</f>
        <v>102185.90169158431</v>
      </c>
      <c r="F27" s="55">
        <f>D27-E27</f>
        <v>16320192.43434016</v>
      </c>
      <c r="G27" s="55">
        <f t="shared" si="0"/>
        <v>86901.75</v>
      </c>
      <c r="H27" s="54">
        <f>MIN(E27-G27,D27)</f>
        <v>15284.151691584309</v>
      </c>
      <c r="I27" s="55">
        <f t="shared" si="1"/>
        <v>16407094.18434016</v>
      </c>
    </row>
    <row r="28" spans="1:9" x14ac:dyDescent="0.25">
      <c r="A28" t="b">
        <f>IF(('Input Data'!$C$25)="FRM", FALSE, ISNUMBER(MATCH(C28,'Input Data'!$N$14:$N$26,0)))</f>
        <v>0</v>
      </c>
      <c r="B28" s="51">
        <f>IF($A28, _xlfn.XLOOKUP(C28,'Input Data'!$N$13:$N$25,'Input Data'!$O$13:$O$25),$B27)</f>
        <v>6.3500000000000001E-2</v>
      </c>
      <c r="C28" s="63">
        <f t="shared" si="2"/>
        <v>26</v>
      </c>
      <c r="D28" s="55">
        <f t="shared" si="3"/>
        <v>16407094.18434016</v>
      </c>
      <c r="E28" s="54">
        <f>IF(D28&gt;0,IF(AND(C28='Input Data'!$B$25*12,'Input Data'!$E$25&gt;'Input Data'!$B$25),D28+D28*B28/12,-PMT(B28/12,'Input Data'!$E$25*12,D28,IF(AND(C28='Input Data'!$E$25*12,'Input Data'!$E$25&lt;'Input Data'!$B$25),D28,0))),0)</f>
        <v>102090.79824248349</v>
      </c>
      <c r="F28" s="55">
        <f>D28-E28</f>
        <v>16305003.386097677</v>
      </c>
      <c r="G28" s="55">
        <f t="shared" si="0"/>
        <v>86820.87</v>
      </c>
      <c r="H28" s="54">
        <f>MIN(E28-G28,D28)</f>
        <v>15269.928242483496</v>
      </c>
      <c r="I28" s="55">
        <f t="shared" si="1"/>
        <v>16391824.256097676</v>
      </c>
    </row>
    <row r="29" spans="1:9" x14ac:dyDescent="0.25">
      <c r="A29" t="b">
        <f>IF(('Input Data'!$C$25)="FRM", FALSE, ISNUMBER(MATCH(C29,'Input Data'!$N$14:$N$26,0)))</f>
        <v>0</v>
      </c>
      <c r="B29" s="51">
        <f>IF($A29, _xlfn.XLOOKUP(C29,'Input Data'!$N$13:$N$25,'Input Data'!$O$13:$O$25),$B28)</f>
        <v>6.3500000000000001E-2</v>
      </c>
      <c r="C29" s="63">
        <f t="shared" si="2"/>
        <v>27</v>
      </c>
      <c r="D29" s="55">
        <f t="shared" si="3"/>
        <v>16391824.256097676</v>
      </c>
      <c r="E29" s="54">
        <f>IF(D29&gt;0,IF(AND(C29='Input Data'!$B$25*12,'Input Data'!$E$25&gt;'Input Data'!$B$25),D29+D29*B29/12,-PMT(B29/12,'Input Data'!$E$25*12,D29,IF(AND(C29='Input Data'!$E$25*12,'Input Data'!$E$25&lt;'Input Data'!$B$25),D29,0))),0)</f>
        <v>101995.7832967615</v>
      </c>
      <c r="F29" s="55">
        <f>D29-E29</f>
        <v>16289828.472800914</v>
      </c>
      <c r="G29" s="55">
        <f t="shared" si="0"/>
        <v>86740.07</v>
      </c>
      <c r="H29" s="54">
        <f>MIN(E29-G29,D29)</f>
        <v>15255.713296761489</v>
      </c>
      <c r="I29" s="55">
        <f t="shared" si="1"/>
        <v>16376568.542800914</v>
      </c>
    </row>
    <row r="30" spans="1:9" x14ac:dyDescent="0.25">
      <c r="A30" t="b">
        <f>IF(('Input Data'!$C$25)="FRM", FALSE, ISNUMBER(MATCH(C30,'Input Data'!$N$14:$N$26,0)))</f>
        <v>0</v>
      </c>
      <c r="B30" s="51">
        <f>IF($A30, _xlfn.XLOOKUP(C30,'Input Data'!$N$13:$N$25,'Input Data'!$O$13:$O$25),$B29)</f>
        <v>6.3500000000000001E-2</v>
      </c>
      <c r="C30" s="63">
        <f t="shared" si="2"/>
        <v>28</v>
      </c>
      <c r="D30" s="55">
        <f t="shared" si="3"/>
        <v>16376568.542800914</v>
      </c>
      <c r="E30" s="54">
        <f>IF(D30&gt;0,IF(AND(C30='Input Data'!$B$25*12,'Input Data'!$E$25&gt;'Input Data'!$B$25),D30+D30*B30/12,-PMT(B30/12,'Input Data'!$E$25*12,D30,IF(AND(C30='Input Data'!$E$25*12,'Input Data'!$E$25&lt;'Input Data'!$B$25),D30,0))),0)</f>
        <v>101900.8568015073</v>
      </c>
      <c r="F30" s="55">
        <f>D30-E30</f>
        <v>16274667.685999407</v>
      </c>
      <c r="G30" s="55">
        <f t="shared" si="0"/>
        <v>86659.34</v>
      </c>
      <c r="H30" s="54">
        <f>MIN(E30-G30,D30)</f>
        <v>15241.5168015073</v>
      </c>
      <c r="I30" s="55">
        <f t="shared" si="1"/>
        <v>16361327.025999406</v>
      </c>
    </row>
    <row r="31" spans="1:9" x14ac:dyDescent="0.25">
      <c r="A31" t="b">
        <f>IF(('Input Data'!$C$25)="FRM", FALSE, ISNUMBER(MATCH(C31,'Input Data'!$N$14:$N$26,0)))</f>
        <v>0</v>
      </c>
      <c r="B31" s="51">
        <f>IF($A31, _xlfn.XLOOKUP(C31,'Input Data'!$N$13:$N$25,'Input Data'!$O$13:$O$25),$B30)</f>
        <v>6.3500000000000001E-2</v>
      </c>
      <c r="C31" s="63">
        <f t="shared" si="2"/>
        <v>29</v>
      </c>
      <c r="D31" s="55">
        <f t="shared" si="3"/>
        <v>16361327.025999406</v>
      </c>
      <c r="E31" s="54">
        <f>IF(D31&gt;0,IF(AND(C31='Input Data'!$B$25*12,'Input Data'!$E$25&gt;'Input Data'!$B$25),D31+D31*B31/12,-PMT(B31/12,'Input Data'!$E$25*12,D31,IF(AND(C31='Input Data'!$E$25*12,'Input Data'!$E$25&lt;'Input Data'!$B$25),D31,0))),0)</f>
        <v>101806.01864191549</v>
      </c>
      <c r="F31" s="55">
        <f>D31-E31</f>
        <v>16259521.007357491</v>
      </c>
      <c r="G31" s="55">
        <f t="shared" si="0"/>
        <v>86578.69</v>
      </c>
      <c r="H31" s="54">
        <f>MIN(E31-G31,D31)</f>
        <v>15227.32864191549</v>
      </c>
      <c r="I31" s="55">
        <f t="shared" si="1"/>
        <v>16346099.697357491</v>
      </c>
    </row>
    <row r="32" spans="1:9" x14ac:dyDescent="0.25">
      <c r="A32" t="b">
        <f>IF(('Input Data'!$C$25)="FRM", FALSE, ISNUMBER(MATCH(C32,'Input Data'!$N$14:$N$26,0)))</f>
        <v>0</v>
      </c>
      <c r="B32" s="51">
        <f>IF($A32, _xlfn.XLOOKUP(C32,'Input Data'!$N$13:$N$25,'Input Data'!$O$13:$O$25),$B31)</f>
        <v>6.3500000000000001E-2</v>
      </c>
      <c r="C32" s="63">
        <f t="shared" si="2"/>
        <v>30</v>
      </c>
      <c r="D32" s="55">
        <f t="shared" si="3"/>
        <v>16346099.697357491</v>
      </c>
      <c r="E32" s="54">
        <f>IF(D32&gt;0,IF(AND(C32='Input Data'!$B$25*12,'Input Data'!$E$25&gt;'Input Data'!$B$25),D32+D32*B32/12,-PMT(B32/12,'Input Data'!$E$25*12,D32,IF(AND(C32='Input Data'!$E$25*12,'Input Data'!$E$25&lt;'Input Data'!$B$25),D32,0))),0)</f>
        <v>101711.26876611862</v>
      </c>
      <c r="F32" s="55">
        <f>D32-E32</f>
        <v>16244388.428591372</v>
      </c>
      <c r="G32" s="55">
        <f t="shared" si="0"/>
        <v>86498.11</v>
      </c>
      <c r="H32" s="54">
        <f>MIN(E32-G32,D32)</f>
        <v>15213.15876611862</v>
      </c>
      <c r="I32" s="55">
        <f t="shared" si="1"/>
        <v>16330886.538591372</v>
      </c>
    </row>
    <row r="33" spans="1:9" x14ac:dyDescent="0.25">
      <c r="A33" t="b">
        <f>IF(('Input Data'!$C$25)="FRM", FALSE, ISNUMBER(MATCH(C33,'Input Data'!$N$14:$N$26,0)))</f>
        <v>0</v>
      </c>
      <c r="B33" s="51">
        <f>IF($A33, _xlfn.XLOOKUP(C33,'Input Data'!$N$13:$N$25,'Input Data'!$O$13:$O$25),$B32)</f>
        <v>6.3500000000000001E-2</v>
      </c>
      <c r="C33" s="63">
        <f t="shared" si="2"/>
        <v>31</v>
      </c>
      <c r="D33" s="55">
        <f t="shared" si="3"/>
        <v>16330886.538591372</v>
      </c>
      <c r="E33" s="54">
        <f>IF(D33&gt;0,IF(AND(C33='Input Data'!$B$25*12,'Input Data'!$E$25&gt;'Input Data'!$B$25),D33+D33*B33/12,-PMT(B33/12,'Input Data'!$E$25*12,D33,IF(AND(C33='Input Data'!$E$25*12,'Input Data'!$E$25&lt;'Input Data'!$B$25),D33,0))),0)</f>
        <v>101616.60706034837</v>
      </c>
      <c r="F33" s="55">
        <f>D33-E33</f>
        <v>16229269.931531023</v>
      </c>
      <c r="G33" s="55">
        <f t="shared" si="0"/>
        <v>86417.61</v>
      </c>
      <c r="H33" s="54">
        <f>MIN(E33-G33,D33)</f>
        <v>15198.997060348367</v>
      </c>
      <c r="I33" s="55">
        <f t="shared" si="1"/>
        <v>16315687.541531023</v>
      </c>
    </row>
    <row r="34" spans="1:9" x14ac:dyDescent="0.25">
      <c r="A34" t="b">
        <f>IF(('Input Data'!$C$25)="FRM", FALSE, ISNUMBER(MATCH(C34,'Input Data'!$N$14:$N$26,0)))</f>
        <v>0</v>
      </c>
      <c r="B34" s="51">
        <f>IF($A34, _xlfn.XLOOKUP(C34,'Input Data'!$N$13:$N$25,'Input Data'!$O$13:$O$25),$B33)</f>
        <v>6.3500000000000001E-2</v>
      </c>
      <c r="C34" s="63">
        <f t="shared" si="2"/>
        <v>32</v>
      </c>
      <c r="D34" s="55">
        <f t="shared" si="3"/>
        <v>16315687.541531023</v>
      </c>
      <c r="E34" s="54">
        <f>IF(D34&gt;0,IF(AND(C34='Input Data'!$B$25*12,'Input Data'!$E$25&gt;'Input Data'!$B$25),D34+D34*B34/12,-PMT(B34/12,'Input Data'!$E$25*12,D34,IF(AND(C34='Input Data'!$E$25*12,'Input Data'!$E$25&lt;'Input Data'!$B$25),D34,0))),0)</f>
        <v>101522.03347376794</v>
      </c>
      <c r="F34" s="55">
        <f>D34-E34</f>
        <v>16214165.508057255</v>
      </c>
      <c r="G34" s="55">
        <f t="shared" si="0"/>
        <v>86337.18</v>
      </c>
      <c r="H34" s="54">
        <f>MIN(E34-G34,D34)</f>
        <v>15184.853473767944</v>
      </c>
      <c r="I34" s="55">
        <f t="shared" si="1"/>
        <v>16300502.688057255</v>
      </c>
    </row>
    <row r="35" spans="1:9" x14ac:dyDescent="0.25">
      <c r="A35" t="b">
        <f>IF(('Input Data'!$C$25)="FRM", FALSE, ISNUMBER(MATCH(C35,'Input Data'!$N$14:$N$26,0)))</f>
        <v>0</v>
      </c>
      <c r="B35" s="51">
        <f>IF($A35, _xlfn.XLOOKUP(C35,'Input Data'!$N$13:$N$25,'Input Data'!$O$13:$O$25),$B34)</f>
        <v>6.3500000000000001E-2</v>
      </c>
      <c r="C35" s="63">
        <f t="shared" si="2"/>
        <v>33</v>
      </c>
      <c r="D35" s="55">
        <f t="shared" si="3"/>
        <v>16300502.688057255</v>
      </c>
      <c r="E35" s="54">
        <f>IF(D35&gt;0,IF(AND(C35='Input Data'!$B$25*12,'Input Data'!$E$25&gt;'Input Data'!$B$25),D35+D35*B35/12,-PMT(B35/12,'Input Data'!$E$25*12,D35,IF(AND(C35='Input Data'!$E$25*12,'Input Data'!$E$25&lt;'Input Data'!$B$25),D35,0))),0)</f>
        <v>101427.54789363322</v>
      </c>
      <c r="F35" s="55">
        <f>D35-E35</f>
        <v>16199075.140163621</v>
      </c>
      <c r="G35" s="55">
        <f t="shared" si="0"/>
        <v>86256.83</v>
      </c>
      <c r="H35" s="54">
        <f>MIN(E35-G35,D35)</f>
        <v>15170.71789363322</v>
      </c>
      <c r="I35" s="55">
        <f t="shared" si="1"/>
        <v>16285331.970163621</v>
      </c>
    </row>
    <row r="36" spans="1:9" x14ac:dyDescent="0.25">
      <c r="A36" t="b">
        <f>IF(('Input Data'!$C$25)="FRM", FALSE, ISNUMBER(MATCH(C36,'Input Data'!$N$14:$N$26,0)))</f>
        <v>0</v>
      </c>
      <c r="B36" s="51">
        <f>IF($A36, _xlfn.XLOOKUP(C36,'Input Data'!$N$13:$N$25,'Input Data'!$O$13:$O$25),$B35)</f>
        <v>6.3500000000000001E-2</v>
      </c>
      <c r="C36" s="63">
        <f t="shared" si="2"/>
        <v>34</v>
      </c>
      <c r="D36" s="55">
        <f t="shared" si="3"/>
        <v>16285331.970163621</v>
      </c>
      <c r="E36" s="54">
        <f>IF(D36&gt;0,IF(AND(C36='Input Data'!$B$25*12,'Input Data'!$E$25&gt;'Input Data'!$B$25),D36+D36*B36/12,-PMT(B36/12,'Input Data'!$E$25*12,D36,IF(AND(C36='Input Data'!$E$25*12,'Input Data'!$E$25&lt;'Input Data'!$B$25),D36,0))),0)</f>
        <v>101333.1502701253</v>
      </c>
      <c r="F36" s="55">
        <f>D36-E36</f>
        <v>16183998.819893496</v>
      </c>
      <c r="G36" s="55">
        <f t="shared" si="0"/>
        <v>86176.55</v>
      </c>
      <c r="H36" s="54">
        <f>MIN(E36-G36,D36)</f>
        <v>15156.600270125302</v>
      </c>
      <c r="I36" s="55">
        <f t="shared" si="1"/>
        <v>16270175.369893495</v>
      </c>
    </row>
    <row r="37" spans="1:9" x14ac:dyDescent="0.25">
      <c r="A37" t="b">
        <f>IF(('Input Data'!$C$25)="FRM", FALSE, ISNUMBER(MATCH(C37,'Input Data'!$N$14:$N$26,0)))</f>
        <v>0</v>
      </c>
      <c r="B37" s="51">
        <f>IF($A37, _xlfn.XLOOKUP(C37,'Input Data'!$N$13:$N$25,'Input Data'!$O$13:$O$25),$B36)</f>
        <v>6.3500000000000001E-2</v>
      </c>
      <c r="C37" s="63">
        <f t="shared" si="2"/>
        <v>35</v>
      </c>
      <c r="D37" s="55">
        <f t="shared" si="3"/>
        <v>16270175.369893495</v>
      </c>
      <c r="E37" s="54">
        <f>IF(D37&gt;0,IF(AND(C37='Input Data'!$B$25*12,'Input Data'!$E$25&gt;'Input Data'!$B$25),D37+D37*B37/12,-PMT(B37/12,'Input Data'!$E$25*12,D37,IF(AND(C37='Input Data'!$E$25*12,'Input Data'!$E$25&lt;'Input Data'!$B$25),D37,0))),0)</f>
        <v>101238.84049151158</v>
      </c>
      <c r="F37" s="55">
        <f>D37-E37</f>
        <v>16168936.529401984</v>
      </c>
      <c r="G37" s="55">
        <f t="shared" si="0"/>
        <v>86096.34</v>
      </c>
      <c r="H37" s="54">
        <f>MIN(E37-G37,D37)</f>
        <v>15142.500491511586</v>
      </c>
      <c r="I37" s="55">
        <f t="shared" si="1"/>
        <v>16255032.869401984</v>
      </c>
    </row>
    <row r="38" spans="1:9" x14ac:dyDescent="0.25">
      <c r="A38" t="b">
        <f>IF(('Input Data'!$C$25)="FRM", FALSE, ISNUMBER(MATCH(C38,'Input Data'!$N$14:$N$26,0)))</f>
        <v>0</v>
      </c>
      <c r="B38" s="51">
        <f>IF($A38, _xlfn.XLOOKUP(C38,'Input Data'!$N$13:$N$25,'Input Data'!$O$13:$O$25),$B37)</f>
        <v>6.3500000000000001E-2</v>
      </c>
      <c r="C38" s="63">
        <f t="shared" si="2"/>
        <v>36</v>
      </c>
      <c r="D38" s="55">
        <f t="shared" si="3"/>
        <v>16255032.869401984</v>
      </c>
      <c r="E38" s="54">
        <f>IF(D38&gt;0,IF(AND(C38='Input Data'!$B$25*12,'Input Data'!$E$25&gt;'Input Data'!$B$25),D38+D38*B38/12,-PMT(B38/12,'Input Data'!$E$25*12,D38,IF(AND(C38='Input Data'!$E$25*12,'Input Data'!$E$25&lt;'Input Data'!$B$25),D38,0))),0)</f>
        <v>101144.61844675482</v>
      </c>
      <c r="F38" s="55">
        <f>D38-E38</f>
        <v>16153888.25095523</v>
      </c>
      <c r="G38" s="55">
        <f t="shared" si="0"/>
        <v>86016.22</v>
      </c>
      <c r="H38" s="54">
        <f>MIN(E38-G38,D38)</f>
        <v>15128.398446754814</v>
      </c>
      <c r="I38" s="55">
        <f t="shared" si="1"/>
        <v>16239904.470955228</v>
      </c>
    </row>
    <row r="39" spans="1:9" x14ac:dyDescent="0.25">
      <c r="A39" t="b">
        <f>IF(('Input Data'!$C$25)="FRM", FALSE, ISNUMBER(MATCH(C39,'Input Data'!$N$14:$N$26,0)))</f>
        <v>0</v>
      </c>
      <c r="B39" s="51">
        <f>IF($A39, _xlfn.XLOOKUP(C39,'Input Data'!$N$13:$N$25,'Input Data'!$O$13:$O$25),$B38)</f>
        <v>6.3500000000000001E-2</v>
      </c>
      <c r="C39" s="63">
        <f t="shared" si="2"/>
        <v>37</v>
      </c>
      <c r="D39" s="55">
        <f t="shared" si="3"/>
        <v>16239904.470955228</v>
      </c>
      <c r="E39" s="54">
        <f>IF(D39&gt;0,IF(AND(C39='Input Data'!$B$25*12,'Input Data'!$E$25&gt;'Input Data'!$B$25),D39+D39*B39/12,-PMT(B39/12,'Input Data'!$E$25*12,D39,IF(AND(C39='Input Data'!$E$25*12,'Input Data'!$E$25&lt;'Input Data'!$B$25),D39,0))),0)</f>
        <v>101050.48414995569</v>
      </c>
      <c r="F39" s="55">
        <f>D39-E39</f>
        <v>16138853.986805273</v>
      </c>
      <c r="G39" s="55">
        <f t="shared" si="0"/>
        <v>85936.16</v>
      </c>
      <c r="H39" s="54">
        <f>MIN(E39-G39,D39)</f>
        <v>15114.32414995569</v>
      </c>
      <c r="I39" s="55">
        <f t="shared" si="1"/>
        <v>16224790.146805273</v>
      </c>
    </row>
    <row r="40" spans="1:9" x14ac:dyDescent="0.25">
      <c r="A40" t="b">
        <f>IF(('Input Data'!$C$25)="FRM", FALSE, ISNUMBER(MATCH(C40,'Input Data'!$N$14:$N$26,0)))</f>
        <v>0</v>
      </c>
      <c r="B40" s="51">
        <f>IF($A40, _xlfn.XLOOKUP(C40,'Input Data'!$N$13:$N$25,'Input Data'!$O$13:$O$25),$B39)</f>
        <v>6.3500000000000001E-2</v>
      </c>
      <c r="C40" s="63">
        <f t="shared" si="2"/>
        <v>38</v>
      </c>
      <c r="D40" s="55">
        <f t="shared" si="3"/>
        <v>16224790.146805273</v>
      </c>
      <c r="E40" s="54">
        <f>IF(D40&gt;0,IF(AND(C40='Input Data'!$B$25*12,'Input Data'!$E$25&gt;'Input Data'!$B$25),D40+D40*B40/12,-PMT(B40/12,'Input Data'!$E$25*12,D40,IF(AND(C40='Input Data'!$E$25*12,'Input Data'!$E$25&lt;'Input Data'!$B$25),D40,0))),0)</f>
        <v>100956.43742845659</v>
      </c>
      <c r="F40" s="55">
        <f>D40-E40</f>
        <v>16123833.709376818</v>
      </c>
      <c r="G40" s="55">
        <f t="shared" si="0"/>
        <v>85856.18</v>
      </c>
      <c r="H40" s="54">
        <f>MIN(E40-G40,D40)</f>
        <v>15100.257428456593</v>
      </c>
      <c r="I40" s="55">
        <f t="shared" si="1"/>
        <v>16209689.889376817</v>
      </c>
    </row>
    <row r="41" spans="1:9" x14ac:dyDescent="0.25">
      <c r="A41" t="b">
        <f>IF(('Input Data'!$C$25)="FRM", FALSE, ISNUMBER(MATCH(C41,'Input Data'!$N$14:$N$26,0)))</f>
        <v>0</v>
      </c>
      <c r="B41" s="51">
        <f>IF($A41, _xlfn.XLOOKUP(C41,'Input Data'!$N$13:$N$25,'Input Data'!$O$13:$O$25),$B40)</f>
        <v>6.3500000000000001E-2</v>
      </c>
      <c r="C41" s="63">
        <f t="shared" si="2"/>
        <v>39</v>
      </c>
      <c r="D41" s="55">
        <f t="shared" si="3"/>
        <v>16209689.889376817</v>
      </c>
      <c r="E41" s="54">
        <f>IF(D41&gt;0,IF(AND(C41='Input Data'!$B$25*12,'Input Data'!$E$25&gt;'Input Data'!$B$25),D41+D41*B41/12,-PMT(B41/12,'Input Data'!$E$25*12,D41,IF(AND(C41='Input Data'!$E$25*12,'Input Data'!$E$25&lt;'Input Data'!$B$25),D41,0))),0)</f>
        <v>100862.47823512121</v>
      </c>
      <c r="F41" s="55">
        <f>D41-E41</f>
        <v>16108827.411141695</v>
      </c>
      <c r="G41" s="55">
        <f t="shared" si="0"/>
        <v>85776.28</v>
      </c>
      <c r="H41" s="54">
        <f>MIN(E41-G41,D41)</f>
        <v>15086.198235121206</v>
      </c>
      <c r="I41" s="55">
        <f t="shared" si="1"/>
        <v>16194603.691141697</v>
      </c>
    </row>
    <row r="42" spans="1:9" x14ac:dyDescent="0.25">
      <c r="A42" t="b">
        <f>IF(('Input Data'!$C$25)="FRM", FALSE, ISNUMBER(MATCH(C42,'Input Data'!$N$14:$N$26,0)))</f>
        <v>0</v>
      </c>
      <c r="B42" s="51">
        <f>IF($A42, _xlfn.XLOOKUP(C42,'Input Data'!$N$13:$N$25,'Input Data'!$O$13:$O$25),$B41)</f>
        <v>6.3500000000000001E-2</v>
      </c>
      <c r="C42" s="63">
        <f t="shared" si="2"/>
        <v>40</v>
      </c>
      <c r="D42" s="55">
        <f t="shared" si="3"/>
        <v>16194603.691141697</v>
      </c>
      <c r="E42" s="54">
        <f>IF(D42&gt;0,IF(AND(C42='Input Data'!$B$25*12,'Input Data'!$E$25&gt;'Input Data'!$B$25),D42+D42*B42/12,-PMT(B42/12,'Input Data'!$E$25*12,D42,IF(AND(C42='Input Data'!$E$25*12,'Input Data'!$E$25&lt;'Input Data'!$B$25),D42,0))),0)</f>
        <v>100768.60652310666</v>
      </c>
      <c r="F42" s="55">
        <f>D42-E42</f>
        <v>16093835.084618591</v>
      </c>
      <c r="G42" s="55">
        <f t="shared" si="0"/>
        <v>85696.44</v>
      </c>
      <c r="H42" s="54">
        <f>MIN(E42-G42,D42)</f>
        <v>15072.166523106658</v>
      </c>
      <c r="I42" s="55">
        <f t="shared" si="1"/>
        <v>16179531.52461859</v>
      </c>
    </row>
    <row r="43" spans="1:9" x14ac:dyDescent="0.25">
      <c r="A43" t="b">
        <f>IF(('Input Data'!$C$25)="FRM", FALSE, ISNUMBER(MATCH(C43,'Input Data'!$N$14:$N$26,0)))</f>
        <v>0</v>
      </c>
      <c r="B43" s="51">
        <f>IF($A43, _xlfn.XLOOKUP(C43,'Input Data'!$N$13:$N$25,'Input Data'!$O$13:$O$25),$B42)</f>
        <v>6.3500000000000001E-2</v>
      </c>
      <c r="C43" s="63">
        <f t="shared" si="2"/>
        <v>41</v>
      </c>
      <c r="D43" s="55">
        <f t="shared" si="3"/>
        <v>16179531.52461859</v>
      </c>
      <c r="E43" s="54">
        <f>IF(D43&gt;0,IF(AND(C43='Input Data'!$B$25*12,'Input Data'!$E$25&gt;'Input Data'!$B$25),D43+D43*B43/12,-PMT(B43/12,'Input Data'!$E$25*12,D43,IF(AND(C43='Input Data'!$E$25*12,'Input Data'!$E$25&lt;'Input Data'!$B$25),D43,0))),0)</f>
        <v>100674.82212141436</v>
      </c>
      <c r="F43" s="55">
        <f>D43-E43</f>
        <v>16078856.702497177</v>
      </c>
      <c r="G43" s="55">
        <f t="shared" si="0"/>
        <v>85616.69</v>
      </c>
      <c r="H43" s="54">
        <f>MIN(E43-G43,D43)</f>
        <v>15058.132121414354</v>
      </c>
      <c r="I43" s="55">
        <f t="shared" si="1"/>
        <v>16164473.392497176</v>
      </c>
    </row>
    <row r="44" spans="1:9" x14ac:dyDescent="0.25">
      <c r="A44" t="b">
        <f>IF(('Input Data'!$C$25)="FRM", FALSE, ISNUMBER(MATCH(C44,'Input Data'!$N$14:$N$26,0)))</f>
        <v>0</v>
      </c>
      <c r="B44" s="51">
        <f>IF($A44, _xlfn.XLOOKUP(C44,'Input Data'!$N$13:$N$25,'Input Data'!$O$13:$O$25),$B43)</f>
        <v>6.3500000000000001E-2</v>
      </c>
      <c r="C44" s="63">
        <f t="shared" si="2"/>
        <v>42</v>
      </c>
      <c r="D44" s="55">
        <f t="shared" si="3"/>
        <v>16164473.392497176</v>
      </c>
      <c r="E44" s="54">
        <f>IF(D44&gt;0,IF(AND(C44='Input Data'!$B$25*12,'Input Data'!$E$25&gt;'Input Data'!$B$25),D44+D44*B44/12,-PMT(B44/12,'Input Data'!$E$25*12,D44,IF(AND(C44='Input Data'!$E$25*12,'Input Data'!$E$25&lt;'Input Data'!$B$25),D44,0))),0)</f>
        <v>100581.12504678043</v>
      </c>
      <c r="F44" s="55">
        <f>D44-E44</f>
        <v>16063892.267450396</v>
      </c>
      <c r="G44" s="55">
        <f t="shared" si="0"/>
        <v>85537.01</v>
      </c>
      <c r="H44" s="54">
        <f>MIN(E44-G44,D44)</f>
        <v>15044.11504678044</v>
      </c>
      <c r="I44" s="55">
        <f t="shared" si="1"/>
        <v>16149429.277450396</v>
      </c>
    </row>
    <row r="45" spans="1:9" x14ac:dyDescent="0.25">
      <c r="A45" t="b">
        <f>IF(('Input Data'!$C$25)="FRM", FALSE, ISNUMBER(MATCH(C45,'Input Data'!$N$14:$N$26,0)))</f>
        <v>0</v>
      </c>
      <c r="B45" s="51">
        <f>IF($A45, _xlfn.XLOOKUP(C45,'Input Data'!$N$13:$N$25,'Input Data'!$O$13:$O$25),$B44)</f>
        <v>6.3500000000000001E-2</v>
      </c>
      <c r="C45" s="63">
        <f t="shared" si="2"/>
        <v>43</v>
      </c>
      <c r="D45" s="55">
        <f t="shared" si="3"/>
        <v>16149429.277450396</v>
      </c>
      <c r="E45" s="54">
        <f>IF(D45&gt;0,IF(AND(C45='Input Data'!$B$25*12,'Input Data'!$E$25&gt;'Input Data'!$B$25),D45+D45*B45/12,-PMT(B45/12,'Input Data'!$E$25*12,D45,IF(AND(C45='Input Data'!$E$25*12,'Input Data'!$E$25&lt;'Input Data'!$B$25),D45,0))),0)</f>
        <v>100487.51519138974</v>
      </c>
      <c r="F45" s="55">
        <f>D45-E45</f>
        <v>16048941.762259007</v>
      </c>
      <c r="G45" s="55">
        <f t="shared" si="0"/>
        <v>85457.4</v>
      </c>
      <c r="H45" s="54">
        <f>MIN(E45-G45,D45)</f>
        <v>15030.115191389748</v>
      </c>
      <c r="I45" s="55">
        <f t="shared" si="1"/>
        <v>16134399.162259007</v>
      </c>
    </row>
    <row r="46" spans="1:9" x14ac:dyDescent="0.25">
      <c r="A46" t="b">
        <f>IF(('Input Data'!$C$25)="FRM", FALSE, ISNUMBER(MATCH(C46,'Input Data'!$N$14:$N$26,0)))</f>
        <v>0</v>
      </c>
      <c r="B46" s="51">
        <f>IF($A46, _xlfn.XLOOKUP(C46,'Input Data'!$N$13:$N$25,'Input Data'!$O$13:$O$25),$B45)</f>
        <v>6.3500000000000001E-2</v>
      </c>
      <c r="C46" s="63">
        <f t="shared" si="2"/>
        <v>44</v>
      </c>
      <c r="D46" s="55">
        <f t="shared" si="3"/>
        <v>16134399.162259007</v>
      </c>
      <c r="E46" s="54">
        <f>IF(D46&gt;0,IF(AND(C46='Input Data'!$B$25*12,'Input Data'!$E$25&gt;'Input Data'!$B$25),D46+D46*B46/12,-PMT(B46/12,'Input Data'!$E$25*12,D46,IF(AND(C46='Input Data'!$E$25*12,'Input Data'!$E$25&lt;'Input Data'!$B$25),D46,0))),0)</f>
        <v>100393.99244809801</v>
      </c>
      <c r="F46" s="55">
        <f>D46-E46</f>
        <v>16034005.16981091</v>
      </c>
      <c r="G46" s="55">
        <f t="shared" si="0"/>
        <v>85377.86</v>
      </c>
      <c r="H46" s="54">
        <f>MIN(E46-G46,D46)</f>
        <v>15016.132448098011</v>
      </c>
      <c r="I46" s="55">
        <f t="shared" si="1"/>
        <v>16119383.029810909</v>
      </c>
    </row>
    <row r="47" spans="1:9" x14ac:dyDescent="0.25">
      <c r="A47" t="b">
        <f>IF(('Input Data'!$C$25)="FRM", FALSE, ISNUMBER(MATCH(C47,'Input Data'!$N$14:$N$26,0)))</f>
        <v>0</v>
      </c>
      <c r="B47" s="51">
        <f>IF($A47, _xlfn.XLOOKUP(C47,'Input Data'!$N$13:$N$25,'Input Data'!$O$13:$O$25),$B46)</f>
        <v>6.3500000000000001E-2</v>
      </c>
      <c r="C47" s="63">
        <f t="shared" si="2"/>
        <v>45</v>
      </c>
      <c r="D47" s="55">
        <f t="shared" si="3"/>
        <v>16119383.029810909</v>
      </c>
      <c r="E47" s="54">
        <f>IF(D47&gt;0,IF(AND(C47='Input Data'!$B$25*12,'Input Data'!$E$25&gt;'Input Data'!$B$25),D47+D47*B47/12,-PMT(B47/12,'Input Data'!$E$25*12,D47,IF(AND(C47='Input Data'!$E$25*12,'Input Data'!$E$25&lt;'Input Data'!$B$25),D47,0))),0)</f>
        <v>100300.55671042763</v>
      </c>
      <c r="F47" s="55">
        <f>D47-E47</f>
        <v>16019082.473100482</v>
      </c>
      <c r="G47" s="55">
        <f t="shared" si="0"/>
        <v>85298.4</v>
      </c>
      <c r="H47" s="54">
        <f>MIN(E47-G47,D47)</f>
        <v>15002.156710427633</v>
      </c>
      <c r="I47" s="55">
        <f t="shared" si="1"/>
        <v>16104380.873100482</v>
      </c>
    </row>
    <row r="48" spans="1:9" x14ac:dyDescent="0.25">
      <c r="A48" t="b">
        <f>IF(('Input Data'!$C$25)="FRM", FALSE, ISNUMBER(MATCH(C48,'Input Data'!$N$14:$N$26,0)))</f>
        <v>0</v>
      </c>
      <c r="B48" s="51">
        <f>IF($A48, _xlfn.XLOOKUP(C48,'Input Data'!$N$13:$N$25,'Input Data'!$O$13:$O$25),$B47)</f>
        <v>6.3500000000000001E-2</v>
      </c>
      <c r="C48" s="63">
        <f t="shared" si="2"/>
        <v>46</v>
      </c>
      <c r="D48" s="55">
        <f t="shared" si="3"/>
        <v>16104380.873100482</v>
      </c>
      <c r="E48" s="54">
        <f>IF(D48&gt;0,IF(AND(C48='Input Data'!$B$25*12,'Input Data'!$E$25&gt;'Input Data'!$B$25),D48+D48*B48/12,-PMT(B48/12,'Input Data'!$E$25*12,D48,IF(AND(C48='Input Data'!$E$25*12,'Input Data'!$E$25&lt;'Input Data'!$B$25),D48,0))),0)</f>
        <v>100207.20793478715</v>
      </c>
      <c r="F48" s="55">
        <f>D48-E48</f>
        <v>16004173.665165694</v>
      </c>
      <c r="G48" s="55">
        <f t="shared" si="0"/>
        <v>85219.02</v>
      </c>
      <c r="H48" s="54">
        <f>MIN(E48-G48,D48)</f>
        <v>14988.187934787144</v>
      </c>
      <c r="I48" s="55">
        <f t="shared" si="1"/>
        <v>16089392.685165694</v>
      </c>
    </row>
    <row r="49" spans="1:9" x14ac:dyDescent="0.25">
      <c r="A49" t="b">
        <f>IF(('Input Data'!$C$25)="FRM", FALSE, ISNUMBER(MATCH(C49,'Input Data'!$N$14:$N$26,0)))</f>
        <v>0</v>
      </c>
      <c r="B49" s="51">
        <f>IF($A49, _xlfn.XLOOKUP(C49,'Input Data'!$N$13:$N$25,'Input Data'!$O$13:$O$25),$B48)</f>
        <v>6.3500000000000001E-2</v>
      </c>
      <c r="C49" s="63">
        <f t="shared" si="2"/>
        <v>47</v>
      </c>
      <c r="D49" s="55">
        <f t="shared" si="3"/>
        <v>16089392.685165694</v>
      </c>
      <c r="E49" s="54">
        <f>IF(D49&gt;0,IF(AND(C49='Input Data'!$B$25*12,'Input Data'!$E$25&gt;'Input Data'!$B$25),D49+D49*B49/12,-PMT(B49/12,'Input Data'!$E$25*12,D49,IF(AND(C49='Input Data'!$E$25*12,'Input Data'!$E$25&lt;'Input Data'!$B$25),D49,0))),0)</f>
        <v>100113.94607785629</v>
      </c>
      <c r="F49" s="55">
        <f>D49-E49</f>
        <v>15989278.739087837</v>
      </c>
      <c r="G49" s="55">
        <f t="shared" si="0"/>
        <v>85139.7</v>
      </c>
      <c r="H49" s="54">
        <f>MIN(E49-G49,D49)</f>
        <v>14974.246077856296</v>
      </c>
      <c r="I49" s="55">
        <f t="shared" si="1"/>
        <v>16074418.439087838</v>
      </c>
    </row>
    <row r="50" spans="1:9" x14ac:dyDescent="0.25">
      <c r="A50" t="b">
        <f>IF(('Input Data'!$C$25)="FRM", FALSE, ISNUMBER(MATCH(C50,'Input Data'!$N$14:$N$26,0)))</f>
        <v>0</v>
      </c>
      <c r="B50" s="51">
        <f>IF($A50, _xlfn.XLOOKUP(C50,'Input Data'!$N$13:$N$25,'Input Data'!$O$13:$O$25),$B49)</f>
        <v>6.3500000000000001E-2</v>
      </c>
      <c r="C50" s="63">
        <f t="shared" si="2"/>
        <v>48</v>
      </c>
      <c r="D50" s="55">
        <f t="shared" si="3"/>
        <v>16074418.439087838</v>
      </c>
      <c r="E50" s="54">
        <f>IF(D50&gt;0,IF(AND(C50='Input Data'!$B$25*12,'Input Data'!$E$25&gt;'Input Data'!$B$25),D50+D50*B50/12,-PMT(B50/12,'Input Data'!$E$25*12,D50,IF(AND(C50='Input Data'!$E$25*12,'Input Data'!$E$25&lt;'Input Data'!$B$25),D50,0))),0)</f>
        <v>100020.77097213728</v>
      </c>
      <c r="F50" s="55">
        <f>D50-E50</f>
        <v>15974397.668115702</v>
      </c>
      <c r="G50" s="55">
        <f t="shared" si="0"/>
        <v>85060.46</v>
      </c>
      <c r="H50" s="54">
        <f>MIN(E50-G50,D50)</f>
        <v>14960.310972137275</v>
      </c>
      <c r="I50" s="55">
        <f t="shared" si="1"/>
        <v>16059458.128115701</v>
      </c>
    </row>
    <row r="51" spans="1:9" x14ac:dyDescent="0.25">
      <c r="A51" t="b">
        <f>IF(('Input Data'!$C$25)="FRM", FALSE, ISNUMBER(MATCH(C51,'Input Data'!$N$14:$N$26,0)))</f>
        <v>0</v>
      </c>
      <c r="B51" s="51">
        <f>IF($A51, _xlfn.XLOOKUP(C51,'Input Data'!$N$13:$N$25,'Input Data'!$O$13:$O$25),$B50)</f>
        <v>6.3500000000000001E-2</v>
      </c>
      <c r="C51" s="63">
        <f t="shared" si="2"/>
        <v>49</v>
      </c>
      <c r="D51" s="55">
        <f t="shared" si="3"/>
        <v>16059458.128115701</v>
      </c>
      <c r="E51" s="54">
        <f>IF(D51&gt;0,IF(AND(C51='Input Data'!$B$25*12,'Input Data'!$E$25&gt;'Input Data'!$B$25),D51+D51*B51/12,-PMT(B51/12,'Input Data'!$E$25*12,D51,IF(AND(C51='Input Data'!$E$25*12,'Input Data'!$E$25&lt;'Input Data'!$B$25),D51,0))),0)</f>
        <v>99927.682575621642</v>
      </c>
      <c r="F51" s="55">
        <f>D51-E51</f>
        <v>15959530.445540078</v>
      </c>
      <c r="G51" s="55">
        <f t="shared" si="0"/>
        <v>84981.3</v>
      </c>
      <c r="H51" s="54">
        <f>MIN(E51-G51,D51)</f>
        <v>14946.382575621639</v>
      </c>
      <c r="I51" s="55">
        <f t="shared" si="1"/>
        <v>16044511.745540079</v>
      </c>
    </row>
    <row r="52" spans="1:9" x14ac:dyDescent="0.25">
      <c r="A52" t="b">
        <f>IF(('Input Data'!$C$25)="FRM", FALSE, ISNUMBER(MATCH(C52,'Input Data'!$N$14:$N$26,0)))</f>
        <v>0</v>
      </c>
      <c r="B52" s="51">
        <f>IF($A52, _xlfn.XLOOKUP(C52,'Input Data'!$N$13:$N$25,'Input Data'!$O$13:$O$25),$B51)</f>
        <v>6.3500000000000001E-2</v>
      </c>
      <c r="C52" s="63">
        <f t="shared" si="2"/>
        <v>50</v>
      </c>
      <c r="D52" s="55">
        <f t="shared" si="3"/>
        <v>16044511.745540079</v>
      </c>
      <c r="E52" s="54">
        <f>IF(D52&gt;0,IF(AND(C52='Input Data'!$B$25*12,'Input Data'!$E$25&gt;'Input Data'!$B$25),D52+D52*B52/12,-PMT(B52/12,'Input Data'!$E$25*12,D52,IF(AND(C52='Input Data'!$E$25*12,'Input Data'!$E$25&lt;'Input Data'!$B$25),D52,0))),0)</f>
        <v>99834.680846562318</v>
      </c>
      <c r="F52" s="55">
        <f>D52-E52</f>
        <v>15944677.064693516</v>
      </c>
      <c r="G52" s="55">
        <f t="shared" si="0"/>
        <v>84902.21</v>
      </c>
      <c r="H52" s="54">
        <f>MIN(E52-G52,D52)</f>
        <v>14932.470846562312</v>
      </c>
      <c r="I52" s="55">
        <f t="shared" si="1"/>
        <v>16029579.274693517</v>
      </c>
    </row>
    <row r="53" spans="1:9" x14ac:dyDescent="0.25">
      <c r="A53" t="b">
        <f>IF(('Input Data'!$C$25)="FRM", FALSE, ISNUMBER(MATCH(C53,'Input Data'!$N$14:$N$26,0)))</f>
        <v>0</v>
      </c>
      <c r="B53" s="51">
        <f>IF($A53, _xlfn.XLOOKUP(C53,'Input Data'!$N$13:$N$25,'Input Data'!$O$13:$O$25),$B52)</f>
        <v>6.3500000000000001E-2</v>
      </c>
      <c r="C53" s="63">
        <f t="shared" si="2"/>
        <v>51</v>
      </c>
      <c r="D53" s="55">
        <f t="shared" si="3"/>
        <v>16029579.274693517</v>
      </c>
      <c r="E53" s="54">
        <f>IF(D53&gt;0,IF(AND(C53='Input Data'!$B$25*12,'Input Data'!$E$25&gt;'Input Data'!$B$25),D53+D53*B53/12,-PMT(B53/12,'Input Data'!$E$25*12,D53,IF(AND(C53='Input Data'!$E$25*12,'Input Data'!$E$25&lt;'Input Data'!$B$25),D53,0))),0)</f>
        <v>99741.765681248464</v>
      </c>
      <c r="F53" s="55">
        <f>D53-E53</f>
        <v>15929837.509012269</v>
      </c>
      <c r="G53" s="55">
        <f t="shared" si="0"/>
        <v>84823.19</v>
      </c>
      <c r="H53" s="54">
        <f>MIN(E53-G53,D53)</f>
        <v>14918.575681248461</v>
      </c>
      <c r="I53" s="55">
        <f t="shared" si="1"/>
        <v>16014660.699012268</v>
      </c>
    </row>
    <row r="54" spans="1:9" x14ac:dyDescent="0.25">
      <c r="A54" t="b">
        <f>IF(('Input Data'!$C$25)="FRM", FALSE, ISNUMBER(MATCH(C54,'Input Data'!$N$14:$N$26,0)))</f>
        <v>0</v>
      </c>
      <c r="B54" s="51">
        <f>IF($A54, _xlfn.XLOOKUP(C54,'Input Data'!$N$13:$N$25,'Input Data'!$O$13:$O$25),$B53)</f>
        <v>6.3500000000000001E-2</v>
      </c>
      <c r="C54" s="63">
        <f t="shared" si="2"/>
        <v>52</v>
      </c>
      <c r="D54" s="55">
        <f t="shared" si="3"/>
        <v>16014660.699012268</v>
      </c>
      <c r="E54" s="54">
        <f>IF(D54&gt;0,IF(AND(C54='Input Data'!$B$25*12,'Input Data'!$E$25&gt;'Input Data'!$B$25),D54+D54*B54/12,-PMT(B54/12,'Input Data'!$E$25*12,D54,IF(AND(C54='Input Data'!$E$25*12,'Input Data'!$E$25&lt;'Input Data'!$B$25),D54,0))),0)</f>
        <v>99648.93697661451</v>
      </c>
      <c r="F54" s="55">
        <f>D54-E54</f>
        <v>15915011.762035653</v>
      </c>
      <c r="G54" s="55">
        <f t="shared" si="0"/>
        <v>84744.25</v>
      </c>
      <c r="H54" s="54">
        <f>MIN(E54-G54,D54)</f>
        <v>14904.68697661451</v>
      </c>
      <c r="I54" s="55">
        <f t="shared" si="1"/>
        <v>15999756.012035653</v>
      </c>
    </row>
    <row r="55" spans="1:9" x14ac:dyDescent="0.25">
      <c r="A55" t="b">
        <f>IF(('Input Data'!$C$25)="FRM", FALSE, ISNUMBER(MATCH(C55,'Input Data'!$N$14:$N$26,0)))</f>
        <v>0</v>
      </c>
      <c r="B55" s="51">
        <f>IF($A55, _xlfn.XLOOKUP(C55,'Input Data'!$N$13:$N$25,'Input Data'!$O$13:$O$25),$B54)</f>
        <v>6.3500000000000001E-2</v>
      </c>
      <c r="C55" s="63">
        <f t="shared" si="2"/>
        <v>53</v>
      </c>
      <c r="D55" s="55">
        <f t="shared" si="3"/>
        <v>15999756.012035653</v>
      </c>
      <c r="E55" s="54">
        <f>IF(D55&gt;0,IF(AND(C55='Input Data'!$B$25*12,'Input Data'!$E$25&gt;'Input Data'!$B$25),D55+D55*B55/12,-PMT(B55/12,'Input Data'!$E$25*12,D55,IF(AND(C55='Input Data'!$E$25*12,'Input Data'!$E$25&lt;'Input Data'!$B$25),D55,0))),0)</f>
        <v>99556.194692459801</v>
      </c>
      <c r="F55" s="55">
        <f>D55-E55</f>
        <v>15900199.817343194</v>
      </c>
      <c r="G55" s="55">
        <f t="shared" si="0"/>
        <v>84665.38</v>
      </c>
      <c r="H55" s="54">
        <f>MIN(E55-G55,D55)</f>
        <v>14890.814692459797</v>
      </c>
      <c r="I55" s="55">
        <f t="shared" si="1"/>
        <v>15984865.197343193</v>
      </c>
    </row>
    <row r="56" spans="1:9" x14ac:dyDescent="0.25">
      <c r="A56" t="b">
        <f>IF(('Input Data'!$C$25)="FRM", FALSE, ISNUMBER(MATCH(C56,'Input Data'!$N$14:$N$26,0)))</f>
        <v>0</v>
      </c>
      <c r="B56" s="51">
        <f>IF($A56, _xlfn.XLOOKUP(C56,'Input Data'!$N$13:$N$25,'Input Data'!$O$13:$O$25),$B55)</f>
        <v>6.3500000000000001E-2</v>
      </c>
      <c r="C56" s="63">
        <f t="shared" si="2"/>
        <v>54</v>
      </c>
      <c r="D56" s="55">
        <f t="shared" si="3"/>
        <v>15984865.197343193</v>
      </c>
      <c r="E56" s="54">
        <f>IF(D56&gt;0,IF(AND(C56='Input Data'!$B$25*12,'Input Data'!$E$25&gt;'Input Data'!$B$25),D56+D56*B56/12,-PMT(B56/12,'Input Data'!$E$25*12,D56,IF(AND(C56='Input Data'!$E$25*12,'Input Data'!$E$25&lt;'Input Data'!$B$25),D56,0))),0)</f>
        <v>99463.538726610277</v>
      </c>
      <c r="F56" s="55">
        <f>D56-E56</f>
        <v>15885401.658616582</v>
      </c>
      <c r="G56" s="55">
        <f t="shared" si="0"/>
        <v>84586.58</v>
      </c>
      <c r="H56" s="54">
        <f>MIN(E56-G56,D56)</f>
        <v>14876.958726610275</v>
      </c>
      <c r="I56" s="55">
        <f t="shared" si="1"/>
        <v>15969988.238616582</v>
      </c>
    </row>
    <row r="57" spans="1:9" x14ac:dyDescent="0.25">
      <c r="A57" t="b">
        <f>IF(('Input Data'!$C$25)="FRM", FALSE, ISNUMBER(MATCH(C57,'Input Data'!$N$14:$N$26,0)))</f>
        <v>0</v>
      </c>
      <c r="B57" s="51">
        <f>IF($A57, _xlfn.XLOOKUP(C57,'Input Data'!$N$13:$N$25,'Input Data'!$O$13:$O$25),$B56)</f>
        <v>6.3500000000000001E-2</v>
      </c>
      <c r="C57" s="63">
        <f t="shared" si="2"/>
        <v>55</v>
      </c>
      <c r="D57" s="55">
        <f t="shared" si="3"/>
        <v>15969988.238616582</v>
      </c>
      <c r="E57" s="54">
        <f>IF(D57&gt;0,IF(AND(C57='Input Data'!$B$25*12,'Input Data'!$E$25&gt;'Input Data'!$B$25),D57+D57*B57/12,-PMT(B57/12,'Input Data'!$E$25*12,D57,IF(AND(C57='Input Data'!$E$25*12,'Input Data'!$E$25&lt;'Input Data'!$B$25),D57,0))),0)</f>
        <v>99370.968977527606</v>
      </c>
      <c r="F57" s="55">
        <f>D57-E57</f>
        <v>15870617.269639054</v>
      </c>
      <c r="G57" s="55">
        <f t="shared" si="0"/>
        <v>84507.85</v>
      </c>
      <c r="H57" s="54">
        <f>MIN(E57-G57,D57)</f>
        <v>14863.1189775276</v>
      </c>
      <c r="I57" s="55">
        <f t="shared" si="1"/>
        <v>15955125.119639054</v>
      </c>
    </row>
    <row r="58" spans="1:9" x14ac:dyDescent="0.25">
      <c r="A58" t="b">
        <f>IF(('Input Data'!$C$25)="FRM", FALSE, ISNUMBER(MATCH(C58,'Input Data'!$N$14:$N$26,0)))</f>
        <v>0</v>
      </c>
      <c r="B58" s="51">
        <f>IF($A58, _xlfn.XLOOKUP(C58,'Input Data'!$N$13:$N$25,'Input Data'!$O$13:$O$25),$B57)</f>
        <v>6.3500000000000001E-2</v>
      </c>
      <c r="C58" s="63">
        <f t="shared" si="2"/>
        <v>56</v>
      </c>
      <c r="D58" s="55">
        <f t="shared" si="3"/>
        <v>15955125.119639054</v>
      </c>
      <c r="E58" s="54">
        <f>IF(D58&gt;0,IF(AND(C58='Input Data'!$B$25*12,'Input Data'!$E$25&gt;'Input Data'!$B$25),D58+D58*B58/12,-PMT(B58/12,'Input Data'!$E$25*12,D58,IF(AND(C58='Input Data'!$E$25*12,'Input Data'!$E$25&lt;'Input Data'!$B$25),D58,0))),0)</f>
        <v>99278.485344305256</v>
      </c>
      <c r="F58" s="55">
        <f>D58-E58</f>
        <v>15855846.634294748</v>
      </c>
      <c r="G58" s="55">
        <f t="shared" si="0"/>
        <v>84429.2</v>
      </c>
      <c r="H58" s="54">
        <f>MIN(E58-G58,D58)</f>
        <v>14849.285344305259</v>
      </c>
      <c r="I58" s="55">
        <f t="shared" si="1"/>
        <v>15940275.834294749</v>
      </c>
    </row>
    <row r="59" spans="1:9" x14ac:dyDescent="0.25">
      <c r="A59" t="b">
        <f>IF(('Input Data'!$C$25)="FRM", FALSE, ISNUMBER(MATCH(C59,'Input Data'!$N$14:$N$26,0)))</f>
        <v>0</v>
      </c>
      <c r="B59" s="51">
        <f>IF($A59, _xlfn.XLOOKUP(C59,'Input Data'!$N$13:$N$25,'Input Data'!$O$13:$O$25),$B58)</f>
        <v>6.3500000000000001E-2</v>
      </c>
      <c r="C59" s="63">
        <f t="shared" si="2"/>
        <v>57</v>
      </c>
      <c r="D59" s="55">
        <f t="shared" si="3"/>
        <v>15940275.834294749</v>
      </c>
      <c r="E59" s="54">
        <f>IF(D59&gt;0,IF(AND(C59='Input Data'!$B$25*12,'Input Data'!$E$25&gt;'Input Data'!$B$25),D59+D59*B59/12,-PMT(B59/12,'Input Data'!$E$25*12,D59,IF(AND(C59='Input Data'!$E$25*12,'Input Data'!$E$25&lt;'Input Data'!$B$25),D59,0))),0)</f>
        <v>99186.08778888821</v>
      </c>
      <c r="F59" s="55">
        <f>D59-E59</f>
        <v>15841089.746505862</v>
      </c>
      <c r="G59" s="55">
        <f t="shared" si="0"/>
        <v>84350.63</v>
      </c>
      <c r="H59" s="54">
        <f>MIN(E59-G59,D59)</f>
        <v>14835.457788888205</v>
      </c>
      <c r="I59" s="55">
        <f t="shared" si="1"/>
        <v>15925440.376505861</v>
      </c>
    </row>
    <row r="60" spans="1:9" x14ac:dyDescent="0.25">
      <c r="A60" t="b">
        <f>IF(('Input Data'!$C$25)="FRM", FALSE, ISNUMBER(MATCH(C60,'Input Data'!$N$14:$N$26,0)))</f>
        <v>0</v>
      </c>
      <c r="B60" s="51">
        <f>IF($A60, _xlfn.XLOOKUP(C60,'Input Data'!$N$13:$N$25,'Input Data'!$O$13:$O$25),$B59)</f>
        <v>6.3500000000000001E-2</v>
      </c>
      <c r="C60" s="63">
        <f t="shared" si="2"/>
        <v>58</v>
      </c>
      <c r="D60" s="55">
        <f t="shared" si="3"/>
        <v>15925440.376505861</v>
      </c>
      <c r="E60" s="54">
        <f>IF(D60&gt;0,IF(AND(C60='Input Data'!$B$25*12,'Input Data'!$E$25&gt;'Input Data'!$B$25),D60+D60*B60/12,-PMT(B60/12,'Input Data'!$E$25*12,D60,IF(AND(C60='Input Data'!$E$25*12,'Input Data'!$E$25&lt;'Input Data'!$B$25),D60,0))),0)</f>
        <v>99093.776273458148</v>
      </c>
      <c r="F60" s="55">
        <f>D60-E60</f>
        <v>15826346.600232404</v>
      </c>
      <c r="G60" s="55">
        <f t="shared" si="0"/>
        <v>84272.12</v>
      </c>
      <c r="H60" s="54">
        <f>MIN(E60-G60,D60)</f>
        <v>14821.656273458153</v>
      </c>
      <c r="I60" s="55">
        <f t="shared" si="1"/>
        <v>15910618.720232403</v>
      </c>
    </row>
    <row r="61" spans="1:9" x14ac:dyDescent="0.25">
      <c r="A61" t="b">
        <f>IF(('Input Data'!$C$25)="FRM", FALSE, ISNUMBER(MATCH(C61,'Input Data'!$N$14:$N$26,0)))</f>
        <v>0</v>
      </c>
      <c r="B61" s="51">
        <f>IF($A61, _xlfn.XLOOKUP(C61,'Input Data'!$N$13:$N$25,'Input Data'!$O$13:$O$25),$B60)</f>
        <v>6.3500000000000001E-2</v>
      </c>
      <c r="C61" s="63">
        <f t="shared" si="2"/>
        <v>59</v>
      </c>
      <c r="D61" s="55">
        <f t="shared" si="3"/>
        <v>15910618.720232403</v>
      </c>
      <c r="E61" s="54">
        <f>IF(D61&gt;0,IF(AND(C61='Input Data'!$B$25*12,'Input Data'!$E$25&gt;'Input Data'!$B$25),D61+D61*B61/12,-PMT(B61/12,'Input Data'!$E$25*12,D61,IF(AND(C61='Input Data'!$E$25*12,'Input Data'!$E$25&lt;'Input Data'!$B$25),D61,0))),0)</f>
        <v>99001.550635984982</v>
      </c>
      <c r="F61" s="55">
        <f>D61-E61</f>
        <v>15811617.169596419</v>
      </c>
      <c r="G61" s="55">
        <f t="shared" si="0"/>
        <v>84193.69</v>
      </c>
      <c r="H61" s="54">
        <f>MIN(E61-G61,D61)</f>
        <v>14807.86063598498</v>
      </c>
      <c r="I61" s="55">
        <f t="shared" si="1"/>
        <v>15895810.859596418</v>
      </c>
    </row>
    <row r="62" spans="1:9" x14ac:dyDescent="0.25">
      <c r="A62" t="b">
        <f>IF(('Input Data'!$C$25)="FRM", FALSE, ISNUMBER(MATCH(C62,'Input Data'!$N$14:$N$26,0)))</f>
        <v>0</v>
      </c>
      <c r="B62" s="51">
        <f>IF($A62, _xlfn.XLOOKUP(C62,'Input Data'!$N$13:$N$25,'Input Data'!$O$13:$O$25),$B61)</f>
        <v>6.3500000000000001E-2</v>
      </c>
      <c r="C62" s="63">
        <f t="shared" si="2"/>
        <v>60</v>
      </c>
      <c r="D62" s="55">
        <f t="shared" si="3"/>
        <v>15895810.859596418</v>
      </c>
      <c r="E62" s="54">
        <f>IF(D62&gt;0,IF(AND(C62='Input Data'!$B$25*12,'Input Data'!$E$25&gt;'Input Data'!$B$25),D62+D62*B62/12,-PMT(B62/12,'Input Data'!$E$25*12,D62,IF(AND(C62='Input Data'!$E$25*12,'Input Data'!$E$25&lt;'Input Data'!$B$25),D62,0))),0)</f>
        <v>98909.410839893972</v>
      </c>
      <c r="F62" s="55">
        <f>D62-E62</f>
        <v>15796901.448756523</v>
      </c>
      <c r="G62" s="55">
        <f t="shared" si="0"/>
        <v>84115.33</v>
      </c>
      <c r="H62" s="54">
        <f>MIN(E62-G62,D62)</f>
        <v>14794.08083989397</v>
      </c>
      <c r="I62" s="55">
        <f t="shared" si="1"/>
        <v>15881016.778756524</v>
      </c>
    </row>
    <row r="63" spans="1:9" x14ac:dyDescent="0.25">
      <c r="A63" t="b">
        <f>IF(('Input Data'!$C$25)="FRM", FALSE, ISNUMBER(MATCH(C63,'Input Data'!$N$14:$N$26,0)))</f>
        <v>0</v>
      </c>
      <c r="B63" s="51">
        <f>IF($A63, _xlfn.XLOOKUP(C63,'Input Data'!$N$13:$N$25,'Input Data'!$O$13:$O$25),$B62)</f>
        <v>6.3500000000000001E-2</v>
      </c>
      <c r="C63" s="63">
        <f t="shared" si="2"/>
        <v>61</v>
      </c>
      <c r="D63" s="55">
        <f t="shared" si="3"/>
        <v>15881016.778756524</v>
      </c>
      <c r="E63" s="54">
        <f>IF(D63&gt;0,IF(AND(C63='Input Data'!$B$25*12,'Input Data'!$E$25&gt;'Input Data'!$B$25),D63+D63*B63/12,-PMT(B63/12,'Input Data'!$E$25*12,D63,IF(AND(C63='Input Data'!$E$25*12,'Input Data'!$E$25&lt;'Input Data'!$B$25),D63,0))),0)</f>
        <v>98817.356786614357</v>
      </c>
      <c r="F63" s="55">
        <f>D63-E63</f>
        <v>15782199.421969909</v>
      </c>
      <c r="G63" s="55">
        <f t="shared" si="0"/>
        <v>84037.05</v>
      </c>
      <c r="H63" s="54">
        <f>MIN(E63-G63,D63)</f>
        <v>14780.306786614354</v>
      </c>
      <c r="I63" s="55">
        <f t="shared" si="1"/>
        <v>15866236.47196991</v>
      </c>
    </row>
    <row r="64" spans="1:9" x14ac:dyDescent="0.25">
      <c r="A64" t="b">
        <f>IF(('Input Data'!$C$25)="FRM", FALSE, ISNUMBER(MATCH(C64,'Input Data'!$N$14:$N$26,0)))</f>
        <v>0</v>
      </c>
      <c r="B64" s="51">
        <f>IF($A64, _xlfn.XLOOKUP(C64,'Input Data'!$N$13:$N$25,'Input Data'!$O$13:$O$25),$B63)</f>
        <v>6.3500000000000001E-2</v>
      </c>
      <c r="C64" s="63">
        <f t="shared" si="2"/>
        <v>62</v>
      </c>
      <c r="D64" s="55">
        <f t="shared" si="3"/>
        <v>15866236.47196991</v>
      </c>
      <c r="E64" s="54">
        <f>IF(D64&gt;0,IF(AND(C64='Input Data'!$B$25*12,'Input Data'!$E$25&gt;'Input Data'!$B$25),D64+D64*B64/12,-PMT(B64/12,'Input Data'!$E$25*12,D64,IF(AND(C64='Input Data'!$E$25*12,'Input Data'!$E$25&lt;'Input Data'!$B$25),D64,0))),0)</f>
        <v>98725.388440412367</v>
      </c>
      <c r="F64" s="55">
        <f>D64-E64</f>
        <v>15767511.083529498</v>
      </c>
      <c r="G64" s="55">
        <f t="shared" si="0"/>
        <v>83958.83</v>
      </c>
      <c r="H64" s="54">
        <f>MIN(E64-G64,D64)</f>
        <v>14766.558440412366</v>
      </c>
      <c r="I64" s="55">
        <f t="shared" si="1"/>
        <v>15851469.913529499</v>
      </c>
    </row>
    <row r="65" spans="1:9" x14ac:dyDescent="0.25">
      <c r="A65" t="b">
        <f>IF(('Input Data'!$C$25)="FRM", FALSE, ISNUMBER(MATCH(C65,'Input Data'!$N$14:$N$26,0)))</f>
        <v>0</v>
      </c>
      <c r="B65" s="51">
        <f>IF($A65, _xlfn.XLOOKUP(C65,'Input Data'!$N$13:$N$25,'Input Data'!$O$13:$O$25),$B64)</f>
        <v>6.3500000000000001E-2</v>
      </c>
      <c r="C65" s="63">
        <f t="shared" si="2"/>
        <v>63</v>
      </c>
      <c r="D65" s="55">
        <f t="shared" si="3"/>
        <v>15851469.913529499</v>
      </c>
      <c r="E65" s="54">
        <f>IF(D65&gt;0,IF(AND(C65='Input Data'!$B$25*12,'Input Data'!$E$25&gt;'Input Data'!$B$25),D65+D65*B65/12,-PMT(B65/12,'Input Data'!$E$25*12,D65,IF(AND(C65='Input Data'!$E$25*12,'Input Data'!$E$25&lt;'Input Data'!$B$25),D65,0))),0)</f>
        <v>98633.50564132935</v>
      </c>
      <c r="F65" s="55">
        <f>D65-E65</f>
        <v>15752836.407888168</v>
      </c>
      <c r="G65" s="55">
        <f t="shared" si="0"/>
        <v>83880.69</v>
      </c>
      <c r="H65" s="54">
        <f>MIN(E65-G65,D65)</f>
        <v>14752.815641329347</v>
      </c>
      <c r="I65" s="55">
        <f t="shared" si="1"/>
        <v>15836717.09788817</v>
      </c>
    </row>
    <row r="66" spans="1:9" x14ac:dyDescent="0.25">
      <c r="A66" t="b">
        <f>IF(('Input Data'!$C$25)="FRM", FALSE, ISNUMBER(MATCH(C66,'Input Data'!$N$14:$N$26,0)))</f>
        <v>0</v>
      </c>
      <c r="B66" s="51">
        <f>IF($A66, _xlfn.XLOOKUP(C66,'Input Data'!$N$13:$N$25,'Input Data'!$O$13:$O$25),$B65)</f>
        <v>6.3500000000000001E-2</v>
      </c>
      <c r="C66" s="63">
        <f t="shared" si="2"/>
        <v>64</v>
      </c>
      <c r="D66" s="55">
        <f t="shared" si="3"/>
        <v>15836717.09788817</v>
      </c>
      <c r="E66" s="54">
        <f>IF(D66&gt;0,IF(AND(C66='Input Data'!$B$25*12,'Input Data'!$E$25&gt;'Input Data'!$B$25),D66+D66*B66/12,-PMT(B66/12,'Input Data'!$E$25*12,D66,IF(AND(C66='Input Data'!$E$25*12,'Input Data'!$E$25&lt;'Input Data'!$B$25),D66,0))),0)</f>
        <v>98541.708354849165</v>
      </c>
      <c r="F66" s="55">
        <f>D66-E66</f>
        <v>15738175.38953332</v>
      </c>
      <c r="G66" s="55">
        <f t="shared" si="0"/>
        <v>83802.63</v>
      </c>
      <c r="H66" s="54">
        <f>MIN(E66-G66,D66)</f>
        <v>14739.07835484916</v>
      </c>
      <c r="I66" s="55">
        <f t="shared" si="1"/>
        <v>15821978.019533321</v>
      </c>
    </row>
    <row r="67" spans="1:9" x14ac:dyDescent="0.25">
      <c r="A67" t="b">
        <f>IF(('Input Data'!$C$25)="FRM", FALSE, ISNUMBER(MATCH(C67,'Input Data'!$N$14:$N$26,0)))</f>
        <v>0</v>
      </c>
      <c r="B67" s="51">
        <f>IF($A67, _xlfn.XLOOKUP(C67,'Input Data'!$N$13:$N$25,'Input Data'!$O$13:$O$25),$B66)</f>
        <v>6.3500000000000001E-2</v>
      </c>
      <c r="C67" s="63">
        <f t="shared" si="2"/>
        <v>65</v>
      </c>
      <c r="D67" s="55">
        <f t="shared" si="3"/>
        <v>15821978.019533321</v>
      </c>
      <c r="E67" s="54">
        <f>IF(D67&gt;0,IF(AND(C67='Input Data'!$B$25*12,'Input Data'!$E$25&gt;'Input Data'!$B$25),D67+D67*B67/12,-PMT(B67/12,'Input Data'!$E$25*12,D67,IF(AND(C67='Input Data'!$E$25*12,'Input Data'!$E$25&lt;'Input Data'!$B$25),D67,0))),0)</f>
        <v>98449.996546670402</v>
      </c>
      <c r="F67" s="55">
        <f>D67-E67</f>
        <v>15723528.02298665</v>
      </c>
      <c r="G67" s="55">
        <f t="shared" si="0"/>
        <v>83724.63</v>
      </c>
      <c r="H67" s="54">
        <f>MIN(E67-G67,D67)</f>
        <v>14725.366546670397</v>
      </c>
      <c r="I67" s="55">
        <f t="shared" si="1"/>
        <v>15807252.652986651</v>
      </c>
    </row>
    <row r="68" spans="1:9" x14ac:dyDescent="0.25">
      <c r="A68" t="b">
        <f>IF(('Input Data'!$C$25)="FRM", FALSE, ISNUMBER(MATCH(C68,'Input Data'!$N$14:$N$26,0)))</f>
        <v>0</v>
      </c>
      <c r="B68" s="51">
        <f>IF($A68, _xlfn.XLOOKUP(C68,'Input Data'!$N$13:$N$25,'Input Data'!$O$13:$O$25),$B67)</f>
        <v>6.3500000000000001E-2</v>
      </c>
      <c r="C68" s="63">
        <f t="shared" si="2"/>
        <v>66</v>
      </c>
      <c r="D68" s="55">
        <f t="shared" si="3"/>
        <v>15807252.652986651</v>
      </c>
      <c r="E68" s="54">
        <f>IF(D68&gt;0,IF(AND(C68='Input Data'!$B$25*12,'Input Data'!$E$25&gt;'Input Data'!$B$25),D68+D68*B68/12,-PMT(B68/12,'Input Data'!$E$25*12,D68,IF(AND(C68='Input Data'!$E$25*12,'Input Data'!$E$25&lt;'Input Data'!$B$25),D68,0))),0)</f>
        <v>98358.370058257977</v>
      </c>
      <c r="F68" s="55">
        <f>D68-E68</f>
        <v>15708894.282928394</v>
      </c>
      <c r="G68" s="55">
        <f t="shared" ref="G68:G131" si="4">ROUND(D68*B68/12,2)</f>
        <v>83646.710000000006</v>
      </c>
      <c r="H68" s="54">
        <f>MIN(E68-G68,D68)</f>
        <v>14711.66005825797</v>
      </c>
      <c r="I68" s="55">
        <f t="shared" ref="I68:I131" si="5">IF(ROUND(D68-H68,2)=0,0,D68-H68)</f>
        <v>15792540.992928393</v>
      </c>
    </row>
    <row r="69" spans="1:9" x14ac:dyDescent="0.25">
      <c r="A69" t="b">
        <f>IF(('Input Data'!$C$25)="FRM", FALSE, ISNUMBER(MATCH(C69,'Input Data'!$N$14:$N$26,0)))</f>
        <v>0</v>
      </c>
      <c r="B69" s="51">
        <f>IF($A69, _xlfn.XLOOKUP(C69,'Input Data'!$N$13:$N$25,'Input Data'!$O$13:$O$25),$B68)</f>
        <v>6.3500000000000001E-2</v>
      </c>
      <c r="C69" s="63">
        <f t="shared" ref="C69:C132" si="6">C68+1</f>
        <v>67</v>
      </c>
      <c r="D69" s="55">
        <f t="shared" ref="D69:D132" si="7">IF(I68&gt;0,I68-J68,0)</f>
        <v>15792540.992928393</v>
      </c>
      <c r="E69" s="54">
        <f>IF(D69&gt;0,IF(AND(C69='Input Data'!$B$25*12,'Input Data'!$E$25&gt;'Input Data'!$B$25),D69+D69*B69/12,-PMT(B69/12,'Input Data'!$E$25*12,D69,IF(AND(C69='Input Data'!$E$25*12,'Input Data'!$E$25&lt;'Input Data'!$B$25),D69,0))),0)</f>
        <v>98266.828856510445</v>
      </c>
      <c r="F69" s="55">
        <f>D69-E69</f>
        <v>15694274.164071882</v>
      </c>
      <c r="G69" s="55">
        <f t="shared" si="4"/>
        <v>83568.86</v>
      </c>
      <c r="H69" s="54">
        <f>MIN(E69-G69,D69)</f>
        <v>14697.968856510444</v>
      </c>
      <c r="I69" s="55">
        <f t="shared" si="5"/>
        <v>15777843.024071883</v>
      </c>
    </row>
    <row r="70" spans="1:9" x14ac:dyDescent="0.25">
      <c r="A70" t="b">
        <f>IF(('Input Data'!$C$25)="FRM", FALSE, ISNUMBER(MATCH(C70,'Input Data'!$N$14:$N$26,0)))</f>
        <v>0</v>
      </c>
      <c r="B70" s="51">
        <f>IF($A70, _xlfn.XLOOKUP(C70,'Input Data'!$N$13:$N$25,'Input Data'!$O$13:$O$25),$B69)</f>
        <v>6.3500000000000001E-2</v>
      </c>
      <c r="C70" s="63">
        <f t="shared" si="6"/>
        <v>68</v>
      </c>
      <c r="D70" s="55">
        <f t="shared" si="7"/>
        <v>15777843.024071883</v>
      </c>
      <c r="E70" s="54">
        <f>IF(D70&gt;0,IF(AND(C70='Input Data'!$B$25*12,'Input Data'!$E$25&gt;'Input Data'!$B$25),D70+D70*B70/12,-PMT(B70/12,'Input Data'!$E$25*12,D70,IF(AND(C70='Input Data'!$E$25*12,'Input Data'!$E$25&lt;'Input Data'!$B$25),D70,0))),0)</f>
        <v>98175.372846308674</v>
      </c>
      <c r="F70" s="55">
        <f>D70-E70</f>
        <v>15679667.651225574</v>
      </c>
      <c r="G70" s="55">
        <f t="shared" si="4"/>
        <v>83491.09</v>
      </c>
      <c r="H70" s="54">
        <f>MIN(E70-G70,D70)</f>
        <v>14684.282846308677</v>
      </c>
      <c r="I70" s="55">
        <f t="shared" si="5"/>
        <v>15763158.741225574</v>
      </c>
    </row>
    <row r="71" spans="1:9" x14ac:dyDescent="0.25">
      <c r="A71" t="b">
        <f>IF(('Input Data'!$C$25)="FRM", FALSE, ISNUMBER(MATCH(C71,'Input Data'!$N$14:$N$26,0)))</f>
        <v>0</v>
      </c>
      <c r="B71" s="51">
        <f>IF($A71, _xlfn.XLOOKUP(C71,'Input Data'!$N$13:$N$25,'Input Data'!$O$13:$O$25),$B70)</f>
        <v>6.3500000000000001E-2</v>
      </c>
      <c r="C71" s="63">
        <f t="shared" si="6"/>
        <v>69</v>
      </c>
      <c r="D71" s="55">
        <f t="shared" si="7"/>
        <v>15763158.741225574</v>
      </c>
      <c r="E71" s="54">
        <f>IF(D71&gt;0,IF(AND(C71='Input Data'!$B$25*12,'Input Data'!$E$25&gt;'Input Data'!$B$25),D71+D71*B71/12,-PMT(B71/12,'Input Data'!$E$25*12,D71,IF(AND(C71='Input Data'!$E$25*12,'Input Data'!$E$25&lt;'Input Data'!$B$25),D71,0))),0)</f>
        <v>98084.001995349041</v>
      </c>
      <c r="F71" s="55">
        <f>D71-E71</f>
        <v>15665074.739230225</v>
      </c>
      <c r="G71" s="55">
        <f t="shared" si="4"/>
        <v>83413.38</v>
      </c>
      <c r="H71" s="54">
        <f>MIN(E71-G71,D71)</f>
        <v>14670.621995349036</v>
      </c>
      <c r="I71" s="55">
        <f t="shared" si="5"/>
        <v>15748488.119230226</v>
      </c>
    </row>
    <row r="72" spans="1:9" x14ac:dyDescent="0.25">
      <c r="A72" t="b">
        <f>IF(('Input Data'!$C$25)="FRM", FALSE, ISNUMBER(MATCH(C72,'Input Data'!$N$14:$N$26,0)))</f>
        <v>0</v>
      </c>
      <c r="B72" s="51">
        <f>IF($A72, _xlfn.XLOOKUP(C72,'Input Data'!$N$13:$N$25,'Input Data'!$O$13:$O$25),$B71)</f>
        <v>6.3500000000000001E-2</v>
      </c>
      <c r="C72" s="63">
        <f t="shared" si="6"/>
        <v>70</v>
      </c>
      <c r="D72" s="55">
        <f t="shared" si="7"/>
        <v>15748488.119230226</v>
      </c>
      <c r="E72" s="54">
        <f>IF(D72&gt;0,IF(AND(C72='Input Data'!$B$25*12,'Input Data'!$E$25&gt;'Input Data'!$B$25),D72+D72*B72/12,-PMT(B72/12,'Input Data'!$E$25*12,D72,IF(AND(C72='Input Data'!$E$25*12,'Input Data'!$E$25&lt;'Input Data'!$B$25),D72,0))),0)</f>
        <v>97992.716147081752</v>
      </c>
      <c r="F72" s="55">
        <f>D72-E72</f>
        <v>15650495.403083144</v>
      </c>
      <c r="G72" s="55">
        <f t="shared" si="4"/>
        <v>83335.75</v>
      </c>
      <c r="H72" s="54">
        <f>MIN(E72-G72,D72)</f>
        <v>14656.966147081752</v>
      </c>
      <c r="I72" s="55">
        <f t="shared" si="5"/>
        <v>15733831.153083144</v>
      </c>
    </row>
    <row r="73" spans="1:9" x14ac:dyDescent="0.25">
      <c r="A73" t="b">
        <f>IF(('Input Data'!$C$25)="FRM", FALSE, ISNUMBER(MATCH(C73,'Input Data'!$N$14:$N$26,0)))</f>
        <v>0</v>
      </c>
      <c r="B73" s="51">
        <f>IF($A73, _xlfn.XLOOKUP(C73,'Input Data'!$N$13:$N$25,'Input Data'!$O$13:$O$25),$B72)</f>
        <v>6.3500000000000001E-2</v>
      </c>
      <c r="C73" s="63">
        <f t="shared" si="6"/>
        <v>71</v>
      </c>
      <c r="D73" s="55">
        <f t="shared" si="7"/>
        <v>15733831.153083144</v>
      </c>
      <c r="E73" s="54">
        <f>IF(D73&gt;0,IF(AND(C73='Input Data'!$B$25*12,'Input Data'!$E$25&gt;'Input Data'!$B$25),D73+D73*B73/12,-PMT(B73/12,'Input Data'!$E$25*12,D73,IF(AND(C73='Input Data'!$E$25*12,'Input Data'!$E$25&lt;'Input Data'!$B$25),D73,0))),0)</f>
        <v>97901.515270378251</v>
      </c>
      <c r="F73" s="55">
        <f>D73-E73</f>
        <v>15635929.637812765</v>
      </c>
      <c r="G73" s="55">
        <f t="shared" si="4"/>
        <v>83258.19</v>
      </c>
      <c r="H73" s="54">
        <f>MIN(E73-G73,D73)</f>
        <v>14643.325270378249</v>
      </c>
      <c r="I73" s="55">
        <f t="shared" si="5"/>
        <v>15719187.827812765</v>
      </c>
    </row>
    <row r="74" spans="1:9" x14ac:dyDescent="0.25">
      <c r="A74" t="b">
        <f>IF(('Input Data'!$C$25)="FRM", FALSE, ISNUMBER(MATCH(C74,'Input Data'!$N$14:$N$26,0)))</f>
        <v>0</v>
      </c>
      <c r="B74" s="51">
        <f>IF($A74, _xlfn.XLOOKUP(C74,'Input Data'!$N$13:$N$25,'Input Data'!$O$13:$O$25),$B73)</f>
        <v>6.3500000000000001E-2</v>
      </c>
      <c r="C74" s="63">
        <f t="shared" si="6"/>
        <v>72</v>
      </c>
      <c r="D74" s="55">
        <f t="shared" si="7"/>
        <v>15719187.827812765</v>
      </c>
      <c r="E74" s="54">
        <f>IF(D74&gt;0,IF(AND(C74='Input Data'!$B$25*12,'Input Data'!$E$25&gt;'Input Data'!$B$25),D74+D74*B74/12,-PMT(B74/12,'Input Data'!$E$25*12,D74,IF(AND(C74='Input Data'!$E$25*12,'Input Data'!$E$25&lt;'Input Data'!$B$25),D74,0))),0)</f>
        <v>97810.399272080133</v>
      </c>
      <c r="F74" s="55">
        <f>D74-E74</f>
        <v>15621377.428540684</v>
      </c>
      <c r="G74" s="55">
        <f t="shared" si="4"/>
        <v>83180.7</v>
      </c>
      <c r="H74" s="54">
        <f>MIN(E74-G74,D74)</f>
        <v>14629.699272080135</v>
      </c>
      <c r="I74" s="55">
        <f t="shared" si="5"/>
        <v>15704558.128540685</v>
      </c>
    </row>
    <row r="75" spans="1:9" x14ac:dyDescent="0.25">
      <c r="A75" t="b">
        <f>IF(('Input Data'!$C$25)="FRM", FALSE, ISNUMBER(MATCH(C75,'Input Data'!$N$14:$N$26,0)))</f>
        <v>0</v>
      </c>
      <c r="B75" s="51">
        <f>IF($A75, _xlfn.XLOOKUP(C75,'Input Data'!$N$13:$N$25,'Input Data'!$O$13:$O$25),$B74)</f>
        <v>6.3500000000000001E-2</v>
      </c>
      <c r="C75" s="63">
        <f t="shared" si="6"/>
        <v>73</v>
      </c>
      <c r="D75" s="55">
        <f t="shared" si="7"/>
        <v>15704558.128540685</v>
      </c>
      <c r="E75" s="54">
        <f>IF(D75&gt;0,IF(AND(C75='Input Data'!$B$25*12,'Input Data'!$E$25&gt;'Input Data'!$B$25),D75+D75*B75/12,-PMT(B75/12,'Input Data'!$E$25*12,D75,IF(AND(C75='Input Data'!$E$25*12,'Input Data'!$E$25&lt;'Input Data'!$B$25),D75,0))),0)</f>
        <v>97719.368059608678</v>
      </c>
      <c r="F75" s="55">
        <f>D75-E75</f>
        <v>15606838.760481076</v>
      </c>
      <c r="G75" s="55">
        <f t="shared" si="4"/>
        <v>83103.289999999994</v>
      </c>
      <c r="H75" s="54">
        <f>MIN(E75-G75,D75)</f>
        <v>14616.078059608684</v>
      </c>
      <c r="I75" s="55">
        <f t="shared" si="5"/>
        <v>15689942.050481077</v>
      </c>
    </row>
    <row r="76" spans="1:9" x14ac:dyDescent="0.25">
      <c r="A76" t="b">
        <f>IF(('Input Data'!$C$25)="FRM", FALSE, ISNUMBER(MATCH(C76,'Input Data'!$N$14:$N$26,0)))</f>
        <v>0</v>
      </c>
      <c r="B76" s="51">
        <f>IF($A76, _xlfn.XLOOKUP(C76,'Input Data'!$N$13:$N$25,'Input Data'!$O$13:$O$25),$B75)</f>
        <v>6.3500000000000001E-2</v>
      </c>
      <c r="C76" s="63">
        <f t="shared" si="6"/>
        <v>74</v>
      </c>
      <c r="D76" s="55">
        <f t="shared" si="7"/>
        <v>15689942.050481077</v>
      </c>
      <c r="E76" s="54">
        <f>IF(D76&gt;0,IF(AND(C76='Input Data'!$B$25*12,'Input Data'!$E$25&gt;'Input Data'!$B$25),D76+D76*B76/12,-PMT(B76/12,'Input Data'!$E$25*12,D76,IF(AND(C76='Input Data'!$E$25*12,'Input Data'!$E$25&lt;'Input Data'!$B$25),D76,0))),0)</f>
        <v>97628.421603184717</v>
      </c>
      <c r="F76" s="55">
        <f>D76-E76</f>
        <v>15592313.628877893</v>
      </c>
      <c r="G76" s="55">
        <f t="shared" si="4"/>
        <v>83025.94</v>
      </c>
      <c r="H76" s="54">
        <f>MIN(E76-G76,D76)</f>
        <v>14602.481603184715</v>
      </c>
      <c r="I76" s="55">
        <f t="shared" si="5"/>
        <v>15675339.568877893</v>
      </c>
    </row>
    <row r="77" spans="1:9" x14ac:dyDescent="0.25">
      <c r="A77" t="b">
        <f>IF(('Input Data'!$C$25)="FRM", FALSE, ISNUMBER(MATCH(C77,'Input Data'!$N$14:$N$26,0)))</f>
        <v>0</v>
      </c>
      <c r="B77" s="51">
        <f>IF($A77, _xlfn.XLOOKUP(C77,'Input Data'!$N$13:$N$25,'Input Data'!$O$13:$O$25),$B76)</f>
        <v>6.3500000000000001E-2</v>
      </c>
      <c r="C77" s="63">
        <f t="shared" si="6"/>
        <v>75</v>
      </c>
      <c r="D77" s="55">
        <f t="shared" si="7"/>
        <v>15675339.568877893</v>
      </c>
      <c r="E77" s="54">
        <f>IF(D77&gt;0,IF(AND(C77='Input Data'!$B$25*12,'Input Data'!$E$25&gt;'Input Data'!$B$25),D77+D77*B77/12,-PMT(B77/12,'Input Data'!$E$25*12,D77,IF(AND(C77='Input Data'!$E$25*12,'Input Data'!$E$25&lt;'Input Data'!$B$25),D77,0))),0)</f>
        <v>97537.559748767308</v>
      </c>
      <c r="F77" s="55">
        <f>D77-E77</f>
        <v>15577802.009129126</v>
      </c>
      <c r="G77" s="55">
        <f t="shared" si="4"/>
        <v>82948.67</v>
      </c>
      <c r="H77" s="54">
        <f>MIN(E77-G77,D77)</f>
        <v>14588.889748767309</v>
      </c>
      <c r="I77" s="55">
        <f t="shared" si="5"/>
        <v>15660750.679129126</v>
      </c>
    </row>
    <row r="78" spans="1:9" x14ac:dyDescent="0.25">
      <c r="A78" t="b">
        <f>IF(('Input Data'!$C$25)="FRM", FALSE, ISNUMBER(MATCH(C78,'Input Data'!$N$14:$N$26,0)))</f>
        <v>0</v>
      </c>
      <c r="B78" s="51">
        <f>IF($A78, _xlfn.XLOOKUP(C78,'Input Data'!$N$13:$N$25,'Input Data'!$O$13:$O$25),$B77)</f>
        <v>6.3500000000000001E-2</v>
      </c>
      <c r="C78" s="63">
        <f t="shared" si="6"/>
        <v>76</v>
      </c>
      <c r="D78" s="55">
        <f t="shared" si="7"/>
        <v>15660750.679129126</v>
      </c>
      <c r="E78" s="54">
        <f>IF(D78&gt;0,IF(AND(C78='Input Data'!$B$25*12,'Input Data'!$E$25&gt;'Input Data'!$B$25),D78+D78*B78/12,-PMT(B78/12,'Input Data'!$E$25*12,D78,IF(AND(C78='Input Data'!$E$25*12,'Input Data'!$E$25&lt;'Input Data'!$B$25),D78,0))),0)</f>
        <v>97446.782467721117</v>
      </c>
      <c r="F78" s="55">
        <f>D78-E78</f>
        <v>15563303.896661405</v>
      </c>
      <c r="G78" s="55">
        <f t="shared" si="4"/>
        <v>82871.47</v>
      </c>
      <c r="H78" s="54">
        <f>MIN(E78-G78,D78)</f>
        <v>14575.312467721116</v>
      </c>
      <c r="I78" s="55">
        <f t="shared" si="5"/>
        <v>15646175.366661405</v>
      </c>
    </row>
    <row r="79" spans="1:9" x14ac:dyDescent="0.25">
      <c r="A79" t="b">
        <f>IF(('Input Data'!$C$25)="FRM", FALSE, ISNUMBER(MATCH(C79,'Input Data'!$N$14:$N$26,0)))</f>
        <v>0</v>
      </c>
      <c r="B79" s="51">
        <f>IF($A79, _xlfn.XLOOKUP(C79,'Input Data'!$N$13:$N$25,'Input Data'!$O$13:$O$25),$B78)</f>
        <v>6.3500000000000001E-2</v>
      </c>
      <c r="C79" s="63">
        <f t="shared" si="6"/>
        <v>77</v>
      </c>
      <c r="D79" s="55">
        <f t="shared" si="7"/>
        <v>15646175.366661405</v>
      </c>
      <c r="E79" s="54">
        <f>IF(D79&gt;0,IF(AND(C79='Input Data'!$B$25*12,'Input Data'!$E$25&gt;'Input Data'!$B$25),D79+D79*B79/12,-PMT(B79/12,'Input Data'!$E$25*12,D79,IF(AND(C79='Input Data'!$E$25*12,'Input Data'!$E$25&lt;'Input Data'!$B$25),D79,0))),0)</f>
        <v>97356.089669365407</v>
      </c>
      <c r="F79" s="55">
        <f>D79-E79</f>
        <v>15548819.27699204</v>
      </c>
      <c r="G79" s="55">
        <f t="shared" si="4"/>
        <v>82794.34</v>
      </c>
      <c r="H79" s="54">
        <f>MIN(E79-G79,D79)</f>
        <v>14561.74966936541</v>
      </c>
      <c r="I79" s="55">
        <f t="shared" si="5"/>
        <v>15631613.61699204</v>
      </c>
    </row>
    <row r="80" spans="1:9" x14ac:dyDescent="0.25">
      <c r="A80" t="b">
        <f>IF(('Input Data'!$C$25)="FRM", FALSE, ISNUMBER(MATCH(C80,'Input Data'!$N$14:$N$26,0)))</f>
        <v>0</v>
      </c>
      <c r="B80" s="51">
        <f>IF($A80, _xlfn.XLOOKUP(C80,'Input Data'!$N$13:$N$25,'Input Data'!$O$13:$O$25),$B79)</f>
        <v>6.3500000000000001E-2</v>
      </c>
      <c r="C80" s="63">
        <f t="shared" si="6"/>
        <v>78</v>
      </c>
      <c r="D80" s="55">
        <f t="shared" si="7"/>
        <v>15631613.61699204</v>
      </c>
      <c r="E80" s="54">
        <f>IF(D80&gt;0,IF(AND(C80='Input Data'!$B$25*12,'Input Data'!$E$25&gt;'Input Data'!$B$25),D80+D80*B80/12,-PMT(B80/12,'Input Data'!$E$25*12,D80,IF(AND(C80='Input Data'!$E$25*12,'Input Data'!$E$25&lt;'Input Data'!$B$25),D80,0))),0)</f>
        <v>97265.481263583744</v>
      </c>
      <c r="F80" s="55">
        <f>D80-E80</f>
        <v>15534348.135728456</v>
      </c>
      <c r="G80" s="55">
        <f t="shared" si="4"/>
        <v>82717.289999999994</v>
      </c>
      <c r="H80" s="54">
        <f>MIN(E80-G80,D80)</f>
        <v>14548.191263583751</v>
      </c>
      <c r="I80" s="55">
        <f t="shared" si="5"/>
        <v>15617065.425728455</v>
      </c>
    </row>
    <row r="81" spans="1:9" x14ac:dyDescent="0.25">
      <c r="A81" t="b">
        <f>IF(('Input Data'!$C$25)="FRM", FALSE, ISNUMBER(MATCH(C81,'Input Data'!$N$14:$N$26,0)))</f>
        <v>0</v>
      </c>
      <c r="B81" s="51">
        <f>IF($A81, _xlfn.XLOOKUP(C81,'Input Data'!$N$13:$N$25,'Input Data'!$O$13:$O$25),$B80)</f>
        <v>6.3500000000000001E-2</v>
      </c>
      <c r="C81" s="63">
        <f t="shared" si="6"/>
        <v>79</v>
      </c>
      <c r="D81" s="55">
        <f t="shared" si="7"/>
        <v>15617065.425728455</v>
      </c>
      <c r="E81" s="54">
        <f>IF(D81&gt;0,IF(AND(C81='Input Data'!$B$25*12,'Input Data'!$E$25&gt;'Input Data'!$B$25),D81+D81*B81/12,-PMT(B81/12,'Input Data'!$E$25*12,D81,IF(AND(C81='Input Data'!$E$25*12,'Input Data'!$E$25&lt;'Input Data'!$B$25),D81,0))),0)</f>
        <v>97174.957223043952</v>
      </c>
      <c r="F81" s="55">
        <f>D81-E81</f>
        <v>15519890.46850541</v>
      </c>
      <c r="G81" s="55">
        <f t="shared" si="4"/>
        <v>82640.3</v>
      </c>
      <c r="H81" s="54">
        <f>MIN(E81-G81,D81)</f>
        <v>14534.657223043949</v>
      </c>
      <c r="I81" s="55">
        <f t="shared" si="5"/>
        <v>15602530.768505411</v>
      </c>
    </row>
    <row r="82" spans="1:9" x14ac:dyDescent="0.25">
      <c r="A82" t="b">
        <f>IF(('Input Data'!$C$25)="FRM", FALSE, ISNUMBER(MATCH(C82,'Input Data'!$N$14:$N$26,0)))</f>
        <v>0</v>
      </c>
      <c r="B82" s="51">
        <f>IF($A82, _xlfn.XLOOKUP(C82,'Input Data'!$N$13:$N$25,'Input Data'!$O$13:$O$25),$B81)</f>
        <v>6.3500000000000001E-2</v>
      </c>
      <c r="C82" s="63">
        <f t="shared" si="6"/>
        <v>80</v>
      </c>
      <c r="D82" s="55">
        <f t="shared" si="7"/>
        <v>15602530.768505411</v>
      </c>
      <c r="E82" s="54">
        <f>IF(D82&gt;0,IF(AND(C82='Input Data'!$B$25*12,'Input Data'!$E$25&gt;'Input Data'!$B$25),D82+D82*B82/12,-PMT(B82/12,'Input Data'!$E$25*12,D82,IF(AND(C82='Input Data'!$E$25*12,'Input Data'!$E$25&lt;'Input Data'!$B$25),D82,0))),0)</f>
        <v>97084.517396136755</v>
      </c>
      <c r="F82" s="55">
        <f>D82-E82</f>
        <v>15505446.251109274</v>
      </c>
      <c r="G82" s="55">
        <f t="shared" si="4"/>
        <v>82563.39</v>
      </c>
      <c r="H82" s="54">
        <f>MIN(E82-G82,D82)</f>
        <v>14521.127396136755</v>
      </c>
      <c r="I82" s="55">
        <f t="shared" si="5"/>
        <v>15588009.641109275</v>
      </c>
    </row>
    <row r="83" spans="1:9" x14ac:dyDescent="0.25">
      <c r="A83" t="b">
        <f>IF(('Input Data'!$C$25)="FRM", FALSE, ISNUMBER(MATCH(C83,'Input Data'!$N$14:$N$26,0)))</f>
        <v>0</v>
      </c>
      <c r="B83" s="51">
        <f>IF($A83, _xlfn.XLOOKUP(C83,'Input Data'!$N$13:$N$25,'Input Data'!$O$13:$O$25),$B82)</f>
        <v>6.3500000000000001E-2</v>
      </c>
      <c r="C83" s="63">
        <f t="shared" si="6"/>
        <v>81</v>
      </c>
      <c r="D83" s="55">
        <f t="shared" si="7"/>
        <v>15588009.641109275</v>
      </c>
      <c r="E83" s="54">
        <f>IF(D83&gt;0,IF(AND(C83='Input Data'!$B$25*12,'Input Data'!$E$25&gt;'Input Data'!$B$25),D83+D83*B83/12,-PMT(B83/12,'Input Data'!$E$25*12,D83,IF(AND(C83='Input Data'!$E$25*12,'Input Data'!$E$25&lt;'Input Data'!$B$25),D83,0))),0)</f>
        <v>96994.161756643487</v>
      </c>
      <c r="F83" s="55">
        <f>D83-E83</f>
        <v>15491015.479352631</v>
      </c>
      <c r="G83" s="55">
        <f t="shared" si="4"/>
        <v>82486.55</v>
      </c>
      <c r="H83" s="54">
        <f>MIN(E83-G83,D83)</f>
        <v>14507.611756643484</v>
      </c>
      <c r="I83" s="55">
        <f t="shared" si="5"/>
        <v>15573502.029352631</v>
      </c>
    </row>
    <row r="84" spans="1:9" x14ac:dyDescent="0.25">
      <c r="A84" t="b">
        <f>IF(('Input Data'!$C$25)="FRM", FALSE, ISNUMBER(MATCH(C84,'Input Data'!$N$14:$N$26,0)))</f>
        <v>0</v>
      </c>
      <c r="B84" s="51">
        <f>IF($A84, _xlfn.XLOOKUP(C84,'Input Data'!$N$13:$N$25,'Input Data'!$O$13:$O$25),$B83)</f>
        <v>6.3500000000000001E-2</v>
      </c>
      <c r="C84" s="63">
        <f t="shared" si="6"/>
        <v>82</v>
      </c>
      <c r="D84" s="55">
        <f t="shared" si="7"/>
        <v>15573502.029352631</v>
      </c>
      <c r="E84" s="54">
        <f>IF(D84&gt;0,IF(AND(C84='Input Data'!$B$25*12,'Input Data'!$E$25&gt;'Input Data'!$B$25),D84+D84*B84/12,-PMT(B84/12,'Input Data'!$E$25*12,D84,IF(AND(C84='Input Data'!$E$25*12,'Input Data'!$E$25&lt;'Input Data'!$B$25),D84,0))),0)</f>
        <v>96903.890216284984</v>
      </c>
      <c r="F84" s="55">
        <f>D84-E84</f>
        <v>15476598.139136346</v>
      </c>
      <c r="G84" s="55">
        <f t="shared" si="4"/>
        <v>82409.78</v>
      </c>
      <c r="H84" s="54">
        <f>MIN(E84-G84,D84)</f>
        <v>14494.110216284986</v>
      </c>
      <c r="I84" s="55">
        <f t="shared" si="5"/>
        <v>15559007.919136347</v>
      </c>
    </row>
    <row r="85" spans="1:9" x14ac:dyDescent="0.25">
      <c r="A85" t="b">
        <f>IF(('Input Data'!$C$25)="FRM", FALSE, ISNUMBER(MATCH(C85,'Input Data'!$N$14:$N$26,0)))</f>
        <v>0</v>
      </c>
      <c r="B85" s="51">
        <f>IF($A85, _xlfn.XLOOKUP(C85,'Input Data'!$N$13:$N$25,'Input Data'!$O$13:$O$25),$B84)</f>
        <v>6.3500000000000001E-2</v>
      </c>
      <c r="C85" s="63">
        <f t="shared" si="6"/>
        <v>83</v>
      </c>
      <c r="D85" s="55">
        <f t="shared" si="7"/>
        <v>15559007.919136347</v>
      </c>
      <c r="E85" s="54">
        <f>IF(D85&gt;0,IF(AND(C85='Input Data'!$B$25*12,'Input Data'!$E$25&gt;'Input Data'!$B$25),D85+D85*B85/12,-PMT(B85/12,'Input Data'!$E$25*12,D85,IF(AND(C85='Input Data'!$E$25*12,'Input Data'!$E$25&lt;'Input Data'!$B$25),D85,0))),0)</f>
        <v>96813.702687331344</v>
      </c>
      <c r="F85" s="55">
        <f>D85-E85</f>
        <v>15462194.216449017</v>
      </c>
      <c r="G85" s="55">
        <f t="shared" si="4"/>
        <v>82333.08</v>
      </c>
      <c r="H85" s="54">
        <f>MIN(E85-G85,D85)</f>
        <v>14480.622687331343</v>
      </c>
      <c r="I85" s="55">
        <f t="shared" si="5"/>
        <v>15544527.296449017</v>
      </c>
    </row>
    <row r="86" spans="1:9" x14ac:dyDescent="0.25">
      <c r="A86" t="b">
        <f>IF(('Input Data'!$C$25)="FRM", FALSE, ISNUMBER(MATCH(C86,'Input Data'!$N$14:$N$26,0)))</f>
        <v>0</v>
      </c>
      <c r="B86" s="51">
        <f>IF($A86, _xlfn.XLOOKUP(C86,'Input Data'!$N$13:$N$25,'Input Data'!$O$13:$O$25),$B85)</f>
        <v>6.3500000000000001E-2</v>
      </c>
      <c r="C86" s="63">
        <f t="shared" si="6"/>
        <v>84</v>
      </c>
      <c r="D86" s="55">
        <f t="shared" si="7"/>
        <v>15544527.296449017</v>
      </c>
      <c r="E86" s="54">
        <f>IF(D86&gt;0,IF(AND(C86='Input Data'!$B$25*12,'Input Data'!$E$25&gt;'Input Data'!$B$25),D86+D86*B86/12,-PMT(B86/12,'Input Data'!$E$25*12,D86,IF(AND(C86='Input Data'!$E$25*12,'Input Data'!$E$25&lt;'Input Data'!$B$25),D86,0))),0)</f>
        <v>96723.599082598666</v>
      </c>
      <c r="F86" s="55">
        <f>D86-E86</f>
        <v>15447803.697366418</v>
      </c>
      <c r="G86" s="55">
        <f t="shared" si="4"/>
        <v>82256.460000000006</v>
      </c>
      <c r="H86" s="54">
        <f>MIN(E86-G86,D86)</f>
        <v>14467.13908259866</v>
      </c>
      <c r="I86" s="55">
        <f t="shared" si="5"/>
        <v>15530060.157366417</v>
      </c>
    </row>
    <row r="87" spans="1:9" x14ac:dyDescent="0.25">
      <c r="A87" t="b">
        <f>IF(('Input Data'!$C$25)="FRM", FALSE, ISNUMBER(MATCH(C87,'Input Data'!$N$14:$N$26,0)))</f>
        <v>0</v>
      </c>
      <c r="B87" s="51">
        <f>IF($A87, _xlfn.XLOOKUP(C87,'Input Data'!$N$13:$N$25,'Input Data'!$O$13:$O$25),$B86)</f>
        <v>6.3500000000000001E-2</v>
      </c>
      <c r="C87" s="63">
        <f t="shared" si="6"/>
        <v>85</v>
      </c>
      <c r="D87" s="55">
        <f t="shared" si="7"/>
        <v>15530060.157366417</v>
      </c>
      <c r="E87" s="54">
        <f>IF(D87&gt;0,IF(AND(C87='Input Data'!$B$25*12,'Input Data'!$E$25&gt;'Input Data'!$B$25),D87+D87*B87/12,-PMT(B87/12,'Input Data'!$E$25*12,D87,IF(AND(C87='Input Data'!$E$25*12,'Input Data'!$E$25&lt;'Input Data'!$B$25),D87,0))),0)</f>
        <v>96633.579377668982</v>
      </c>
      <c r="F87" s="55">
        <f>D87-E87</f>
        <v>15433426.577988748</v>
      </c>
      <c r="G87" s="55">
        <f t="shared" si="4"/>
        <v>82179.899999999994</v>
      </c>
      <c r="H87" s="54">
        <f>MIN(E87-G87,D87)</f>
        <v>14453.679377668988</v>
      </c>
      <c r="I87" s="55">
        <f t="shared" si="5"/>
        <v>15515606.477988748</v>
      </c>
    </row>
    <row r="88" spans="1:9" x14ac:dyDescent="0.25">
      <c r="A88" t="b">
        <f>IF(('Input Data'!$C$25)="FRM", FALSE, ISNUMBER(MATCH(C88,'Input Data'!$N$14:$N$26,0)))</f>
        <v>0</v>
      </c>
      <c r="B88" s="51">
        <f>IF($A88, _xlfn.XLOOKUP(C88,'Input Data'!$N$13:$N$25,'Input Data'!$O$13:$O$25),$B87)</f>
        <v>6.3500000000000001E-2</v>
      </c>
      <c r="C88" s="63">
        <f t="shared" si="6"/>
        <v>86</v>
      </c>
      <c r="D88" s="55">
        <f t="shared" si="7"/>
        <v>15515606.477988748</v>
      </c>
      <c r="E88" s="54">
        <f>IF(D88&gt;0,IF(AND(C88='Input Data'!$B$25*12,'Input Data'!$E$25&gt;'Input Data'!$B$25),D88+D88*B88/12,-PMT(B88/12,'Input Data'!$E$25*12,D88,IF(AND(C88='Input Data'!$E$25*12,'Input Data'!$E$25&lt;'Input Data'!$B$25),D88,0))),0)</f>
        <v>96543.643423829242</v>
      </c>
      <c r="F88" s="55">
        <f>D88-E88</f>
        <v>15419062.834564919</v>
      </c>
      <c r="G88" s="55">
        <f t="shared" si="4"/>
        <v>82103.42</v>
      </c>
      <c r="H88" s="54">
        <f>MIN(E88-G88,D88)</f>
        <v>14440.223423829244</v>
      </c>
      <c r="I88" s="55">
        <f t="shared" si="5"/>
        <v>15501166.254564919</v>
      </c>
    </row>
    <row r="89" spans="1:9" x14ac:dyDescent="0.25">
      <c r="A89" t="b">
        <f>IF(('Input Data'!$C$25)="FRM", FALSE, ISNUMBER(MATCH(C89,'Input Data'!$N$14:$N$26,0)))</f>
        <v>0</v>
      </c>
      <c r="B89" s="51">
        <f>IF($A89, _xlfn.XLOOKUP(C89,'Input Data'!$N$13:$N$25,'Input Data'!$O$13:$O$25),$B88)</f>
        <v>6.3500000000000001E-2</v>
      </c>
      <c r="C89" s="63">
        <f t="shared" si="6"/>
        <v>87</v>
      </c>
      <c r="D89" s="55">
        <f t="shared" si="7"/>
        <v>15501166.254564919</v>
      </c>
      <c r="E89" s="54">
        <f>IF(D89&gt;0,IF(AND(C89='Input Data'!$B$25*12,'Input Data'!$E$25&gt;'Input Data'!$B$25),D89+D89*B89/12,-PMT(B89/12,'Input Data'!$E$25*12,D89,IF(AND(C89='Input Data'!$E$25*12,'Input Data'!$E$25&lt;'Input Data'!$B$25),D89,0))),0)</f>
        <v>96453.791197738799</v>
      </c>
      <c r="F89" s="55">
        <f>D89-E89</f>
        <v>15404712.463367179</v>
      </c>
      <c r="G89" s="55">
        <f t="shared" si="4"/>
        <v>82027</v>
      </c>
      <c r="H89" s="54">
        <f>MIN(E89-G89,D89)</f>
        <v>14426.791197738799</v>
      </c>
      <c r="I89" s="55">
        <f t="shared" si="5"/>
        <v>15486739.463367179</v>
      </c>
    </row>
    <row r="90" spans="1:9" x14ac:dyDescent="0.25">
      <c r="A90" t="b">
        <f>IF(('Input Data'!$C$25)="FRM", FALSE, ISNUMBER(MATCH(C90,'Input Data'!$N$14:$N$26,0)))</f>
        <v>0</v>
      </c>
      <c r="B90" s="51">
        <f>IF($A90, _xlfn.XLOOKUP(C90,'Input Data'!$N$13:$N$25,'Input Data'!$O$13:$O$25),$B89)</f>
        <v>6.3500000000000001E-2</v>
      </c>
      <c r="C90" s="63">
        <f t="shared" si="6"/>
        <v>88</v>
      </c>
      <c r="D90" s="55">
        <f t="shared" si="7"/>
        <v>15486739.463367179</v>
      </c>
      <c r="E90" s="54">
        <f>IF(D90&gt;0,IF(AND(C90='Input Data'!$B$25*12,'Input Data'!$E$25&gt;'Input Data'!$B$25),D90+D90*B90/12,-PMT(B90/12,'Input Data'!$E$25*12,D90,IF(AND(C90='Input Data'!$E$25*12,'Input Data'!$E$25&lt;'Input Data'!$B$25),D90,0))),0)</f>
        <v>96364.02255175513</v>
      </c>
      <c r="F90" s="55">
        <f>D90-E90</f>
        <v>15390375.440815425</v>
      </c>
      <c r="G90" s="55">
        <f t="shared" si="4"/>
        <v>81950.66</v>
      </c>
      <c r="H90" s="54">
        <f>MIN(E90-G90,D90)</f>
        <v>14413.362551755126</v>
      </c>
      <c r="I90" s="55">
        <f t="shared" si="5"/>
        <v>15472326.100815425</v>
      </c>
    </row>
    <row r="91" spans="1:9" x14ac:dyDescent="0.25">
      <c r="A91" t="b">
        <f>IF(('Input Data'!$C$25)="FRM", FALSE, ISNUMBER(MATCH(C91,'Input Data'!$N$14:$N$26,0)))</f>
        <v>0</v>
      </c>
      <c r="B91" s="51">
        <f>IF($A91, _xlfn.XLOOKUP(C91,'Input Data'!$N$13:$N$25,'Input Data'!$O$13:$O$25),$B90)</f>
        <v>6.3500000000000001E-2</v>
      </c>
      <c r="C91" s="63">
        <f t="shared" si="6"/>
        <v>89</v>
      </c>
      <c r="D91" s="55">
        <f t="shared" si="7"/>
        <v>15472326.100815425</v>
      </c>
      <c r="E91" s="54">
        <f>IF(D91&gt;0,IF(AND(C91='Input Data'!$B$25*12,'Input Data'!$E$25&gt;'Input Data'!$B$25),D91+D91*B91/12,-PMT(B91/12,'Input Data'!$E$25*12,D91,IF(AND(C91='Input Data'!$E$25*12,'Input Data'!$E$25&lt;'Input Data'!$B$25),D91,0))),0)</f>
        <v>96274.337463601521</v>
      </c>
      <c r="F91" s="55">
        <f>D91-E91</f>
        <v>15376051.763351822</v>
      </c>
      <c r="G91" s="55">
        <f t="shared" si="4"/>
        <v>81874.39</v>
      </c>
      <c r="H91" s="54">
        <f>MIN(E91-G91,D91)</f>
        <v>14399.947463601522</v>
      </c>
      <c r="I91" s="55">
        <f t="shared" si="5"/>
        <v>15457926.153351823</v>
      </c>
    </row>
    <row r="92" spans="1:9" x14ac:dyDescent="0.25">
      <c r="A92" t="b">
        <f>IF(('Input Data'!$C$25)="FRM", FALSE, ISNUMBER(MATCH(C92,'Input Data'!$N$14:$N$26,0)))</f>
        <v>0</v>
      </c>
      <c r="B92" s="51">
        <f>IF($A92, _xlfn.XLOOKUP(C92,'Input Data'!$N$13:$N$25,'Input Data'!$O$13:$O$25),$B91)</f>
        <v>6.3500000000000001E-2</v>
      </c>
      <c r="C92" s="63">
        <f t="shared" si="6"/>
        <v>90</v>
      </c>
      <c r="D92" s="55">
        <f t="shared" si="7"/>
        <v>15457926.153351823</v>
      </c>
      <c r="E92" s="54">
        <f>IF(D92&gt;0,IF(AND(C92='Input Data'!$B$25*12,'Input Data'!$E$25&gt;'Input Data'!$B$25),D92+D92*B92/12,-PMT(B92/12,'Input Data'!$E$25*12,D92,IF(AND(C92='Input Data'!$E$25*12,'Input Data'!$E$25&lt;'Input Data'!$B$25),D92,0))),0)</f>
        <v>96184.735848916345</v>
      </c>
      <c r="F92" s="55">
        <f>D92-E92</f>
        <v>15361741.417502906</v>
      </c>
      <c r="G92" s="55">
        <f t="shared" si="4"/>
        <v>81798.19</v>
      </c>
      <c r="H92" s="54">
        <f>MIN(E92-G92,D92)</f>
        <v>14386.545848916343</v>
      </c>
      <c r="I92" s="55">
        <f t="shared" si="5"/>
        <v>15443539.607502906</v>
      </c>
    </row>
    <row r="93" spans="1:9" x14ac:dyDescent="0.25">
      <c r="A93" t="b">
        <f>IF(('Input Data'!$C$25)="FRM", FALSE, ISNUMBER(MATCH(C93,'Input Data'!$N$14:$N$26,0)))</f>
        <v>0</v>
      </c>
      <c r="B93" s="51">
        <f>IF($A93, _xlfn.XLOOKUP(C93,'Input Data'!$N$13:$N$25,'Input Data'!$O$13:$O$25),$B92)</f>
        <v>6.3500000000000001E-2</v>
      </c>
      <c r="C93" s="63">
        <f t="shared" si="6"/>
        <v>91</v>
      </c>
      <c r="D93" s="55">
        <f t="shared" si="7"/>
        <v>15443539.607502906</v>
      </c>
      <c r="E93" s="54">
        <f>IF(D93&gt;0,IF(AND(C93='Input Data'!$B$25*12,'Input Data'!$E$25&gt;'Input Data'!$B$25),D93+D93*B93/12,-PMT(B93/12,'Input Data'!$E$25*12,D93,IF(AND(C93='Input Data'!$E$25*12,'Input Data'!$E$25&lt;'Input Data'!$B$25),D93,0))),0)</f>
        <v>96095.217623862816</v>
      </c>
      <c r="F93" s="55">
        <f>D93-E93</f>
        <v>15347444.389879042</v>
      </c>
      <c r="G93" s="55">
        <f t="shared" si="4"/>
        <v>81722.06</v>
      </c>
      <c r="H93" s="54">
        <f>MIN(E93-G93,D93)</f>
        <v>14373.157623862819</v>
      </c>
      <c r="I93" s="55">
        <f t="shared" si="5"/>
        <v>15429166.449879043</v>
      </c>
    </row>
    <row r="94" spans="1:9" x14ac:dyDescent="0.25">
      <c r="A94" t="b">
        <f>IF(('Input Data'!$C$25)="FRM", FALSE, ISNUMBER(MATCH(C94,'Input Data'!$N$14:$N$26,0)))</f>
        <v>0</v>
      </c>
      <c r="B94" s="51">
        <f>IF($A94, _xlfn.XLOOKUP(C94,'Input Data'!$N$13:$N$25,'Input Data'!$O$13:$O$25),$B93)</f>
        <v>6.3500000000000001E-2</v>
      </c>
      <c r="C94" s="63">
        <f t="shared" si="6"/>
        <v>92</v>
      </c>
      <c r="D94" s="55">
        <f t="shared" si="7"/>
        <v>15429166.449879043</v>
      </c>
      <c r="E94" s="54">
        <f>IF(D94&gt;0,IF(AND(C94='Input Data'!$B$25*12,'Input Data'!$E$25&gt;'Input Data'!$B$25),D94+D94*B94/12,-PMT(B94/12,'Input Data'!$E$25*12,D94,IF(AND(C94='Input Data'!$E$25*12,'Input Data'!$E$25&lt;'Input Data'!$B$25),D94,0))),0)</f>
        <v>96005.782705125908</v>
      </c>
      <c r="F94" s="55">
        <f>D94-E94</f>
        <v>15333160.667173916</v>
      </c>
      <c r="G94" s="55">
        <f t="shared" si="4"/>
        <v>81646.009999999995</v>
      </c>
      <c r="H94" s="54">
        <f>MIN(E94-G94,D94)</f>
        <v>14359.772705125913</v>
      </c>
      <c r="I94" s="55">
        <f t="shared" si="5"/>
        <v>15414806.677173916</v>
      </c>
    </row>
    <row r="95" spans="1:9" x14ac:dyDescent="0.25">
      <c r="A95" t="b">
        <f>IF(('Input Data'!$C$25)="FRM", FALSE, ISNUMBER(MATCH(C95,'Input Data'!$N$14:$N$26,0)))</f>
        <v>0</v>
      </c>
      <c r="B95" s="51">
        <f>IF($A95, _xlfn.XLOOKUP(C95,'Input Data'!$N$13:$N$25,'Input Data'!$O$13:$O$25),$B94)</f>
        <v>6.3500000000000001E-2</v>
      </c>
      <c r="C95" s="63">
        <f t="shared" si="6"/>
        <v>93</v>
      </c>
      <c r="D95" s="55">
        <f t="shared" si="7"/>
        <v>15414806.677173916</v>
      </c>
      <c r="E95" s="54">
        <f>IF(D95&gt;0,IF(AND(C95='Input Data'!$B$25*12,'Input Data'!$E$25&gt;'Input Data'!$B$25),D95+D95*B95/12,-PMT(B95/12,'Input Data'!$E$25*12,D95,IF(AND(C95='Input Data'!$E$25*12,'Input Data'!$E$25&lt;'Input Data'!$B$25),D95,0))),0)</f>
        <v>95916.431072132531</v>
      </c>
      <c r="F95" s="55">
        <f>D95-E95</f>
        <v>15318890.246101784</v>
      </c>
      <c r="G95" s="55">
        <f t="shared" si="4"/>
        <v>81570.02</v>
      </c>
      <c r="H95" s="54">
        <f>MIN(E95-G95,D95)</f>
        <v>14346.411072132527</v>
      </c>
      <c r="I95" s="55">
        <f t="shared" si="5"/>
        <v>15400460.266101783</v>
      </c>
    </row>
    <row r="96" spans="1:9" x14ac:dyDescent="0.25">
      <c r="A96" t="b">
        <f>IF(('Input Data'!$C$25)="FRM", FALSE, ISNUMBER(MATCH(C96,'Input Data'!$N$14:$N$26,0)))</f>
        <v>0</v>
      </c>
      <c r="B96" s="51">
        <f>IF($A96, _xlfn.XLOOKUP(C96,'Input Data'!$N$13:$N$25,'Input Data'!$O$13:$O$25),$B95)</f>
        <v>6.3500000000000001E-2</v>
      </c>
      <c r="C96" s="63">
        <f t="shared" si="6"/>
        <v>94</v>
      </c>
      <c r="D96" s="55">
        <f t="shared" si="7"/>
        <v>15400460.266101783</v>
      </c>
      <c r="E96" s="54">
        <f>IF(D96&gt;0,IF(AND(C96='Input Data'!$B$25*12,'Input Data'!$E$25&gt;'Input Data'!$B$25),D96+D96*B96/12,-PMT(B96/12,'Input Data'!$E$25*12,D96,IF(AND(C96='Input Data'!$E$25*12,'Input Data'!$E$25&lt;'Input Data'!$B$25),D96,0))),0)</f>
        <v>95827.162579990458</v>
      </c>
      <c r="F96" s="55">
        <f>D96-E96</f>
        <v>15304633.103521792</v>
      </c>
      <c r="G96" s="55">
        <f t="shared" si="4"/>
        <v>81494.100000000006</v>
      </c>
      <c r="H96" s="54">
        <f>MIN(E96-G96,D96)</f>
        <v>14333.062579990452</v>
      </c>
      <c r="I96" s="55">
        <f t="shared" si="5"/>
        <v>15386127.203521792</v>
      </c>
    </row>
    <row r="97" spans="1:9" x14ac:dyDescent="0.25">
      <c r="A97" t="b">
        <f>IF(('Input Data'!$C$25)="FRM", FALSE, ISNUMBER(MATCH(C97,'Input Data'!$N$14:$N$26,0)))</f>
        <v>0</v>
      </c>
      <c r="B97" s="51">
        <f>IF($A97, _xlfn.XLOOKUP(C97,'Input Data'!$N$13:$N$25,'Input Data'!$O$13:$O$25),$B96)</f>
        <v>6.3500000000000001E-2</v>
      </c>
      <c r="C97" s="63">
        <f t="shared" si="6"/>
        <v>95</v>
      </c>
      <c r="D97" s="55">
        <f t="shared" si="7"/>
        <v>15386127.203521792</v>
      </c>
      <c r="E97" s="54">
        <f>IF(D97&gt;0,IF(AND(C97='Input Data'!$B$25*12,'Input Data'!$E$25&gt;'Input Data'!$B$25),D97+D97*B97/12,-PMT(B97/12,'Input Data'!$E$25*12,D97,IF(AND(C97='Input Data'!$E$25*12,'Input Data'!$E$25&lt;'Input Data'!$B$25),D97,0))),0)</f>
        <v>95737.977146932652</v>
      </c>
      <c r="F97" s="55">
        <f>D97-E97</f>
        <v>15290389.226374859</v>
      </c>
      <c r="G97" s="55">
        <f t="shared" si="4"/>
        <v>81418.259999999995</v>
      </c>
      <c r="H97" s="54">
        <f>MIN(E97-G97,D97)</f>
        <v>14319.717146932657</v>
      </c>
      <c r="I97" s="55">
        <f t="shared" si="5"/>
        <v>15371807.486374859</v>
      </c>
    </row>
    <row r="98" spans="1:9" x14ac:dyDescent="0.25">
      <c r="A98" t="b">
        <f>IF(('Input Data'!$C$25)="FRM", FALSE, ISNUMBER(MATCH(C98,'Input Data'!$N$14:$N$26,0)))</f>
        <v>0</v>
      </c>
      <c r="B98" s="51">
        <f>IF($A98, _xlfn.XLOOKUP(C98,'Input Data'!$N$13:$N$25,'Input Data'!$O$13:$O$25),$B97)</f>
        <v>6.3500000000000001E-2</v>
      </c>
      <c r="C98" s="63">
        <f t="shared" si="6"/>
        <v>96</v>
      </c>
      <c r="D98" s="55">
        <f t="shared" si="7"/>
        <v>15371807.486374859</v>
      </c>
      <c r="E98" s="54">
        <f>IF(D98&gt;0,IF(AND(C98='Input Data'!$B$25*12,'Input Data'!$E$25&gt;'Input Data'!$B$25),D98+D98*B98/12,-PMT(B98/12,'Input Data'!$E$25*12,D98,IF(AND(C98='Input Data'!$E$25*12,'Input Data'!$E$25&lt;'Input Data'!$B$25),D98,0))),0)</f>
        <v>95648.874753924363</v>
      </c>
      <c r="F98" s="55">
        <f>D98-E98</f>
        <v>15276158.611620935</v>
      </c>
      <c r="G98" s="55">
        <f t="shared" si="4"/>
        <v>81342.48</v>
      </c>
      <c r="H98" s="54">
        <f>MIN(E98-G98,D98)</f>
        <v>14306.394753924367</v>
      </c>
      <c r="I98" s="55">
        <f t="shared" si="5"/>
        <v>15357501.091620935</v>
      </c>
    </row>
    <row r="99" spans="1:9" x14ac:dyDescent="0.25">
      <c r="A99" t="b">
        <f>IF(('Input Data'!$C$25)="FRM", FALSE, ISNUMBER(MATCH(C99,'Input Data'!$N$14:$N$26,0)))</f>
        <v>0</v>
      </c>
      <c r="B99" s="51">
        <f>IF($A99, _xlfn.XLOOKUP(C99,'Input Data'!$N$13:$N$25,'Input Data'!$O$13:$O$25),$B98)</f>
        <v>6.3500000000000001E-2</v>
      </c>
      <c r="C99" s="63">
        <f t="shared" si="6"/>
        <v>97</v>
      </c>
      <c r="D99" s="55">
        <f t="shared" si="7"/>
        <v>15357501.091620935</v>
      </c>
      <c r="E99" s="54">
        <f>IF(D99&gt;0,IF(AND(C99='Input Data'!$B$25*12,'Input Data'!$E$25&gt;'Input Data'!$B$25),D99+D99*B99/12,-PMT(B99/12,'Input Data'!$E$25*12,D99,IF(AND(C99='Input Data'!$E$25*12,'Input Data'!$E$25&lt;'Input Data'!$B$25),D99,0))),0)</f>
        <v>95559.855257602219</v>
      </c>
      <c r="F99" s="55">
        <f>D99-E99</f>
        <v>15261941.236363333</v>
      </c>
      <c r="G99" s="55">
        <f t="shared" si="4"/>
        <v>81266.78</v>
      </c>
      <c r="H99" s="54">
        <f>MIN(E99-G99,D99)</f>
        <v>14293.075257602221</v>
      </c>
      <c r="I99" s="55">
        <f t="shared" si="5"/>
        <v>15343208.016363332</v>
      </c>
    </row>
    <row r="100" spans="1:9" x14ac:dyDescent="0.25">
      <c r="A100" t="b">
        <f>IF(('Input Data'!$C$25)="FRM", FALSE, ISNUMBER(MATCH(C100,'Input Data'!$N$14:$N$26,0)))</f>
        <v>0</v>
      </c>
      <c r="B100" s="51">
        <f>IF($A100, _xlfn.XLOOKUP(C100,'Input Data'!$N$13:$N$25,'Input Data'!$O$13:$O$25),$B99)</f>
        <v>6.3500000000000001E-2</v>
      </c>
      <c r="C100" s="63">
        <f t="shared" si="6"/>
        <v>98</v>
      </c>
      <c r="D100" s="55">
        <f t="shared" si="7"/>
        <v>15343208.016363332</v>
      </c>
      <c r="E100" s="54">
        <f>IF(D100&gt;0,IF(AND(C100='Input Data'!$B$25*12,'Input Data'!$E$25&gt;'Input Data'!$B$25),D100+D100*B100/12,-PMT(B100/12,'Input Data'!$E$25*12,D100,IF(AND(C100='Input Data'!$E$25*12,'Input Data'!$E$25&lt;'Input Data'!$B$25),D100,0))),0)</f>
        <v>95470.918639941956</v>
      </c>
      <c r="F100" s="55">
        <f>D100-E100</f>
        <v>15247737.097723391</v>
      </c>
      <c r="G100" s="55">
        <f t="shared" si="4"/>
        <v>81191.14</v>
      </c>
      <c r="H100" s="54">
        <f>MIN(E100-G100,D100)</f>
        <v>14279.778639941956</v>
      </c>
      <c r="I100" s="55">
        <f t="shared" si="5"/>
        <v>15328928.23772339</v>
      </c>
    </row>
    <row r="101" spans="1:9" x14ac:dyDescent="0.25">
      <c r="A101" t="b">
        <f>IF(('Input Data'!$C$25)="FRM", FALSE, ISNUMBER(MATCH(C101,'Input Data'!$N$14:$N$26,0)))</f>
        <v>0</v>
      </c>
      <c r="B101" s="51">
        <f>IF($A101, _xlfn.XLOOKUP(C101,'Input Data'!$N$13:$N$25,'Input Data'!$O$13:$O$25),$B100)</f>
        <v>6.3500000000000001E-2</v>
      </c>
      <c r="C101" s="63">
        <f t="shared" si="6"/>
        <v>99</v>
      </c>
      <c r="D101" s="55">
        <f t="shared" si="7"/>
        <v>15328928.23772339</v>
      </c>
      <c r="E101" s="54">
        <f>IF(D101&gt;0,IF(AND(C101='Input Data'!$B$25*12,'Input Data'!$E$25&gt;'Input Data'!$B$25),D101+D101*B101/12,-PMT(B101/12,'Input Data'!$E$25*12,D101,IF(AND(C101='Input Data'!$E$25*12,'Input Data'!$E$25&lt;'Input Data'!$B$25),D101,0))),0)</f>
        <v>95382.064758584384</v>
      </c>
      <c r="F101" s="55">
        <f>D101-E101</f>
        <v>15233546.172964806</v>
      </c>
      <c r="G101" s="55">
        <f t="shared" si="4"/>
        <v>81115.58</v>
      </c>
      <c r="H101" s="54">
        <f>MIN(E101-G101,D101)</f>
        <v>14266.484758584382</v>
      </c>
      <c r="I101" s="55">
        <f t="shared" si="5"/>
        <v>15314661.752964806</v>
      </c>
    </row>
    <row r="102" spans="1:9" x14ac:dyDescent="0.25">
      <c r="A102" t="b">
        <f>IF(('Input Data'!$C$25)="FRM", FALSE, ISNUMBER(MATCH(C102,'Input Data'!$N$14:$N$26,0)))</f>
        <v>0</v>
      </c>
      <c r="B102" s="51">
        <f>IF($A102, _xlfn.XLOOKUP(C102,'Input Data'!$N$13:$N$25,'Input Data'!$O$13:$O$25),$B101)</f>
        <v>6.3500000000000001E-2</v>
      </c>
      <c r="C102" s="63">
        <f t="shared" si="6"/>
        <v>100</v>
      </c>
      <c r="D102" s="55">
        <f t="shared" si="7"/>
        <v>15314661.752964806</v>
      </c>
      <c r="E102" s="54">
        <f>IF(D102&gt;0,IF(AND(C102='Input Data'!$B$25*12,'Input Data'!$E$25&gt;'Input Data'!$B$25),D102+D102*B102/12,-PMT(B102/12,'Input Data'!$E$25*12,D102,IF(AND(C102='Input Data'!$E$25*12,'Input Data'!$E$25&lt;'Input Data'!$B$25),D102,0))),0)</f>
        <v>95293.293596503281</v>
      </c>
      <c r="F102" s="55">
        <f>D102-E102</f>
        <v>15219368.459368303</v>
      </c>
      <c r="G102" s="55">
        <f t="shared" si="4"/>
        <v>81040.09</v>
      </c>
      <c r="H102" s="54">
        <f>MIN(E102-G102,D102)</f>
        <v>14253.203596503285</v>
      </c>
      <c r="I102" s="55">
        <f t="shared" si="5"/>
        <v>15300408.549368303</v>
      </c>
    </row>
    <row r="103" spans="1:9" x14ac:dyDescent="0.25">
      <c r="A103" t="b">
        <f>IF(('Input Data'!$C$25)="FRM", FALSE, ISNUMBER(MATCH(C103,'Input Data'!$N$14:$N$26,0)))</f>
        <v>0</v>
      </c>
      <c r="B103" s="51">
        <f>IF($A103, _xlfn.XLOOKUP(C103,'Input Data'!$N$13:$N$25,'Input Data'!$O$13:$O$25),$B102)</f>
        <v>6.3500000000000001E-2</v>
      </c>
      <c r="C103" s="63">
        <f t="shared" si="6"/>
        <v>101</v>
      </c>
      <c r="D103" s="55">
        <f t="shared" si="7"/>
        <v>15300408.549368303</v>
      </c>
      <c r="E103" s="54">
        <f>IF(D103&gt;0,IF(AND(C103='Input Data'!$B$25*12,'Input Data'!$E$25&gt;'Input Data'!$B$25),D103+D103*B103/12,-PMT(B103/12,'Input Data'!$E$25*12,D103,IF(AND(C103='Input Data'!$E$25*12,'Input Data'!$E$25&lt;'Input Data'!$B$25),D103,0))),0)</f>
        <v>95204.60507455474</v>
      </c>
      <c r="F103" s="55">
        <f>D103-E103</f>
        <v>15205203.944293749</v>
      </c>
      <c r="G103" s="55">
        <f t="shared" si="4"/>
        <v>80964.66</v>
      </c>
      <c r="H103" s="54">
        <f>MIN(E103-G103,D103)</f>
        <v>14239.945074554736</v>
      </c>
      <c r="I103" s="55">
        <f t="shared" si="5"/>
        <v>15286168.604293749</v>
      </c>
    </row>
    <row r="104" spans="1:9" x14ac:dyDescent="0.25">
      <c r="A104" t="b">
        <f>IF(('Input Data'!$C$25)="FRM", FALSE, ISNUMBER(MATCH(C104,'Input Data'!$N$14:$N$26,0)))</f>
        <v>0</v>
      </c>
      <c r="B104" s="51">
        <f>IF($A104, _xlfn.XLOOKUP(C104,'Input Data'!$N$13:$N$25,'Input Data'!$O$13:$O$25),$B103)</f>
        <v>6.3500000000000001E-2</v>
      </c>
      <c r="C104" s="63">
        <f t="shared" si="6"/>
        <v>102</v>
      </c>
      <c r="D104" s="55">
        <f t="shared" si="7"/>
        <v>15286168.604293749</v>
      </c>
      <c r="E104" s="54">
        <f>IF(D104&gt;0,IF(AND(C104='Input Data'!$B$25*12,'Input Data'!$E$25&gt;'Input Data'!$B$25),D104+D104*B104/12,-PMT(B104/12,'Input Data'!$E$25*12,D104,IF(AND(C104='Input Data'!$E$25*12,'Input Data'!$E$25&lt;'Input Data'!$B$25),D104,0))),0)</f>
        <v>95115.999051863793</v>
      </c>
      <c r="F104" s="55">
        <f>D104-E104</f>
        <v>15191052.605241885</v>
      </c>
      <c r="G104" s="55">
        <f t="shared" si="4"/>
        <v>80889.31</v>
      </c>
      <c r="H104" s="54">
        <f>MIN(E104-G104,D104)</f>
        <v>14226.689051863796</v>
      </c>
      <c r="I104" s="55">
        <f t="shared" si="5"/>
        <v>15271941.915241884</v>
      </c>
    </row>
    <row r="105" spans="1:9" x14ac:dyDescent="0.25">
      <c r="A105" t="b">
        <f>IF(('Input Data'!$C$25)="FRM", FALSE, ISNUMBER(MATCH(C105,'Input Data'!$N$14:$N$26,0)))</f>
        <v>0</v>
      </c>
      <c r="B105" s="51">
        <f>IF($A105, _xlfn.XLOOKUP(C105,'Input Data'!$N$13:$N$25,'Input Data'!$O$13:$O$25),$B104)</f>
        <v>6.3500000000000001E-2</v>
      </c>
      <c r="C105" s="63">
        <f t="shared" si="6"/>
        <v>103</v>
      </c>
      <c r="D105" s="55">
        <f t="shared" si="7"/>
        <v>15271941.915241884</v>
      </c>
      <c r="E105" s="54">
        <f>IF(D105&gt;0,IF(AND(C105='Input Data'!$B$25*12,'Input Data'!$E$25&gt;'Input Data'!$B$25),D105+D105*B105/12,-PMT(B105/12,'Input Data'!$E$25*12,D105,IF(AND(C105='Input Data'!$E$25*12,'Input Data'!$E$25&lt;'Input Data'!$B$25),D105,0))),0)</f>
        <v>95027.475512879115</v>
      </c>
      <c r="F105" s="55">
        <f>D105-E105</f>
        <v>15176914.439729005</v>
      </c>
      <c r="G105" s="55">
        <f t="shared" si="4"/>
        <v>80814.03</v>
      </c>
      <c r="H105" s="54">
        <f>MIN(E105-G105,D105)</f>
        <v>14213.445512879116</v>
      </c>
      <c r="I105" s="55">
        <f t="shared" si="5"/>
        <v>15257728.469729004</v>
      </c>
    </row>
    <row r="106" spans="1:9" x14ac:dyDescent="0.25">
      <c r="A106" t="b">
        <f>IF(('Input Data'!$C$25)="FRM", FALSE, ISNUMBER(MATCH(C106,'Input Data'!$N$14:$N$26,0)))</f>
        <v>0</v>
      </c>
      <c r="B106" s="51">
        <f>IF($A106, _xlfn.XLOOKUP(C106,'Input Data'!$N$13:$N$25,'Input Data'!$O$13:$O$25),$B105)</f>
        <v>6.3500000000000001E-2</v>
      </c>
      <c r="C106" s="63">
        <f t="shared" si="6"/>
        <v>104</v>
      </c>
      <c r="D106" s="55">
        <f t="shared" si="7"/>
        <v>15257728.469729004</v>
      </c>
      <c r="E106" s="54">
        <f>IF(D106&gt;0,IF(AND(C106='Input Data'!$B$25*12,'Input Data'!$E$25&gt;'Input Data'!$B$25),D106+D106*B106/12,-PMT(B106/12,'Input Data'!$E$25*12,D106,IF(AND(C106='Input Data'!$E$25*12,'Input Data'!$E$25&lt;'Input Data'!$B$25),D106,0))),0)</f>
        <v>94939.034379922698</v>
      </c>
      <c r="F106" s="55">
        <f>D106-E106</f>
        <v>15162789.435349083</v>
      </c>
      <c r="G106" s="55">
        <f t="shared" si="4"/>
        <v>80738.81</v>
      </c>
      <c r="H106" s="54">
        <f>MIN(E106-G106,D106)</f>
        <v>14200.2243799227</v>
      </c>
      <c r="I106" s="55">
        <f t="shared" si="5"/>
        <v>15243528.245349081</v>
      </c>
    </row>
    <row r="107" spans="1:9" x14ac:dyDescent="0.25">
      <c r="A107" t="b">
        <f>IF(('Input Data'!$C$25)="FRM", FALSE, ISNUMBER(MATCH(C107,'Input Data'!$N$14:$N$26,0)))</f>
        <v>0</v>
      </c>
      <c r="B107" s="51">
        <f>IF($A107, _xlfn.XLOOKUP(C107,'Input Data'!$N$13:$N$25,'Input Data'!$O$13:$O$25),$B106)</f>
        <v>6.3500000000000001E-2</v>
      </c>
      <c r="C107" s="63">
        <f t="shared" si="6"/>
        <v>105</v>
      </c>
      <c r="D107" s="55">
        <f t="shared" si="7"/>
        <v>15243528.245349081</v>
      </c>
      <c r="E107" s="54">
        <f>IF(D107&gt;0,IF(AND(C107='Input Data'!$B$25*12,'Input Data'!$E$25&gt;'Input Data'!$B$25),D107+D107*B107/12,-PMT(B107/12,'Input Data'!$E$25*12,D107,IF(AND(C107='Input Data'!$E$25*12,'Input Data'!$E$25&lt;'Input Data'!$B$25),D107,0))),0)</f>
        <v>94850.675513576178</v>
      </c>
      <c r="F107" s="55">
        <f>D107-E107</f>
        <v>15148677.569835505</v>
      </c>
      <c r="G107" s="55">
        <f t="shared" si="4"/>
        <v>80663.67</v>
      </c>
      <c r="H107" s="54">
        <f>MIN(E107-G107,D107)</f>
        <v>14187.00551357618</v>
      </c>
      <c r="I107" s="55">
        <f t="shared" si="5"/>
        <v>15229341.239835504</v>
      </c>
    </row>
    <row r="108" spans="1:9" x14ac:dyDescent="0.25">
      <c r="A108" t="b">
        <f>IF(('Input Data'!$C$25)="FRM", FALSE, ISNUMBER(MATCH(C108,'Input Data'!$N$14:$N$26,0)))</f>
        <v>0</v>
      </c>
      <c r="B108" s="51">
        <f>IF($A108, _xlfn.XLOOKUP(C108,'Input Data'!$N$13:$N$25,'Input Data'!$O$13:$O$25),$B107)</f>
        <v>6.3500000000000001E-2</v>
      </c>
      <c r="C108" s="63">
        <f t="shared" si="6"/>
        <v>106</v>
      </c>
      <c r="D108" s="55">
        <f t="shared" si="7"/>
        <v>15229341.239835504</v>
      </c>
      <c r="E108" s="54">
        <f>IF(D108&gt;0,IF(AND(C108='Input Data'!$B$25*12,'Input Data'!$E$25&gt;'Input Data'!$B$25),D108+D108*B108/12,-PMT(B108/12,'Input Data'!$E$25*12,D108,IF(AND(C108='Input Data'!$E$25*12,'Input Data'!$E$25&lt;'Input Data'!$B$25),D108,0))),0)</f>
        <v>94762.398899735927</v>
      </c>
      <c r="F108" s="55">
        <f>D108-E108</f>
        <v>15134578.840935769</v>
      </c>
      <c r="G108" s="55">
        <f t="shared" si="4"/>
        <v>80588.600000000006</v>
      </c>
      <c r="H108" s="54">
        <f>MIN(E108-G108,D108)</f>
        <v>14173.798899735921</v>
      </c>
      <c r="I108" s="55">
        <f t="shared" si="5"/>
        <v>15215167.440935768</v>
      </c>
    </row>
    <row r="109" spans="1:9" x14ac:dyDescent="0.25">
      <c r="A109" t="b">
        <f>IF(('Input Data'!$C$25)="FRM", FALSE, ISNUMBER(MATCH(C109,'Input Data'!$N$14:$N$26,0)))</f>
        <v>0</v>
      </c>
      <c r="B109" s="51">
        <f>IF($A109, _xlfn.XLOOKUP(C109,'Input Data'!$N$13:$N$25,'Input Data'!$O$13:$O$25),$B108)</f>
        <v>6.3500000000000001E-2</v>
      </c>
      <c r="C109" s="63">
        <f t="shared" si="6"/>
        <v>107</v>
      </c>
      <c r="D109" s="55">
        <f t="shared" si="7"/>
        <v>15215167.440935768</v>
      </c>
      <c r="E109" s="54">
        <f>IF(D109&gt;0,IF(AND(C109='Input Data'!$B$25*12,'Input Data'!$E$25&gt;'Input Data'!$B$25),D109+D109*B109/12,-PMT(B109/12,'Input Data'!$E$25*12,D109,IF(AND(C109='Input Data'!$E$25*12,'Input Data'!$E$25&lt;'Input Data'!$B$25),D109,0))),0)</f>
        <v>94674.204462162481</v>
      </c>
      <c r="F109" s="55">
        <f>D109-E109</f>
        <v>15120493.236473605</v>
      </c>
      <c r="G109" s="55">
        <f t="shared" si="4"/>
        <v>80513.59</v>
      </c>
      <c r="H109" s="54">
        <f>MIN(E109-G109,D109)</f>
        <v>14160.614462162484</v>
      </c>
      <c r="I109" s="55">
        <f t="shared" si="5"/>
        <v>15201006.826473605</v>
      </c>
    </row>
    <row r="110" spans="1:9" x14ac:dyDescent="0.25">
      <c r="A110" t="b">
        <f>IF(('Input Data'!$C$25)="FRM", FALSE, ISNUMBER(MATCH(C110,'Input Data'!$N$14:$N$26,0)))</f>
        <v>0</v>
      </c>
      <c r="B110" s="51">
        <f>IF($A110, _xlfn.XLOOKUP(C110,'Input Data'!$N$13:$N$25,'Input Data'!$O$13:$O$25),$B109)</f>
        <v>6.3500000000000001E-2</v>
      </c>
      <c r="C110" s="63">
        <f t="shared" si="6"/>
        <v>108</v>
      </c>
      <c r="D110" s="55">
        <f t="shared" si="7"/>
        <v>15201006.826473605</v>
      </c>
      <c r="E110" s="54">
        <f>IF(D110&gt;0,IF(AND(C110='Input Data'!$B$25*12,'Input Data'!$E$25&gt;'Input Data'!$B$25),D110+D110*B110/12,-PMT(B110/12,'Input Data'!$E$25*12,D110,IF(AND(C110='Input Data'!$E$25*12,'Input Data'!$E$25&lt;'Input Data'!$B$25),D110,0))),0)</f>
        <v>94586.092062867159</v>
      </c>
      <c r="F110" s="55">
        <f>D110-E110</f>
        <v>15106420.734410739</v>
      </c>
      <c r="G110" s="55">
        <f t="shared" si="4"/>
        <v>80438.66</v>
      </c>
      <c r="H110" s="54">
        <f>MIN(E110-G110,D110)</f>
        <v>14147.432062867156</v>
      </c>
      <c r="I110" s="55">
        <f t="shared" si="5"/>
        <v>15186859.394410737</v>
      </c>
    </row>
    <row r="111" spans="1:9" x14ac:dyDescent="0.25">
      <c r="A111" t="b">
        <f>IF(('Input Data'!$C$25)="FRM", FALSE, ISNUMBER(MATCH(C111,'Input Data'!$N$14:$N$26,0)))</f>
        <v>0</v>
      </c>
      <c r="B111" s="51">
        <f>IF($A111, _xlfn.XLOOKUP(C111,'Input Data'!$N$13:$N$25,'Input Data'!$O$13:$O$25),$B110)</f>
        <v>6.3500000000000001E-2</v>
      </c>
      <c r="C111" s="63">
        <f t="shared" si="6"/>
        <v>109</v>
      </c>
      <c r="D111" s="55">
        <f t="shared" si="7"/>
        <v>15186859.394410737</v>
      </c>
      <c r="E111" s="54">
        <f>IF(D111&gt;0,IF(AND(C111='Input Data'!$B$25*12,'Input Data'!$E$25&gt;'Input Data'!$B$25),D111+D111*B111/12,-PMT(B111/12,'Input Data'!$E$25*12,D111,IF(AND(C111='Input Data'!$E$25*12,'Input Data'!$E$25&lt;'Input Data'!$B$25),D111,0))),0)</f>
        <v>94498.061689167109</v>
      </c>
      <c r="F111" s="55">
        <f>D111-E111</f>
        <v>15092361.332721571</v>
      </c>
      <c r="G111" s="55">
        <f t="shared" si="4"/>
        <v>80363.8</v>
      </c>
      <c r="H111" s="54">
        <f>MIN(E111-G111,D111)</f>
        <v>14134.261689167106</v>
      </c>
      <c r="I111" s="55">
        <f t="shared" si="5"/>
        <v>15172725.132721569</v>
      </c>
    </row>
    <row r="112" spans="1:9" x14ac:dyDescent="0.25">
      <c r="A112" t="b">
        <f>IF(('Input Data'!$C$25)="FRM", FALSE, ISNUMBER(MATCH(C112,'Input Data'!$N$14:$N$26,0)))</f>
        <v>0</v>
      </c>
      <c r="B112" s="51">
        <f>IF($A112, _xlfn.XLOOKUP(C112,'Input Data'!$N$13:$N$25,'Input Data'!$O$13:$O$25),$B111)</f>
        <v>6.3500000000000001E-2</v>
      </c>
      <c r="C112" s="63">
        <f t="shared" si="6"/>
        <v>110</v>
      </c>
      <c r="D112" s="55">
        <f t="shared" si="7"/>
        <v>15172725.132721569</v>
      </c>
      <c r="E112" s="54">
        <f>IF(D112&gt;0,IF(AND(C112='Input Data'!$B$25*12,'Input Data'!$E$25&gt;'Input Data'!$B$25),D112+D112*B112/12,-PMT(B112/12,'Input Data'!$E$25*12,D112,IF(AND(C112='Input Data'!$E$25*12,'Input Data'!$E$25&lt;'Input Data'!$B$25),D112,0))),0)</f>
        <v>94410.113266234752</v>
      </c>
      <c r="F112" s="55">
        <f>D112-E112</f>
        <v>15078315.019455334</v>
      </c>
      <c r="G112" s="55">
        <f t="shared" si="4"/>
        <v>80289</v>
      </c>
      <c r="H112" s="54">
        <f>MIN(E112-G112,D112)</f>
        <v>14121.113266234752</v>
      </c>
      <c r="I112" s="55">
        <f t="shared" si="5"/>
        <v>15158604.019455334</v>
      </c>
    </row>
    <row r="113" spans="1:9" x14ac:dyDescent="0.25">
      <c r="A113" t="b">
        <f>IF(('Input Data'!$C$25)="FRM", FALSE, ISNUMBER(MATCH(C113,'Input Data'!$N$14:$N$26,0)))</f>
        <v>0</v>
      </c>
      <c r="B113" s="51">
        <f>IF($A113, _xlfn.XLOOKUP(C113,'Input Data'!$N$13:$N$25,'Input Data'!$O$13:$O$25),$B112)</f>
        <v>6.3500000000000001E-2</v>
      </c>
      <c r="C113" s="63">
        <f t="shared" si="6"/>
        <v>111</v>
      </c>
      <c r="D113" s="55">
        <f t="shared" si="7"/>
        <v>15158604.019455334</v>
      </c>
      <c r="E113" s="54">
        <f>IF(D113&gt;0,IF(AND(C113='Input Data'!$B$25*12,'Input Data'!$E$25&gt;'Input Data'!$B$25),D113+D113*B113/12,-PMT(B113/12,'Input Data'!$E$25*12,D113,IF(AND(C113='Input Data'!$E$25*12,'Input Data'!$E$25&lt;'Input Data'!$B$25),D113,0))),0)</f>
        <v>94322.246657484604</v>
      </c>
      <c r="F113" s="55">
        <f>D113-E113</f>
        <v>15064281.772797849</v>
      </c>
      <c r="G113" s="55">
        <f t="shared" si="4"/>
        <v>80214.28</v>
      </c>
      <c r="H113" s="54">
        <f>MIN(E113-G113,D113)</f>
        <v>14107.966657484605</v>
      </c>
      <c r="I113" s="55">
        <f t="shared" si="5"/>
        <v>15144496.05279785</v>
      </c>
    </row>
    <row r="114" spans="1:9" x14ac:dyDescent="0.25">
      <c r="A114" t="b">
        <f>IF(('Input Data'!$C$25)="FRM", FALSE, ISNUMBER(MATCH(C114,'Input Data'!$N$14:$N$26,0)))</f>
        <v>0</v>
      </c>
      <c r="B114" s="51">
        <f>IF($A114, _xlfn.XLOOKUP(C114,'Input Data'!$N$13:$N$25,'Input Data'!$O$13:$O$25),$B113)</f>
        <v>6.3500000000000001E-2</v>
      </c>
      <c r="C114" s="63">
        <f t="shared" si="6"/>
        <v>112</v>
      </c>
      <c r="D114" s="55">
        <f t="shared" si="7"/>
        <v>15144496.05279785</v>
      </c>
      <c r="E114" s="54">
        <f>IF(D114&gt;0,IF(AND(C114='Input Data'!$B$25*12,'Input Data'!$E$25&gt;'Input Data'!$B$25),D114+D114*B114/12,-PMT(B114/12,'Input Data'!$E$25*12,D114,IF(AND(C114='Input Data'!$E$25*12,'Input Data'!$E$25&lt;'Input Data'!$B$25),D114,0))),0)</f>
        <v>94234.461851628148</v>
      </c>
      <c r="F114" s="55">
        <f>D114-E114</f>
        <v>15050261.590946222</v>
      </c>
      <c r="G114" s="55">
        <f t="shared" si="4"/>
        <v>80139.62</v>
      </c>
      <c r="H114" s="54">
        <f>MIN(E114-G114,D114)</f>
        <v>14094.841851628153</v>
      </c>
      <c r="I114" s="55">
        <f t="shared" si="5"/>
        <v>15130401.210946223</v>
      </c>
    </row>
    <row r="115" spans="1:9" x14ac:dyDescent="0.25">
      <c r="A115" t="b">
        <f>IF(('Input Data'!$C$25)="FRM", FALSE, ISNUMBER(MATCH(C115,'Input Data'!$N$14:$N$26,0)))</f>
        <v>0</v>
      </c>
      <c r="B115" s="51">
        <f>IF($A115, _xlfn.XLOOKUP(C115,'Input Data'!$N$13:$N$25,'Input Data'!$O$13:$O$25),$B114)</f>
        <v>6.3500000000000001E-2</v>
      </c>
      <c r="C115" s="63">
        <f t="shared" si="6"/>
        <v>113</v>
      </c>
      <c r="D115" s="55">
        <f t="shared" si="7"/>
        <v>15130401.210946223</v>
      </c>
      <c r="E115" s="54">
        <f>IF(D115&gt;0,IF(AND(C115='Input Data'!$B$25*12,'Input Data'!$E$25&gt;'Input Data'!$B$25),D115+D115*B115/12,-PMT(B115/12,'Input Data'!$E$25*12,D115,IF(AND(C115='Input Data'!$E$25*12,'Input Data'!$E$25&lt;'Input Data'!$B$25),D115,0))),0)</f>
        <v>94146.758713000003</v>
      </c>
      <c r="F115" s="55">
        <f>D115-E115</f>
        <v>15036254.452233223</v>
      </c>
      <c r="G115" s="55">
        <f t="shared" si="4"/>
        <v>80065.039999999994</v>
      </c>
      <c r="H115" s="54">
        <f>MIN(E115-G115,D115)</f>
        <v>14081.718713000009</v>
      </c>
      <c r="I115" s="55">
        <f t="shared" si="5"/>
        <v>15116319.492233222</v>
      </c>
    </row>
    <row r="116" spans="1:9" x14ac:dyDescent="0.25">
      <c r="A116" t="b">
        <f>IF(('Input Data'!$C$25)="FRM", FALSE, ISNUMBER(MATCH(C116,'Input Data'!$N$14:$N$26,0)))</f>
        <v>0</v>
      </c>
      <c r="B116" s="51">
        <f>IF($A116, _xlfn.XLOOKUP(C116,'Input Data'!$N$13:$N$25,'Input Data'!$O$13:$O$25),$B115)</f>
        <v>6.3500000000000001E-2</v>
      </c>
      <c r="C116" s="63">
        <f t="shared" si="6"/>
        <v>114</v>
      </c>
      <c r="D116" s="55">
        <f t="shared" si="7"/>
        <v>15116319.492233222</v>
      </c>
      <c r="E116" s="54">
        <f>IF(D116&gt;0,IF(AND(C116='Input Data'!$B$25*12,'Input Data'!$E$25&gt;'Input Data'!$B$25),D116+D116*B116/12,-PMT(B116/12,'Input Data'!$E$25*12,D116,IF(AND(C116='Input Data'!$E$25*12,'Input Data'!$E$25&lt;'Input Data'!$B$25),D116,0))),0)</f>
        <v>94059.137231226079</v>
      </c>
      <c r="F116" s="55">
        <f>D116-E116</f>
        <v>15022260.355001997</v>
      </c>
      <c r="G116" s="55">
        <f t="shared" si="4"/>
        <v>79990.52</v>
      </c>
      <c r="H116" s="54">
        <f>MIN(E116-G116,D116)</f>
        <v>14068.617231226075</v>
      </c>
      <c r="I116" s="55">
        <f t="shared" si="5"/>
        <v>15102250.875001997</v>
      </c>
    </row>
    <row r="117" spans="1:9" x14ac:dyDescent="0.25">
      <c r="A117" t="b">
        <f>IF(('Input Data'!$C$25)="FRM", FALSE, ISNUMBER(MATCH(C117,'Input Data'!$N$14:$N$26,0)))</f>
        <v>0</v>
      </c>
      <c r="B117" s="51">
        <f>IF($A117, _xlfn.XLOOKUP(C117,'Input Data'!$N$13:$N$25,'Input Data'!$O$13:$O$25),$B116)</f>
        <v>6.3500000000000001E-2</v>
      </c>
      <c r="C117" s="63">
        <f t="shared" si="6"/>
        <v>115</v>
      </c>
      <c r="D117" s="55">
        <f t="shared" si="7"/>
        <v>15102250.875001997</v>
      </c>
      <c r="E117" s="54">
        <f>IF(D117&gt;0,IF(AND(C117='Input Data'!$B$25*12,'Input Data'!$E$25&gt;'Input Data'!$B$25),D117+D117*B117/12,-PMT(B117/12,'Input Data'!$E$25*12,D117,IF(AND(C117='Input Data'!$E$25*12,'Input Data'!$E$25&lt;'Input Data'!$B$25),D117,0))),0)</f>
        <v>93971.597271549675</v>
      </c>
      <c r="F117" s="55">
        <f>D117-E117</f>
        <v>15008279.277730446</v>
      </c>
      <c r="G117" s="55">
        <f t="shared" si="4"/>
        <v>79916.08</v>
      </c>
      <c r="H117" s="54">
        <f>MIN(E117-G117,D117)</f>
        <v>14055.517271549674</v>
      </c>
      <c r="I117" s="55">
        <f t="shared" si="5"/>
        <v>15088195.357730446</v>
      </c>
    </row>
    <row r="118" spans="1:9" x14ac:dyDescent="0.25">
      <c r="A118" t="b">
        <f>IF(('Input Data'!$C$25)="FRM", FALSE, ISNUMBER(MATCH(C118,'Input Data'!$N$14:$N$26,0)))</f>
        <v>0</v>
      </c>
      <c r="B118" s="51">
        <f>IF($A118, _xlfn.XLOOKUP(C118,'Input Data'!$N$13:$N$25,'Input Data'!$O$13:$O$25),$B117)</f>
        <v>6.3500000000000001E-2</v>
      </c>
      <c r="C118" s="63">
        <f t="shared" si="6"/>
        <v>116</v>
      </c>
      <c r="D118" s="55">
        <f t="shared" si="7"/>
        <v>15088195.357730446</v>
      </c>
      <c r="E118" s="54">
        <f>IF(D118&gt;0,IF(AND(C118='Input Data'!$B$25*12,'Input Data'!$E$25&gt;'Input Data'!$B$25),D118+D118*B118/12,-PMT(B118/12,'Input Data'!$E$25*12,D118,IF(AND(C118='Input Data'!$E$25*12,'Input Data'!$E$25&lt;'Input Data'!$B$25),D118,0))),0)</f>
        <v>93884.138824499794</v>
      </c>
      <c r="F118" s="55">
        <f>D118-E118</f>
        <v>14994311.218905946</v>
      </c>
      <c r="G118" s="55">
        <f t="shared" si="4"/>
        <v>79841.7</v>
      </c>
      <c r="H118" s="54">
        <f>MIN(E118-G118,D118)</f>
        <v>14042.438824499797</v>
      </c>
      <c r="I118" s="55">
        <f t="shared" si="5"/>
        <v>15074152.918905947</v>
      </c>
    </row>
    <row r="119" spans="1:9" x14ac:dyDescent="0.25">
      <c r="A119" t="b">
        <f>IF(('Input Data'!$C$25)="FRM", FALSE, ISNUMBER(MATCH(C119,'Input Data'!$N$14:$N$26,0)))</f>
        <v>0</v>
      </c>
      <c r="B119" s="51">
        <f>IF($A119, _xlfn.XLOOKUP(C119,'Input Data'!$N$13:$N$25,'Input Data'!$O$13:$O$25),$B118)</f>
        <v>6.3500000000000001E-2</v>
      </c>
      <c r="C119" s="63">
        <f t="shared" si="6"/>
        <v>117</v>
      </c>
      <c r="D119" s="55">
        <f t="shared" si="7"/>
        <v>15074152.918905947</v>
      </c>
      <c r="E119" s="54">
        <f>IF(D119&gt;0,IF(AND(C119='Input Data'!$B$25*12,'Input Data'!$E$25&gt;'Input Data'!$B$25),D119+D119*B119/12,-PMT(B119/12,'Input Data'!$E$25*12,D119,IF(AND(C119='Input Data'!$E$25*12,'Input Data'!$E$25&lt;'Input Data'!$B$25),D119,0))),0)</f>
        <v>93796.76175621718</v>
      </c>
      <c r="F119" s="55">
        <f>D119-E119</f>
        <v>14980356.15714973</v>
      </c>
      <c r="G119" s="55">
        <f t="shared" si="4"/>
        <v>79767.39</v>
      </c>
      <c r="H119" s="54">
        <f>MIN(E119-G119,D119)</f>
        <v>14029.371756217181</v>
      </c>
      <c r="I119" s="55">
        <f t="shared" si="5"/>
        <v>15060123.547149731</v>
      </c>
    </row>
    <row r="120" spans="1:9" x14ac:dyDescent="0.25">
      <c r="A120" t="b">
        <f>IF(('Input Data'!$C$25)="FRM", FALSE, ISNUMBER(MATCH(C120,'Input Data'!$N$14:$N$26,0)))</f>
        <v>0</v>
      </c>
      <c r="B120" s="51">
        <f>IF($A120, _xlfn.XLOOKUP(C120,'Input Data'!$N$13:$N$25,'Input Data'!$O$13:$O$25),$B119)</f>
        <v>6.3500000000000001E-2</v>
      </c>
      <c r="C120" s="63">
        <f t="shared" si="6"/>
        <v>118</v>
      </c>
      <c r="D120" s="55">
        <f t="shared" si="7"/>
        <v>15060123.547149731</v>
      </c>
      <c r="E120" s="54">
        <f>IF(D120&gt;0,IF(AND(C120='Input Data'!$B$25*12,'Input Data'!$E$25&gt;'Input Data'!$B$25),D120+D120*B120/12,-PMT(B120/12,'Input Data'!$E$25*12,D120,IF(AND(C120='Input Data'!$E$25*12,'Input Data'!$E$25&lt;'Input Data'!$B$25),D120,0))),0)</f>
        <v>93709.465995899081</v>
      </c>
      <c r="F120" s="55">
        <f>D120-E120</f>
        <v>14966414.081153832</v>
      </c>
      <c r="G120" s="55">
        <f t="shared" si="4"/>
        <v>79693.149999999994</v>
      </c>
      <c r="H120" s="54">
        <f>MIN(E120-G120,D120)</f>
        <v>14016.315995899087</v>
      </c>
      <c r="I120" s="55">
        <f t="shared" si="5"/>
        <v>15046107.231153831</v>
      </c>
    </row>
    <row r="121" spans="1:9" x14ac:dyDescent="0.25">
      <c r="A121" t="b">
        <f>IF(('Input Data'!$C$25)="FRM", FALSE, ISNUMBER(MATCH(C121,'Input Data'!$N$14:$N$26,0)))</f>
        <v>0</v>
      </c>
      <c r="B121" s="51">
        <f>IF($A121, _xlfn.XLOOKUP(C121,'Input Data'!$N$13:$N$25,'Input Data'!$O$13:$O$25),$B120)</f>
        <v>6.3500000000000001E-2</v>
      </c>
      <c r="C121" s="63">
        <f t="shared" si="6"/>
        <v>119</v>
      </c>
      <c r="D121" s="55">
        <f t="shared" si="7"/>
        <v>15046107.231153831</v>
      </c>
      <c r="E121" s="54">
        <f>IF(D121&gt;0,IF(AND(C121='Input Data'!$B$25*12,'Input Data'!$E$25&gt;'Input Data'!$B$25),D121+D121*B121/12,-PMT(B121/12,'Input Data'!$E$25*12,D121,IF(AND(C121='Input Data'!$E$25*12,'Input Data'!$E$25&lt;'Input Data'!$B$25),D121,0))),0)</f>
        <v>93622.251473183293</v>
      </c>
      <c r="F121" s="55">
        <f>D121-E121</f>
        <v>14952484.979680648</v>
      </c>
      <c r="G121" s="55">
        <f t="shared" si="4"/>
        <v>79618.98</v>
      </c>
      <c r="H121" s="54">
        <f>MIN(E121-G121,D121)</f>
        <v>14003.271473183297</v>
      </c>
      <c r="I121" s="55">
        <f t="shared" si="5"/>
        <v>15032103.959680647</v>
      </c>
    </row>
    <row r="122" spans="1:9" x14ac:dyDescent="0.25">
      <c r="A122" t="b">
        <f>IF(('Input Data'!$C$25)="FRM", FALSE, ISNUMBER(MATCH(C122,'Input Data'!$N$14:$N$26,0)))</f>
        <v>0</v>
      </c>
      <c r="B122" s="51">
        <f>IF($A122, _xlfn.XLOOKUP(C122,'Input Data'!$N$13:$N$25,'Input Data'!$O$13:$O$25),$B121)</f>
        <v>6.3500000000000001E-2</v>
      </c>
      <c r="C122" s="63">
        <f t="shared" si="6"/>
        <v>120</v>
      </c>
      <c r="D122" s="55">
        <f t="shared" si="7"/>
        <v>15032103.959680647</v>
      </c>
      <c r="E122" s="54">
        <f>IF(D122&gt;0,IF(AND(C122='Input Data'!$B$25*12,'Input Data'!$E$25&gt;'Input Data'!$B$25),D122+D122*B122/12,-PMT(B122/12,'Input Data'!$E$25*12,D122,IF(AND(C122='Input Data'!$E$25*12,'Input Data'!$E$25&lt;'Input Data'!$B$25),D122,0))),0)</f>
        <v>93535.118118145445</v>
      </c>
      <c r="F122" s="55">
        <f>D122-E122</f>
        <v>14938568.841562502</v>
      </c>
      <c r="G122" s="55">
        <f t="shared" si="4"/>
        <v>79544.88</v>
      </c>
      <c r="H122" s="54">
        <f>MIN(E122-G122,D122)</f>
        <v>13990.23811814544</v>
      </c>
      <c r="I122" s="55">
        <f t="shared" si="5"/>
        <v>15018113.721562501</v>
      </c>
    </row>
    <row r="123" spans="1:9" x14ac:dyDescent="0.25">
      <c r="A123" t="b">
        <f>IF(('Input Data'!$C$25)="FRM", FALSE, ISNUMBER(MATCH(C123,'Input Data'!$N$14:$N$26,0)))</f>
        <v>0</v>
      </c>
      <c r="B123" s="51">
        <f>IF($A123, _xlfn.XLOOKUP(C123,'Input Data'!$N$13:$N$25,'Input Data'!$O$13:$O$25),$B122)</f>
        <v>6.3500000000000001E-2</v>
      </c>
      <c r="C123" s="63">
        <f t="shared" si="6"/>
        <v>121</v>
      </c>
      <c r="D123" s="55">
        <f t="shared" si="7"/>
        <v>15018113.721562501</v>
      </c>
      <c r="E123" s="54">
        <f>IF(D123&gt;0,IF(AND(C123='Input Data'!$B$25*12,'Input Data'!$E$25&gt;'Input Data'!$B$25),D123+D123*B123/12,-PMT(B123/12,'Input Data'!$E$25*12,D123,IF(AND(C123='Input Data'!$E$25*12,'Input Data'!$E$25&lt;'Input Data'!$B$25),D123,0))),0)</f>
        <v>93448.065861296258</v>
      </c>
      <c r="F123" s="55">
        <f>D123-E123</f>
        <v>14924665.655701205</v>
      </c>
      <c r="G123" s="55">
        <f t="shared" si="4"/>
        <v>79470.850000000006</v>
      </c>
      <c r="H123" s="54">
        <f>MIN(E123-G123,D123)</f>
        <v>13977.215861296252</v>
      </c>
      <c r="I123" s="55">
        <f t="shared" si="5"/>
        <v>15004136.505701205</v>
      </c>
    </row>
    <row r="124" spans="1:9" x14ac:dyDescent="0.25">
      <c r="A124" t="b">
        <f>IF(('Input Data'!$C$25)="FRM", FALSE, ISNUMBER(MATCH(C124,'Input Data'!$N$14:$N$26,0)))</f>
        <v>0</v>
      </c>
      <c r="B124" s="51">
        <f>IF($A124, _xlfn.XLOOKUP(C124,'Input Data'!$N$13:$N$25,'Input Data'!$O$13:$O$25),$B123)</f>
        <v>6.3500000000000001E-2</v>
      </c>
      <c r="C124" s="63">
        <f t="shared" si="6"/>
        <v>122</v>
      </c>
      <c r="D124" s="55">
        <f t="shared" si="7"/>
        <v>15004136.505701205</v>
      </c>
      <c r="E124" s="54">
        <f>IF(D124&gt;0,IF(AND(C124='Input Data'!$B$25*12,'Input Data'!$E$25&gt;'Input Data'!$B$25),D124+D124*B124/12,-PMT(B124/12,'Input Data'!$E$25*12,D124,IF(AND(C124='Input Data'!$E$25*12,'Input Data'!$E$25&lt;'Input Data'!$B$25),D124,0))),0)</f>
        <v>93361.094633578847</v>
      </c>
      <c r="F124" s="55">
        <f>D124-E124</f>
        <v>14910775.411067626</v>
      </c>
      <c r="G124" s="55">
        <f t="shared" si="4"/>
        <v>79396.89</v>
      </c>
      <c r="H124" s="54">
        <f>MIN(E124-G124,D124)</f>
        <v>13964.204633578847</v>
      </c>
      <c r="I124" s="55">
        <f t="shared" si="5"/>
        <v>14990172.301067626</v>
      </c>
    </row>
    <row r="125" spans="1:9" x14ac:dyDescent="0.25">
      <c r="A125" t="b">
        <f>IF(('Input Data'!$C$25)="FRM", FALSE, ISNUMBER(MATCH(C125,'Input Data'!$N$14:$N$26,0)))</f>
        <v>0</v>
      </c>
      <c r="B125" s="51">
        <f>IF($A125, _xlfn.XLOOKUP(C125,'Input Data'!$N$13:$N$25,'Input Data'!$O$13:$O$25),$B124)</f>
        <v>6.3500000000000001E-2</v>
      </c>
      <c r="C125" s="63">
        <f t="shared" si="6"/>
        <v>123</v>
      </c>
      <c r="D125" s="55">
        <f t="shared" si="7"/>
        <v>14990172.301067626</v>
      </c>
      <c r="E125" s="54">
        <f>IF(D125&gt;0,IF(AND(C125='Input Data'!$B$25*12,'Input Data'!$E$25&gt;'Input Data'!$B$25),D125+D125*B125/12,-PMT(B125/12,'Input Data'!$E$25*12,D125,IF(AND(C125='Input Data'!$E$25*12,'Input Data'!$E$25&lt;'Input Data'!$B$25),D125,0))),0)</f>
        <v>93274.204366366015</v>
      </c>
      <c r="F125" s="55">
        <f>D125-E125</f>
        <v>14896898.096701261</v>
      </c>
      <c r="G125" s="55">
        <f t="shared" si="4"/>
        <v>79323</v>
      </c>
      <c r="H125" s="54">
        <f>MIN(E125-G125,D125)</f>
        <v>13951.204366366015</v>
      </c>
      <c r="I125" s="55">
        <f t="shared" si="5"/>
        <v>14976221.096701261</v>
      </c>
    </row>
    <row r="126" spans="1:9" x14ac:dyDescent="0.25">
      <c r="A126" t="b">
        <f>IF(('Input Data'!$C$25)="FRM", FALSE, ISNUMBER(MATCH(C126,'Input Data'!$N$14:$N$26,0)))</f>
        <v>0</v>
      </c>
      <c r="B126" s="51">
        <f>IF($A126, _xlfn.XLOOKUP(C126,'Input Data'!$N$13:$N$25,'Input Data'!$O$13:$O$25),$B125)</f>
        <v>6.3500000000000001E-2</v>
      </c>
      <c r="C126" s="63">
        <f t="shared" si="6"/>
        <v>124</v>
      </c>
      <c r="D126" s="55">
        <f t="shared" si="7"/>
        <v>14976221.096701261</v>
      </c>
      <c r="E126" s="54">
        <f>IF(D126&gt;0,IF(AND(C126='Input Data'!$B$25*12,'Input Data'!$E$25&gt;'Input Data'!$B$25),D126+D126*B126/12,-PMT(B126/12,'Input Data'!$E$25*12,D126,IF(AND(C126='Input Data'!$E$25*12,'Input Data'!$E$25&lt;'Input Data'!$B$25),D126,0))),0)</f>
        <v>93187.394991457579</v>
      </c>
      <c r="F126" s="55">
        <f>D126-E126</f>
        <v>14883033.701709803</v>
      </c>
      <c r="G126" s="55">
        <f t="shared" si="4"/>
        <v>79249.17</v>
      </c>
      <c r="H126" s="54">
        <f>MIN(E126-G126,D126)</f>
        <v>13938.22499145758</v>
      </c>
      <c r="I126" s="55">
        <f t="shared" si="5"/>
        <v>14962282.871709803</v>
      </c>
    </row>
    <row r="127" spans="1:9" x14ac:dyDescent="0.25">
      <c r="A127" t="b">
        <f>IF(('Input Data'!$C$25)="FRM", FALSE, ISNUMBER(MATCH(C127,'Input Data'!$N$14:$N$26,0)))</f>
        <v>0</v>
      </c>
      <c r="B127" s="51">
        <f>IF($A127, _xlfn.XLOOKUP(C127,'Input Data'!$N$13:$N$25,'Input Data'!$O$13:$O$25),$B126)</f>
        <v>6.3500000000000001E-2</v>
      </c>
      <c r="C127" s="63">
        <f t="shared" si="6"/>
        <v>125</v>
      </c>
      <c r="D127" s="55">
        <f t="shared" si="7"/>
        <v>14962282.871709803</v>
      </c>
      <c r="E127" s="54">
        <f>IF(D127&gt;0,IF(AND(C127='Input Data'!$B$25*12,'Input Data'!$E$25&gt;'Input Data'!$B$25),D127+D127*B127/12,-PMT(B127/12,'Input Data'!$E$25*12,D127,IF(AND(C127='Input Data'!$E$25*12,'Input Data'!$E$25&lt;'Input Data'!$B$25),D127,0))),0)</f>
        <v>93100.666378854177</v>
      </c>
      <c r="F127" s="55">
        <f>D127-E127</f>
        <v>14869182.205330949</v>
      </c>
      <c r="G127" s="55">
        <f t="shared" si="4"/>
        <v>79175.41</v>
      </c>
      <c r="H127" s="54">
        <f>MIN(E127-G127,D127)</f>
        <v>13925.256378854174</v>
      </c>
      <c r="I127" s="55">
        <f t="shared" si="5"/>
        <v>14948357.615330949</v>
      </c>
    </row>
    <row r="128" spans="1:9" x14ac:dyDescent="0.25">
      <c r="A128" t="b">
        <f>IF(('Input Data'!$C$25)="FRM", FALSE, ISNUMBER(MATCH(C128,'Input Data'!$N$14:$N$26,0)))</f>
        <v>0</v>
      </c>
      <c r="B128" s="51">
        <f>IF($A128, _xlfn.XLOOKUP(C128,'Input Data'!$N$13:$N$25,'Input Data'!$O$13:$O$25),$B127)</f>
        <v>6.3500000000000001E-2</v>
      </c>
      <c r="C128" s="63">
        <f t="shared" si="6"/>
        <v>126</v>
      </c>
      <c r="D128" s="55">
        <f t="shared" si="7"/>
        <v>14948357.615330949</v>
      </c>
      <c r="E128" s="54">
        <f>IF(D128&gt;0,IF(AND(C128='Input Data'!$B$25*12,'Input Data'!$E$25&gt;'Input Data'!$B$25),D128+D128*B128/12,-PMT(B128/12,'Input Data'!$E$25*12,D128,IF(AND(C128='Input Data'!$E$25*12,'Input Data'!$E$25&lt;'Input Data'!$B$25),D128,0))),0)</f>
        <v>93014.018461588887</v>
      </c>
      <c r="F128" s="55">
        <f>D128-E128</f>
        <v>14855343.596869361</v>
      </c>
      <c r="G128" s="55">
        <f t="shared" si="4"/>
        <v>79101.73</v>
      </c>
      <c r="H128" s="54">
        <f>MIN(E128-G128,D128)</f>
        <v>13912.288461588891</v>
      </c>
      <c r="I128" s="55">
        <f t="shared" si="5"/>
        <v>14934445.326869361</v>
      </c>
    </row>
    <row r="129" spans="1:9" x14ac:dyDescent="0.25">
      <c r="A129" t="b">
        <f>IF(('Input Data'!$C$25)="FRM", FALSE, ISNUMBER(MATCH(C129,'Input Data'!$N$14:$N$26,0)))</f>
        <v>0</v>
      </c>
      <c r="B129" s="51">
        <f>IF($A129, _xlfn.XLOOKUP(C129,'Input Data'!$N$13:$N$25,'Input Data'!$O$13:$O$25),$B128)</f>
        <v>6.3500000000000001E-2</v>
      </c>
      <c r="C129" s="63">
        <f t="shared" si="6"/>
        <v>127</v>
      </c>
      <c r="D129" s="55">
        <f t="shared" si="7"/>
        <v>14934445.326869361</v>
      </c>
      <c r="E129" s="54">
        <f>IF(D129&gt;0,IF(AND(C129='Input Data'!$B$25*12,'Input Data'!$E$25&gt;'Input Data'!$B$25),D129+D129*B129/12,-PMT(B129/12,'Input Data'!$E$25*12,D129,IF(AND(C129='Input Data'!$E$25*12,'Input Data'!$E$25&lt;'Input Data'!$B$25),D129,0))),0)</f>
        <v>92927.451235335087</v>
      </c>
      <c r="F129" s="55">
        <f>D129-E129</f>
        <v>14841517.875634026</v>
      </c>
      <c r="G129" s="55">
        <f t="shared" si="4"/>
        <v>79028.11</v>
      </c>
      <c r="H129" s="54">
        <f>MIN(E129-G129,D129)</f>
        <v>13899.341235335087</v>
      </c>
      <c r="I129" s="55">
        <f t="shared" si="5"/>
        <v>14920545.985634025</v>
      </c>
    </row>
    <row r="130" spans="1:9" x14ac:dyDescent="0.25">
      <c r="A130" t="b">
        <f>IF(('Input Data'!$C$25)="FRM", FALSE, ISNUMBER(MATCH(C130,'Input Data'!$N$14:$N$26,0)))</f>
        <v>0</v>
      </c>
      <c r="B130" s="51">
        <f>IF($A130, _xlfn.XLOOKUP(C130,'Input Data'!$N$13:$N$25,'Input Data'!$O$13:$O$25),$B129)</f>
        <v>6.3500000000000001E-2</v>
      </c>
      <c r="C130" s="63">
        <f t="shared" si="6"/>
        <v>128</v>
      </c>
      <c r="D130" s="55">
        <f t="shared" si="7"/>
        <v>14920545.985634025</v>
      </c>
      <c r="E130" s="54">
        <f>IF(D130&gt;0,IF(AND(C130='Input Data'!$B$25*12,'Input Data'!$E$25&gt;'Input Data'!$B$25),D130+D130*B130/12,-PMT(B130/12,'Input Data'!$E$25*12,D130,IF(AND(C130='Input Data'!$E$25*12,'Input Data'!$E$25&lt;'Input Data'!$B$25),D130,0))),0)</f>
        <v>92840.964571345903</v>
      </c>
      <c r="F130" s="55">
        <f>D130-E130</f>
        <v>14827705.02106268</v>
      </c>
      <c r="G130" s="55">
        <f t="shared" si="4"/>
        <v>78954.559999999998</v>
      </c>
      <c r="H130" s="54">
        <f>MIN(E130-G130,D130)</f>
        <v>13886.404571345905</v>
      </c>
      <c r="I130" s="55">
        <f t="shared" si="5"/>
        <v>14906659.58106268</v>
      </c>
    </row>
    <row r="131" spans="1:9" x14ac:dyDescent="0.25">
      <c r="A131" t="b">
        <f>IF(('Input Data'!$C$25)="FRM", FALSE, ISNUMBER(MATCH(C131,'Input Data'!$N$14:$N$26,0)))</f>
        <v>0</v>
      </c>
      <c r="B131" s="51">
        <f>IF($A131, _xlfn.XLOOKUP(C131,'Input Data'!$N$13:$N$25,'Input Data'!$O$13:$O$25),$B130)</f>
        <v>6.3500000000000001E-2</v>
      </c>
      <c r="C131" s="63">
        <f t="shared" si="6"/>
        <v>129</v>
      </c>
      <c r="D131" s="55">
        <f t="shared" si="7"/>
        <v>14906659.58106268</v>
      </c>
      <c r="E131" s="54">
        <f>IF(D131&gt;0,IF(AND(C131='Input Data'!$B$25*12,'Input Data'!$E$25&gt;'Input Data'!$B$25),D131+D131*B131/12,-PMT(B131/12,'Input Data'!$E$25*12,D131,IF(AND(C131='Input Data'!$E$25*12,'Input Data'!$E$25&lt;'Input Data'!$B$25),D131,0))),0)</f>
        <v>92754.558403899136</v>
      </c>
      <c r="F131" s="55">
        <f>D131-E131</f>
        <v>14813905.02265878</v>
      </c>
      <c r="G131" s="55">
        <f t="shared" si="4"/>
        <v>78881.070000000007</v>
      </c>
      <c r="H131" s="54">
        <f>MIN(E131-G131,D131)</f>
        <v>13873.488403899129</v>
      </c>
      <c r="I131" s="55">
        <f t="shared" si="5"/>
        <v>14892786.092658781</v>
      </c>
    </row>
    <row r="132" spans="1:9" x14ac:dyDescent="0.25">
      <c r="A132" t="b">
        <f>IF(('Input Data'!$C$25)="FRM", FALSE, ISNUMBER(MATCH(C132,'Input Data'!$N$14:$N$26,0)))</f>
        <v>0</v>
      </c>
      <c r="B132" s="51">
        <f>IF($A132, _xlfn.XLOOKUP(C132,'Input Data'!$N$13:$N$25,'Input Data'!$O$13:$O$25),$B131)</f>
        <v>6.3500000000000001E-2</v>
      </c>
      <c r="C132" s="63">
        <f t="shared" si="6"/>
        <v>130</v>
      </c>
      <c r="D132" s="55">
        <f t="shared" si="7"/>
        <v>14892786.092658781</v>
      </c>
      <c r="E132" s="54">
        <f>IF(D132&gt;0,IF(AND(C132='Input Data'!$B$25*12,'Input Data'!$E$25&gt;'Input Data'!$B$25),D132+D132*B132/12,-PMT(B132/12,'Input Data'!$E$25*12,D132,IF(AND(C132='Input Data'!$E$25*12,'Input Data'!$E$25&lt;'Input Data'!$B$25),D132,0))),0)</f>
        <v>92668.232605458019</v>
      </c>
      <c r="F132" s="55">
        <f>D132-E132</f>
        <v>14800117.860053323</v>
      </c>
      <c r="G132" s="55">
        <f t="shared" ref="G132:G195" si="8">ROUND(D132*B132/12,2)</f>
        <v>78807.66</v>
      </c>
      <c r="H132" s="54">
        <f>MIN(E132-G132,D132)</f>
        <v>13860.572605458015</v>
      </c>
      <c r="I132" s="55">
        <f t="shared" ref="I132:I195" si="9">IF(ROUND(D132-H132,2)=0,0,D132-H132)</f>
        <v>14878925.520053323</v>
      </c>
    </row>
    <row r="133" spans="1:9" x14ac:dyDescent="0.25">
      <c r="A133" t="b">
        <f>IF(('Input Data'!$C$25)="FRM", FALSE, ISNUMBER(MATCH(C133,'Input Data'!$N$14:$N$26,0)))</f>
        <v>0</v>
      </c>
      <c r="B133" s="51">
        <f>IF($A133, _xlfn.XLOOKUP(C133,'Input Data'!$N$13:$N$25,'Input Data'!$O$13:$O$25),$B132)</f>
        <v>6.3500000000000001E-2</v>
      </c>
      <c r="C133" s="63">
        <f t="shared" ref="C133:C196" si="10">C132+1</f>
        <v>131</v>
      </c>
      <c r="D133" s="55">
        <f t="shared" ref="D133:D196" si="11">IF(I132&gt;0,I132-J132,0)</f>
        <v>14878925.520053323</v>
      </c>
      <c r="E133" s="54">
        <f>IF(D133&gt;0,IF(AND(C133='Input Data'!$B$25*12,'Input Data'!$E$25&gt;'Input Data'!$B$25),D133+D133*B133/12,-PMT(B133/12,'Input Data'!$E$25*12,D133,IF(AND(C133='Input Data'!$E$25*12,'Input Data'!$E$25&lt;'Input Data'!$B$25),D133,0))),0)</f>
        <v>92581.987173726448</v>
      </c>
      <c r="F133" s="55">
        <f>D133-E133</f>
        <v>14786343.532879597</v>
      </c>
      <c r="G133" s="55">
        <f t="shared" si="8"/>
        <v>78734.31</v>
      </c>
      <c r="H133" s="54">
        <f>MIN(E133-G133,D133)</f>
        <v>13847.67717372645</v>
      </c>
      <c r="I133" s="55">
        <f t="shared" si="9"/>
        <v>14865077.842879597</v>
      </c>
    </row>
    <row r="134" spans="1:9" x14ac:dyDescent="0.25">
      <c r="A134" t="b">
        <f>IF(('Input Data'!$C$25)="FRM", FALSE, ISNUMBER(MATCH(C134,'Input Data'!$N$14:$N$26,0)))</f>
        <v>0</v>
      </c>
      <c r="B134" s="51">
        <f>IF($A134, _xlfn.XLOOKUP(C134,'Input Data'!$N$13:$N$25,'Input Data'!$O$13:$O$25),$B133)</f>
        <v>6.3500000000000001E-2</v>
      </c>
      <c r="C134" s="63">
        <f t="shared" si="10"/>
        <v>132</v>
      </c>
      <c r="D134" s="55">
        <f t="shared" si="11"/>
        <v>14865077.842879597</v>
      </c>
      <c r="E134" s="54">
        <f>IF(D134&gt;0,IF(AND(C134='Input Data'!$B$25*12,'Input Data'!$E$25&gt;'Input Data'!$B$25),D134+D134*B134/12,-PMT(B134/12,'Input Data'!$E$25*12,D134,IF(AND(C134='Input Data'!$E$25*12,'Input Data'!$E$25&lt;'Input Data'!$B$25),D134,0))),0)</f>
        <v>92495.821981975474</v>
      </c>
      <c r="F134" s="55">
        <f>D134-E134</f>
        <v>14772582.020897621</v>
      </c>
      <c r="G134" s="55">
        <f t="shared" si="8"/>
        <v>78661.039999999994</v>
      </c>
      <c r="H134" s="54">
        <f>MIN(E134-G134,D134)</f>
        <v>13834.78198197548</v>
      </c>
      <c r="I134" s="55">
        <f t="shared" si="9"/>
        <v>14851243.060897622</v>
      </c>
    </row>
    <row r="135" spans="1:9" x14ac:dyDescent="0.25">
      <c r="A135" t="b">
        <f>IF(('Input Data'!$C$25)="FRM", FALSE, ISNUMBER(MATCH(C135,'Input Data'!$N$14:$N$26,0)))</f>
        <v>0</v>
      </c>
      <c r="B135" s="51">
        <f>IF($A135, _xlfn.XLOOKUP(C135,'Input Data'!$N$13:$N$25,'Input Data'!$O$13:$O$25),$B134)</f>
        <v>6.3500000000000001E-2</v>
      </c>
      <c r="C135" s="63">
        <f t="shared" si="10"/>
        <v>133</v>
      </c>
      <c r="D135" s="55">
        <f t="shared" si="11"/>
        <v>14851243.060897622</v>
      </c>
      <c r="E135" s="54">
        <f>IF(D135&gt;0,IF(AND(C135='Input Data'!$B$25*12,'Input Data'!$E$25&gt;'Input Data'!$B$25),D135+D135*B135/12,-PMT(B135/12,'Input Data'!$E$25*12,D135,IF(AND(C135='Input Data'!$E$25*12,'Input Data'!$E$25&lt;'Input Data'!$B$25),D135,0))),0)</f>
        <v>92409.737028711868</v>
      </c>
      <c r="F135" s="55">
        <f>D135-E135</f>
        <v>14758833.32386891</v>
      </c>
      <c r="G135" s="55">
        <f t="shared" si="8"/>
        <v>78587.83</v>
      </c>
      <c r="H135" s="54">
        <f>MIN(E135-G135,D135)</f>
        <v>13821.907028711867</v>
      </c>
      <c r="I135" s="55">
        <f t="shared" si="9"/>
        <v>14837421.15386891</v>
      </c>
    </row>
    <row r="136" spans="1:9" x14ac:dyDescent="0.25">
      <c r="A136" t="b">
        <f>IF(('Input Data'!$C$25)="FRM", FALSE, ISNUMBER(MATCH(C136,'Input Data'!$N$14:$N$26,0)))</f>
        <v>0</v>
      </c>
      <c r="B136" s="51">
        <f>IF($A136, _xlfn.XLOOKUP(C136,'Input Data'!$N$13:$N$25,'Input Data'!$O$13:$O$25),$B135)</f>
        <v>6.3500000000000001E-2</v>
      </c>
      <c r="C136" s="63">
        <f t="shared" si="10"/>
        <v>134</v>
      </c>
      <c r="D136" s="55">
        <f t="shared" si="11"/>
        <v>14837421.15386891</v>
      </c>
      <c r="E136" s="54">
        <f>IF(D136&gt;0,IF(AND(C136='Input Data'!$B$25*12,'Input Data'!$E$25&gt;'Input Data'!$B$25),D136+D136*B136/12,-PMT(B136/12,'Input Data'!$E$25*12,D136,IF(AND(C136='Input Data'!$E$25*12,'Input Data'!$E$25&lt;'Input Data'!$B$25),D136,0))),0)</f>
        <v>92323.73218800452</v>
      </c>
      <c r="F136" s="55">
        <f>D136-E136</f>
        <v>14745097.421680905</v>
      </c>
      <c r="G136" s="55">
        <f t="shared" si="8"/>
        <v>78514.69</v>
      </c>
      <c r="H136" s="54">
        <f>MIN(E136-G136,D136)</f>
        <v>13809.042188004518</v>
      </c>
      <c r="I136" s="55">
        <f t="shared" si="9"/>
        <v>14823612.111680906</v>
      </c>
    </row>
    <row r="137" spans="1:9" x14ac:dyDescent="0.25">
      <c r="A137" t="b">
        <f>IF(('Input Data'!$C$25)="FRM", FALSE, ISNUMBER(MATCH(C137,'Input Data'!$N$14:$N$26,0)))</f>
        <v>0</v>
      </c>
      <c r="B137" s="51">
        <f>IF($A137, _xlfn.XLOOKUP(C137,'Input Data'!$N$13:$N$25,'Input Data'!$O$13:$O$25),$B136)</f>
        <v>6.3500000000000001E-2</v>
      </c>
      <c r="C137" s="63">
        <f t="shared" si="10"/>
        <v>135</v>
      </c>
      <c r="D137" s="55">
        <f t="shared" si="11"/>
        <v>14823612.111680906</v>
      </c>
      <c r="E137" s="54">
        <f>IF(D137&gt;0,IF(AND(C137='Input Data'!$B$25*12,'Input Data'!$E$25&gt;'Input Data'!$B$25),D137+D137*B137/12,-PMT(B137/12,'Input Data'!$E$25*12,D137,IF(AND(C137='Input Data'!$E$25*12,'Input Data'!$E$25&lt;'Input Data'!$B$25),D137,0))),0)</f>
        <v>92237.807396929507</v>
      </c>
      <c r="F137" s="55">
        <f>D137-E137</f>
        <v>14731374.304283977</v>
      </c>
      <c r="G137" s="55">
        <f t="shared" si="8"/>
        <v>78441.61</v>
      </c>
      <c r="H137" s="54">
        <f>MIN(E137-G137,D137)</f>
        <v>13796.197396929507</v>
      </c>
      <c r="I137" s="55">
        <f t="shared" si="9"/>
        <v>14809815.914283976</v>
      </c>
    </row>
    <row r="138" spans="1:9" x14ac:dyDescent="0.25">
      <c r="A138" t="b">
        <f>IF(('Input Data'!$C$25)="FRM", FALSE, ISNUMBER(MATCH(C138,'Input Data'!$N$14:$N$26,0)))</f>
        <v>0</v>
      </c>
      <c r="B138" s="51">
        <f>IF($A138, _xlfn.XLOOKUP(C138,'Input Data'!$N$13:$N$25,'Input Data'!$O$13:$O$25),$B137)</f>
        <v>6.3500000000000001E-2</v>
      </c>
      <c r="C138" s="63">
        <f t="shared" si="10"/>
        <v>136</v>
      </c>
      <c r="D138" s="55">
        <f t="shared" si="11"/>
        <v>14809815.914283976</v>
      </c>
      <c r="E138" s="54">
        <f>IF(D138&gt;0,IF(AND(C138='Input Data'!$B$25*12,'Input Data'!$E$25&gt;'Input Data'!$B$25),D138+D138*B138/12,-PMT(B138/12,'Input Data'!$E$25*12,D138,IF(AND(C138='Input Data'!$E$25*12,'Input Data'!$E$25&lt;'Input Data'!$B$25),D138,0))),0)</f>
        <v>92151.962530730845</v>
      </c>
      <c r="F138" s="55">
        <f>D138-E138</f>
        <v>14717663.951753246</v>
      </c>
      <c r="G138" s="55">
        <f t="shared" si="8"/>
        <v>78368.61</v>
      </c>
      <c r="H138" s="54">
        <f>MIN(E138-G138,D138)</f>
        <v>13783.352530730845</v>
      </c>
      <c r="I138" s="55">
        <f t="shared" si="9"/>
        <v>14796032.561753245</v>
      </c>
    </row>
    <row r="139" spans="1:9" x14ac:dyDescent="0.25">
      <c r="A139" t="b">
        <f>IF(('Input Data'!$C$25)="FRM", FALSE, ISNUMBER(MATCH(C139,'Input Data'!$N$14:$N$26,0)))</f>
        <v>0</v>
      </c>
      <c r="B139" s="51">
        <f>IF($A139, _xlfn.XLOOKUP(C139,'Input Data'!$N$13:$N$25,'Input Data'!$O$13:$O$25),$B138)</f>
        <v>6.3500000000000001E-2</v>
      </c>
      <c r="C139" s="63">
        <f t="shared" si="10"/>
        <v>137</v>
      </c>
      <c r="D139" s="55">
        <f t="shared" si="11"/>
        <v>14796032.561753245</v>
      </c>
      <c r="E139" s="54">
        <f>IF(D139&gt;0,IF(AND(C139='Input Data'!$B$25*12,'Input Data'!$E$25&gt;'Input Data'!$B$25),D139+D139*B139/12,-PMT(B139/12,'Input Data'!$E$25*12,D139,IF(AND(C139='Input Data'!$E$25*12,'Input Data'!$E$25&lt;'Input Data'!$B$25),D139,0))),0)</f>
        <v>92066.197589875985</v>
      </c>
      <c r="F139" s="55">
        <f>D139-E139</f>
        <v>14703966.364163369</v>
      </c>
      <c r="G139" s="55">
        <f t="shared" si="8"/>
        <v>78295.67</v>
      </c>
      <c r="H139" s="54">
        <f>MIN(E139-G139,D139)</f>
        <v>13770.527589875986</v>
      </c>
      <c r="I139" s="55">
        <f t="shared" si="9"/>
        <v>14782262.034163369</v>
      </c>
    </row>
    <row r="140" spans="1:9" x14ac:dyDescent="0.25">
      <c r="A140" t="b">
        <f>IF(('Input Data'!$C$25)="FRM", FALSE, ISNUMBER(MATCH(C140,'Input Data'!$N$14:$N$26,0)))</f>
        <v>0</v>
      </c>
      <c r="B140" s="51">
        <f>IF($A140, _xlfn.XLOOKUP(C140,'Input Data'!$N$13:$N$25,'Input Data'!$O$13:$O$25),$B139)</f>
        <v>6.3500000000000001E-2</v>
      </c>
      <c r="C140" s="63">
        <f t="shared" si="10"/>
        <v>138</v>
      </c>
      <c r="D140" s="55">
        <f t="shared" si="11"/>
        <v>14782262.034163369</v>
      </c>
      <c r="E140" s="54">
        <f>IF(D140&gt;0,IF(AND(C140='Input Data'!$B$25*12,'Input Data'!$E$25&gt;'Input Data'!$B$25),D140+D140*B140/12,-PMT(B140/12,'Input Data'!$E$25*12,D140,IF(AND(C140='Input Data'!$E$25*12,'Input Data'!$E$25&lt;'Input Data'!$B$25),D140,0))),0)</f>
        <v>91980.512450382346</v>
      </c>
      <c r="F140" s="55">
        <f>D140-E140</f>
        <v>14690281.521712987</v>
      </c>
      <c r="G140" s="55">
        <f t="shared" si="8"/>
        <v>78222.8</v>
      </c>
      <c r="H140" s="54">
        <f>MIN(E140-G140,D140)</f>
        <v>13757.712450382343</v>
      </c>
      <c r="I140" s="55">
        <f t="shared" si="9"/>
        <v>14768504.321712986</v>
      </c>
    </row>
    <row r="141" spans="1:9" x14ac:dyDescent="0.25">
      <c r="A141" t="b">
        <f>IF(('Input Data'!$C$25)="FRM", FALSE, ISNUMBER(MATCH(C141,'Input Data'!$N$14:$N$26,0)))</f>
        <v>0</v>
      </c>
      <c r="B141" s="51">
        <f>IF($A141, _xlfn.XLOOKUP(C141,'Input Data'!$N$13:$N$25,'Input Data'!$O$13:$O$25),$B140)</f>
        <v>6.3500000000000001E-2</v>
      </c>
      <c r="C141" s="63">
        <f t="shared" si="10"/>
        <v>139</v>
      </c>
      <c r="D141" s="55">
        <f t="shared" si="11"/>
        <v>14768504.321712986</v>
      </c>
      <c r="E141" s="54">
        <f>IF(D141&gt;0,IF(AND(C141='Input Data'!$B$25*12,'Input Data'!$E$25&gt;'Input Data'!$B$25),D141+D141*B141/12,-PMT(B141/12,'Input Data'!$E$25*12,D141,IF(AND(C141='Input Data'!$E$25*12,'Input Data'!$E$25&lt;'Input Data'!$B$25),D141,0))),0)</f>
        <v>91894.907051262329</v>
      </c>
      <c r="F141" s="55">
        <f>D141-E141</f>
        <v>14676609.414661724</v>
      </c>
      <c r="G141" s="55">
        <f t="shared" si="8"/>
        <v>78150</v>
      </c>
      <c r="H141" s="54">
        <f>MIN(E141-G141,D141)</f>
        <v>13744.907051262329</v>
      </c>
      <c r="I141" s="55">
        <f t="shared" si="9"/>
        <v>14754759.414661724</v>
      </c>
    </row>
    <row r="142" spans="1:9" x14ac:dyDescent="0.25">
      <c r="A142" t="b">
        <f>IF(('Input Data'!$C$25)="FRM", FALSE, ISNUMBER(MATCH(C142,'Input Data'!$N$14:$N$26,0)))</f>
        <v>0</v>
      </c>
      <c r="B142" s="51">
        <f>IF($A142, _xlfn.XLOOKUP(C142,'Input Data'!$N$13:$N$25,'Input Data'!$O$13:$O$25),$B141)</f>
        <v>6.3500000000000001E-2</v>
      </c>
      <c r="C142" s="63">
        <f t="shared" si="10"/>
        <v>140</v>
      </c>
      <c r="D142" s="55">
        <f t="shared" si="11"/>
        <v>14754759.414661724</v>
      </c>
      <c r="E142" s="54">
        <f>IF(D142&gt;0,IF(AND(C142='Input Data'!$B$25*12,'Input Data'!$E$25&gt;'Input Data'!$B$25),D142+D142*B142/12,-PMT(B142/12,'Input Data'!$E$25*12,D142,IF(AND(C142='Input Data'!$E$25*12,'Input Data'!$E$25&lt;'Input Data'!$B$25),D142,0))),0)</f>
        <v>91809.381331907876</v>
      </c>
      <c r="F142" s="55">
        <f>D142-E142</f>
        <v>14662950.033329817</v>
      </c>
      <c r="G142" s="55">
        <f t="shared" si="8"/>
        <v>78077.27</v>
      </c>
      <c r="H142" s="54">
        <f>MIN(E142-G142,D142)</f>
        <v>13732.111331907872</v>
      </c>
      <c r="I142" s="55">
        <f t="shared" si="9"/>
        <v>14741027.303329816</v>
      </c>
    </row>
    <row r="143" spans="1:9" x14ac:dyDescent="0.25">
      <c r="A143" t="b">
        <f>IF(('Input Data'!$C$25)="FRM", FALSE, ISNUMBER(MATCH(C143,'Input Data'!$N$14:$N$26,0)))</f>
        <v>0</v>
      </c>
      <c r="B143" s="51">
        <f>IF($A143, _xlfn.XLOOKUP(C143,'Input Data'!$N$13:$N$25,'Input Data'!$O$13:$O$25),$B142)</f>
        <v>6.3500000000000001E-2</v>
      </c>
      <c r="C143" s="63">
        <f t="shared" si="10"/>
        <v>141</v>
      </c>
      <c r="D143" s="55">
        <f t="shared" si="11"/>
        <v>14741027.303329816</v>
      </c>
      <c r="E143" s="54">
        <f>IF(D143&gt;0,IF(AND(C143='Input Data'!$B$25*12,'Input Data'!$E$25&gt;'Input Data'!$B$25),D143+D143*B143/12,-PMT(B143/12,'Input Data'!$E$25*12,D143,IF(AND(C143='Input Data'!$E$25*12,'Input Data'!$E$25&lt;'Input Data'!$B$25),D143,0))),0)</f>
        <v>91723.935232087999</v>
      </c>
      <c r="F143" s="55">
        <f>D143-E143</f>
        <v>14649303.368097728</v>
      </c>
      <c r="G143" s="55">
        <f t="shared" si="8"/>
        <v>78004.600000000006</v>
      </c>
      <c r="H143" s="54">
        <f>MIN(E143-G143,D143)</f>
        <v>13719.335232087993</v>
      </c>
      <c r="I143" s="55">
        <f t="shared" si="9"/>
        <v>14727307.968097728</v>
      </c>
    </row>
    <row r="144" spans="1:9" x14ac:dyDescent="0.25">
      <c r="A144" t="b">
        <f>IF(('Input Data'!$C$25)="FRM", FALSE, ISNUMBER(MATCH(C144,'Input Data'!$N$14:$N$26,0)))</f>
        <v>0</v>
      </c>
      <c r="B144" s="51">
        <f>IF($A144, _xlfn.XLOOKUP(C144,'Input Data'!$N$13:$N$25,'Input Data'!$O$13:$O$25),$B143)</f>
        <v>6.3500000000000001E-2</v>
      </c>
      <c r="C144" s="63">
        <f t="shared" si="10"/>
        <v>142</v>
      </c>
      <c r="D144" s="55">
        <f t="shared" si="11"/>
        <v>14727307.968097728</v>
      </c>
      <c r="E144" s="54">
        <f>IF(D144&gt;0,IF(AND(C144='Input Data'!$B$25*12,'Input Data'!$E$25&gt;'Input Data'!$B$25),D144+D144*B144/12,-PMT(B144/12,'Input Data'!$E$25*12,D144,IF(AND(C144='Input Data'!$E$25*12,'Input Data'!$E$25&lt;'Input Data'!$B$25),D144,0))),0)</f>
        <v>91638.568629722984</v>
      </c>
      <c r="F144" s="55">
        <f>D144-E144</f>
        <v>14635669.399468005</v>
      </c>
      <c r="G144" s="55">
        <f t="shared" si="8"/>
        <v>77932</v>
      </c>
      <c r="H144" s="54">
        <f>MIN(E144-G144,D144)</f>
        <v>13706.568629722984</v>
      </c>
      <c r="I144" s="55">
        <f t="shared" si="9"/>
        <v>14713601.399468005</v>
      </c>
    </row>
    <row r="145" spans="1:9" x14ac:dyDescent="0.25">
      <c r="A145" t="b">
        <f>IF(('Input Data'!$C$25)="FRM", FALSE, ISNUMBER(MATCH(C145,'Input Data'!$N$14:$N$26,0)))</f>
        <v>0</v>
      </c>
      <c r="B145" s="51">
        <f>IF($A145, _xlfn.XLOOKUP(C145,'Input Data'!$N$13:$N$25,'Input Data'!$O$13:$O$25),$B144)</f>
        <v>6.3500000000000001E-2</v>
      </c>
      <c r="C145" s="63">
        <f t="shared" si="10"/>
        <v>143</v>
      </c>
      <c r="D145" s="55">
        <f t="shared" si="11"/>
        <v>14713601.399468005</v>
      </c>
      <c r="E145" s="54">
        <f>IF(D145&gt;0,IF(AND(C145='Input Data'!$B$25*12,'Input Data'!$E$25&gt;'Input Data'!$B$25),D145+D145*B145/12,-PMT(B145/12,'Input Data'!$E$25*12,D145,IF(AND(C145='Input Data'!$E$25*12,'Input Data'!$E$25&lt;'Input Data'!$B$25),D145,0))),0)</f>
        <v>91553.281465716238</v>
      </c>
      <c r="F145" s="55">
        <f>D145-E145</f>
        <v>14622048.118002288</v>
      </c>
      <c r="G145" s="55">
        <f t="shared" si="8"/>
        <v>77859.47</v>
      </c>
      <c r="H145" s="54">
        <f>MIN(E145-G145,D145)</f>
        <v>13693.811465716237</v>
      </c>
      <c r="I145" s="55">
        <f t="shared" si="9"/>
        <v>14699907.588002289</v>
      </c>
    </row>
    <row r="146" spans="1:9" x14ac:dyDescent="0.25">
      <c r="A146" t="b">
        <f>IF(('Input Data'!$C$25)="FRM", FALSE, ISNUMBER(MATCH(C146,'Input Data'!$N$14:$N$26,0)))</f>
        <v>0</v>
      </c>
      <c r="B146" s="51">
        <f>IF($A146, _xlfn.XLOOKUP(C146,'Input Data'!$N$13:$N$25,'Input Data'!$O$13:$O$25),$B145)</f>
        <v>6.3500000000000001E-2</v>
      </c>
      <c r="C146" s="63">
        <f t="shared" si="10"/>
        <v>144</v>
      </c>
      <c r="D146" s="55">
        <f t="shared" si="11"/>
        <v>14699907.588002289</v>
      </c>
      <c r="E146" s="54">
        <f>IF(D146&gt;0,IF(AND(C146='Input Data'!$B$25*12,'Input Data'!$E$25&gt;'Input Data'!$B$25),D146+D146*B146/12,-PMT(B146/12,'Input Data'!$E$25*12,D146,IF(AND(C146='Input Data'!$E$25*12,'Input Data'!$E$25&lt;'Input Data'!$B$25),D146,0))),0)</f>
        <v>91468.073681338952</v>
      </c>
      <c r="F146" s="55">
        <f>D146-E146</f>
        <v>14608439.514320949</v>
      </c>
      <c r="G146" s="55">
        <f t="shared" si="8"/>
        <v>77787.009999999995</v>
      </c>
      <c r="H146" s="54">
        <f>MIN(E146-G146,D146)</f>
        <v>13681.063681338957</v>
      </c>
      <c r="I146" s="55">
        <f t="shared" si="9"/>
        <v>14686226.524320949</v>
      </c>
    </row>
    <row r="147" spans="1:9" x14ac:dyDescent="0.25">
      <c r="A147" t="b">
        <f>IF(('Input Data'!$C$25)="FRM", FALSE, ISNUMBER(MATCH(C147,'Input Data'!$N$14:$N$26,0)))</f>
        <v>0</v>
      </c>
      <c r="B147" s="51">
        <f>IF($A147, _xlfn.XLOOKUP(C147,'Input Data'!$N$13:$N$25,'Input Data'!$O$13:$O$25),$B146)</f>
        <v>6.3500000000000001E-2</v>
      </c>
      <c r="C147" s="63">
        <f t="shared" si="10"/>
        <v>145</v>
      </c>
      <c r="D147" s="55">
        <f t="shared" si="11"/>
        <v>14686226.524320949</v>
      </c>
      <c r="E147" s="54">
        <f>IF(D147&gt;0,IF(AND(C147='Input Data'!$B$25*12,'Input Data'!$E$25&gt;'Input Data'!$B$25),D147+D147*B147/12,-PMT(B147/12,'Input Data'!$E$25*12,D147,IF(AND(C147='Input Data'!$E$25*12,'Input Data'!$E$25&lt;'Input Data'!$B$25),D147,0))),0)</f>
        <v>91382.945218227716</v>
      </c>
      <c r="F147" s="55">
        <f>D147-E147</f>
        <v>14594843.579102721</v>
      </c>
      <c r="G147" s="55">
        <f t="shared" si="8"/>
        <v>77714.62</v>
      </c>
      <c r="H147" s="54">
        <f>MIN(E147-G147,D147)</f>
        <v>13668.325218227721</v>
      </c>
      <c r="I147" s="55">
        <f t="shared" si="9"/>
        <v>14672558.19910272</v>
      </c>
    </row>
    <row r="148" spans="1:9" x14ac:dyDescent="0.25">
      <c r="A148" t="b">
        <f>IF(('Input Data'!$C$25)="FRM", FALSE, ISNUMBER(MATCH(C148,'Input Data'!$N$14:$N$26,0)))</f>
        <v>0</v>
      </c>
      <c r="B148" s="51">
        <f>IF($A148, _xlfn.XLOOKUP(C148,'Input Data'!$N$13:$N$25,'Input Data'!$O$13:$O$25),$B147)</f>
        <v>6.3500000000000001E-2</v>
      </c>
      <c r="C148" s="63">
        <f t="shared" si="10"/>
        <v>146</v>
      </c>
      <c r="D148" s="55">
        <f t="shared" si="11"/>
        <v>14672558.19910272</v>
      </c>
      <c r="E148" s="54">
        <f>IF(D148&gt;0,IF(AND(C148='Input Data'!$B$25*12,'Input Data'!$E$25&gt;'Input Data'!$B$25),D148+D148*B148/12,-PMT(B148/12,'Input Data'!$E$25*12,D148,IF(AND(C148='Input Data'!$E$25*12,'Input Data'!$E$25&lt;'Input Data'!$B$25),D148,0))),0)</f>
        <v>91297.896018382278</v>
      </c>
      <c r="F148" s="55">
        <f>D148-E148</f>
        <v>14581260.303084338</v>
      </c>
      <c r="G148" s="55">
        <f t="shared" si="8"/>
        <v>77642.289999999994</v>
      </c>
      <c r="H148" s="54">
        <f>MIN(E148-G148,D148)</f>
        <v>13655.606018382285</v>
      </c>
      <c r="I148" s="55">
        <f t="shared" si="9"/>
        <v>14658902.593084337</v>
      </c>
    </row>
    <row r="149" spans="1:9" x14ac:dyDescent="0.25">
      <c r="A149" t="b">
        <f>IF(('Input Data'!$C$25)="FRM", FALSE, ISNUMBER(MATCH(C149,'Input Data'!$N$14:$N$26,0)))</f>
        <v>0</v>
      </c>
      <c r="B149" s="51">
        <f>IF($A149, _xlfn.XLOOKUP(C149,'Input Data'!$N$13:$N$25,'Input Data'!$O$13:$O$25),$B148)</f>
        <v>6.3500000000000001E-2</v>
      </c>
      <c r="C149" s="63">
        <f t="shared" si="10"/>
        <v>147</v>
      </c>
      <c r="D149" s="55">
        <f t="shared" si="11"/>
        <v>14658902.593084337</v>
      </c>
      <c r="E149" s="54">
        <f>IF(D149&gt;0,IF(AND(C149='Input Data'!$B$25*12,'Input Data'!$E$25&gt;'Input Data'!$B$25),D149+D149*B149/12,-PMT(B149/12,'Input Data'!$E$25*12,D149,IF(AND(C149='Input Data'!$E$25*12,'Input Data'!$E$25&lt;'Input Data'!$B$25),D149,0))),0)</f>
        <v>91212.925961939734</v>
      </c>
      <c r="F149" s="55">
        <f>D149-E149</f>
        <v>14567689.667122398</v>
      </c>
      <c r="G149" s="55">
        <f t="shared" si="8"/>
        <v>77570.03</v>
      </c>
      <c r="H149" s="54">
        <f>MIN(E149-G149,D149)</f>
        <v>13642.895961939736</v>
      </c>
      <c r="I149" s="55">
        <f t="shared" si="9"/>
        <v>14645259.697122397</v>
      </c>
    </row>
    <row r="150" spans="1:9" x14ac:dyDescent="0.25">
      <c r="A150" t="b">
        <f>IF(('Input Data'!$C$25)="FRM", FALSE, ISNUMBER(MATCH(C150,'Input Data'!$N$14:$N$26,0)))</f>
        <v>0</v>
      </c>
      <c r="B150" s="51">
        <f>IF($A150, _xlfn.XLOOKUP(C150,'Input Data'!$N$13:$N$25,'Input Data'!$O$13:$O$25),$B149)</f>
        <v>6.3500000000000001E-2</v>
      </c>
      <c r="C150" s="63">
        <f t="shared" si="10"/>
        <v>148</v>
      </c>
      <c r="D150" s="55">
        <f t="shared" si="11"/>
        <v>14645259.697122397</v>
      </c>
      <c r="E150" s="54">
        <f>IF(D150&gt;0,IF(AND(C150='Input Data'!$B$25*12,'Input Data'!$E$25&gt;'Input Data'!$B$25),D150+D150*B150/12,-PMT(B150/12,'Input Data'!$E$25*12,D150,IF(AND(C150='Input Data'!$E$25*12,'Input Data'!$E$25&lt;'Input Data'!$B$25),D150,0))),0)</f>
        <v>91128.034992006564</v>
      </c>
      <c r="F150" s="55">
        <f>D150-E150</f>
        <v>14554131.662130391</v>
      </c>
      <c r="G150" s="55">
        <f t="shared" si="8"/>
        <v>77497.83</v>
      </c>
      <c r="H150" s="54">
        <f>MIN(E150-G150,D150)</f>
        <v>13630.204992006562</v>
      </c>
      <c r="I150" s="55">
        <f t="shared" si="9"/>
        <v>14631629.492130389</v>
      </c>
    </row>
    <row r="151" spans="1:9" x14ac:dyDescent="0.25">
      <c r="A151" t="b">
        <f>IF(('Input Data'!$C$25)="FRM", FALSE, ISNUMBER(MATCH(C151,'Input Data'!$N$14:$N$26,0)))</f>
        <v>0</v>
      </c>
      <c r="B151" s="51">
        <f>IF($A151, _xlfn.XLOOKUP(C151,'Input Data'!$N$13:$N$25,'Input Data'!$O$13:$O$25),$B150)</f>
        <v>6.3500000000000001E-2</v>
      </c>
      <c r="C151" s="63">
        <f t="shared" si="10"/>
        <v>149</v>
      </c>
      <c r="D151" s="55">
        <f t="shared" si="11"/>
        <v>14631629.492130389</v>
      </c>
      <c r="E151" s="54">
        <f>IF(D151&gt;0,IF(AND(C151='Input Data'!$B$25*12,'Input Data'!$E$25&gt;'Input Data'!$B$25),D151+D151*B151/12,-PMT(B151/12,'Input Data'!$E$25*12,D151,IF(AND(C151='Input Data'!$E$25*12,'Input Data'!$E$25&lt;'Input Data'!$B$25),D151,0))),0)</f>
        <v>91043.222989819667</v>
      </c>
      <c r="F151" s="55">
        <f>D151-E151</f>
        <v>14540586.269140569</v>
      </c>
      <c r="G151" s="55">
        <f t="shared" si="8"/>
        <v>77425.710000000006</v>
      </c>
      <c r="H151" s="54">
        <f>MIN(E151-G151,D151)</f>
        <v>13617.512989819661</v>
      </c>
      <c r="I151" s="55">
        <f t="shared" si="9"/>
        <v>14618011.97914057</v>
      </c>
    </row>
    <row r="152" spans="1:9" x14ac:dyDescent="0.25">
      <c r="A152" t="b">
        <f>IF(('Input Data'!$C$25)="FRM", FALSE, ISNUMBER(MATCH(C152,'Input Data'!$N$14:$N$26,0)))</f>
        <v>0</v>
      </c>
      <c r="B152" s="51">
        <f>IF($A152, _xlfn.XLOOKUP(C152,'Input Data'!$N$13:$N$25,'Input Data'!$O$13:$O$25),$B151)</f>
        <v>6.3500000000000001E-2</v>
      </c>
      <c r="C152" s="63">
        <f t="shared" si="10"/>
        <v>150</v>
      </c>
      <c r="D152" s="55">
        <f t="shared" si="11"/>
        <v>14618011.97914057</v>
      </c>
      <c r="E152" s="54">
        <f>IF(D152&gt;0,IF(AND(C152='Input Data'!$B$25*12,'Input Data'!$E$25&gt;'Input Data'!$B$25),D152+D152*B152/12,-PMT(B152/12,'Input Data'!$E$25*12,D152,IF(AND(C152='Input Data'!$E$25*12,'Input Data'!$E$25&lt;'Input Data'!$B$25),D152,0))),0)</f>
        <v>90958.48996180213</v>
      </c>
      <c r="F152" s="55">
        <f>D152-E152</f>
        <v>14527053.489178767</v>
      </c>
      <c r="G152" s="55">
        <f t="shared" si="8"/>
        <v>77353.649999999994</v>
      </c>
      <c r="H152" s="54">
        <f>MIN(E152-G152,D152)</f>
        <v>13604.839961802136</v>
      </c>
      <c r="I152" s="55">
        <f t="shared" si="9"/>
        <v>14604407.139178768</v>
      </c>
    </row>
    <row r="153" spans="1:9" x14ac:dyDescent="0.25">
      <c r="A153" t="b">
        <f>IF(('Input Data'!$C$25)="FRM", FALSE, ISNUMBER(MATCH(C153,'Input Data'!$N$14:$N$26,0)))</f>
        <v>0</v>
      </c>
      <c r="B153" s="51">
        <f>IF($A153, _xlfn.XLOOKUP(C153,'Input Data'!$N$13:$N$25,'Input Data'!$O$13:$O$25),$B152)</f>
        <v>6.3500000000000001E-2</v>
      </c>
      <c r="C153" s="63">
        <f t="shared" si="10"/>
        <v>151</v>
      </c>
      <c r="D153" s="55">
        <f t="shared" si="11"/>
        <v>14604407.139178768</v>
      </c>
      <c r="E153" s="54">
        <f>IF(D153&gt;0,IF(AND(C153='Input Data'!$B$25*12,'Input Data'!$E$25&gt;'Input Data'!$B$25),D153+D153*B153/12,-PMT(B153/12,'Input Data'!$E$25*12,D153,IF(AND(C153='Input Data'!$E$25*12,'Input Data'!$E$25&lt;'Input Data'!$B$25),D153,0))),0)</f>
        <v>90873.835789889883</v>
      </c>
      <c r="F153" s="55">
        <f>D153-E153</f>
        <v>14513533.303388879</v>
      </c>
      <c r="G153" s="55">
        <f t="shared" si="8"/>
        <v>77281.649999999994</v>
      </c>
      <c r="H153" s="54">
        <f>MIN(E153-G153,D153)</f>
        <v>13592.185789889889</v>
      </c>
      <c r="I153" s="55">
        <f t="shared" si="9"/>
        <v>14590814.953388877</v>
      </c>
    </row>
    <row r="154" spans="1:9" x14ac:dyDescent="0.25">
      <c r="A154" t="b">
        <f>IF(('Input Data'!$C$25)="FRM", FALSE, ISNUMBER(MATCH(C154,'Input Data'!$N$14:$N$26,0)))</f>
        <v>0</v>
      </c>
      <c r="B154" s="51">
        <f>IF($A154, _xlfn.XLOOKUP(C154,'Input Data'!$N$13:$N$25,'Input Data'!$O$13:$O$25),$B153)</f>
        <v>6.3500000000000001E-2</v>
      </c>
      <c r="C154" s="63">
        <f t="shared" si="10"/>
        <v>152</v>
      </c>
      <c r="D154" s="55">
        <f t="shared" si="11"/>
        <v>14590814.953388877</v>
      </c>
      <c r="E154" s="54">
        <f>IF(D154&gt;0,IF(AND(C154='Input Data'!$B$25*12,'Input Data'!$E$25&gt;'Input Data'!$B$25),D154+D154*B154/12,-PMT(B154/12,'Input Data'!$E$25*12,D154,IF(AND(C154='Input Data'!$E$25*12,'Input Data'!$E$25&lt;'Input Data'!$B$25),D154,0))),0)</f>
        <v>90789.260356753482</v>
      </c>
      <c r="F154" s="55">
        <f>D154-E154</f>
        <v>14500025.693032123</v>
      </c>
      <c r="G154" s="55">
        <f t="shared" si="8"/>
        <v>77209.73</v>
      </c>
      <c r="H154" s="54">
        <f>MIN(E154-G154,D154)</f>
        <v>13579.530356753487</v>
      </c>
      <c r="I154" s="55">
        <f t="shared" si="9"/>
        <v>14577235.423032124</v>
      </c>
    </row>
    <row r="155" spans="1:9" x14ac:dyDescent="0.25">
      <c r="A155" t="b">
        <f>IF(('Input Data'!$C$25)="FRM", FALSE, ISNUMBER(MATCH(C155,'Input Data'!$N$14:$N$26,0)))</f>
        <v>0</v>
      </c>
      <c r="B155" s="51">
        <f>IF($A155, _xlfn.XLOOKUP(C155,'Input Data'!$N$13:$N$25,'Input Data'!$O$13:$O$25),$B154)</f>
        <v>6.3500000000000001E-2</v>
      </c>
      <c r="C155" s="63">
        <f t="shared" si="10"/>
        <v>153</v>
      </c>
      <c r="D155" s="55">
        <f t="shared" si="11"/>
        <v>14577235.423032124</v>
      </c>
      <c r="E155" s="54">
        <f>IF(D155&gt;0,IF(AND(C155='Input Data'!$B$25*12,'Input Data'!$E$25&gt;'Input Data'!$B$25),D155+D155*B155/12,-PMT(B155/12,'Input Data'!$E$25*12,D155,IF(AND(C155='Input Data'!$E$25*12,'Input Data'!$E$25&lt;'Input Data'!$B$25),D155,0))),0)</f>
        <v>90704.763670240762</v>
      </c>
      <c r="F155" s="55">
        <f>D155-E155</f>
        <v>14486530.659361882</v>
      </c>
      <c r="G155" s="55">
        <f t="shared" si="8"/>
        <v>77137.87</v>
      </c>
      <c r="H155" s="54">
        <f>MIN(E155-G155,D155)</f>
        <v>13566.893670240766</v>
      </c>
      <c r="I155" s="55">
        <f t="shared" si="9"/>
        <v>14563668.529361883</v>
      </c>
    </row>
    <row r="156" spans="1:9" x14ac:dyDescent="0.25">
      <c r="A156" t="b">
        <f>IF(('Input Data'!$C$25)="FRM", FALSE, ISNUMBER(MATCH(C156,'Input Data'!$N$14:$N$26,0)))</f>
        <v>0</v>
      </c>
      <c r="B156" s="51">
        <f>IF($A156, _xlfn.XLOOKUP(C156,'Input Data'!$N$13:$N$25,'Input Data'!$O$13:$O$25),$B155)</f>
        <v>6.3500000000000001E-2</v>
      </c>
      <c r="C156" s="63">
        <f t="shared" si="10"/>
        <v>154</v>
      </c>
      <c r="D156" s="55">
        <f t="shared" si="11"/>
        <v>14563668.529361883</v>
      </c>
      <c r="E156" s="54">
        <f>IF(D156&gt;0,IF(AND(C156='Input Data'!$B$25*12,'Input Data'!$E$25&gt;'Input Data'!$B$25),D156+D156*B156/12,-PMT(B156/12,'Input Data'!$E$25*12,D156,IF(AND(C156='Input Data'!$E$25*12,'Input Data'!$E$25&lt;'Input Data'!$B$25),D156,0))),0)</f>
        <v>90620.345613703495</v>
      </c>
      <c r="F156" s="55">
        <f>D156-E156</f>
        <v>14473048.18374818</v>
      </c>
      <c r="G156" s="55">
        <f t="shared" si="8"/>
        <v>77066.080000000002</v>
      </c>
      <c r="H156" s="54">
        <f>MIN(E156-G156,D156)</f>
        <v>13554.265613703494</v>
      </c>
      <c r="I156" s="55">
        <f t="shared" si="9"/>
        <v>14550114.26374818</v>
      </c>
    </row>
    <row r="157" spans="1:9" x14ac:dyDescent="0.25">
      <c r="A157" t="b">
        <f>IF(('Input Data'!$C$25)="FRM", FALSE, ISNUMBER(MATCH(C157,'Input Data'!$N$14:$N$26,0)))</f>
        <v>0</v>
      </c>
      <c r="B157" s="51">
        <f>IF($A157, _xlfn.XLOOKUP(C157,'Input Data'!$N$13:$N$25,'Input Data'!$O$13:$O$25),$B156)</f>
        <v>6.3500000000000001E-2</v>
      </c>
      <c r="C157" s="63">
        <f t="shared" si="10"/>
        <v>155</v>
      </c>
      <c r="D157" s="55">
        <f t="shared" si="11"/>
        <v>14550114.26374818</v>
      </c>
      <c r="E157" s="54">
        <f>IF(D157&gt;0,IF(AND(C157='Input Data'!$B$25*12,'Input Data'!$E$25&gt;'Input Data'!$B$25),D157+D157*B157/12,-PMT(B157/12,'Input Data'!$E$25*12,D157,IF(AND(C157='Input Data'!$E$25*12,'Input Data'!$E$25&lt;'Input Data'!$B$25),D157,0))),0)</f>
        <v>90536.006133442934</v>
      </c>
      <c r="F157" s="55">
        <f>D157-E157</f>
        <v>14459578.257614737</v>
      </c>
      <c r="G157" s="55">
        <f t="shared" si="8"/>
        <v>76994.350000000006</v>
      </c>
      <c r="H157" s="54">
        <f>MIN(E157-G157,D157)</f>
        <v>13541.656133442928</v>
      </c>
      <c r="I157" s="55">
        <f t="shared" si="9"/>
        <v>14536572.607614737</v>
      </c>
    </row>
    <row r="158" spans="1:9" x14ac:dyDescent="0.25">
      <c r="A158" t="b">
        <f>IF(('Input Data'!$C$25)="FRM", FALSE, ISNUMBER(MATCH(C158,'Input Data'!$N$14:$N$26,0)))</f>
        <v>0</v>
      </c>
      <c r="B158" s="51">
        <f>IF($A158, _xlfn.XLOOKUP(C158,'Input Data'!$N$13:$N$25,'Input Data'!$O$13:$O$25),$B157)</f>
        <v>6.3500000000000001E-2</v>
      </c>
      <c r="C158" s="63">
        <f t="shared" si="10"/>
        <v>156</v>
      </c>
      <c r="D158" s="55">
        <f t="shared" si="11"/>
        <v>14536572.607614737</v>
      </c>
      <c r="E158" s="54">
        <f>IF(D158&gt;0,IF(AND(C158='Input Data'!$B$25*12,'Input Data'!$E$25&gt;'Input Data'!$B$25),D158+D158*B158/12,-PMT(B158/12,'Input Data'!$E$25*12,D158,IF(AND(C158='Input Data'!$E$25*12,'Input Data'!$E$25&lt;'Input Data'!$B$25),D158,0))),0)</f>
        <v>90451.745113870813</v>
      </c>
      <c r="F158" s="55">
        <f>D158-E158</f>
        <v>14446120.862500867</v>
      </c>
      <c r="G158" s="55">
        <f t="shared" si="8"/>
        <v>76922.7</v>
      </c>
      <c r="H158" s="54">
        <f>MIN(E158-G158,D158)</f>
        <v>13529.045113870816</v>
      </c>
      <c r="I158" s="55">
        <f t="shared" si="9"/>
        <v>14523043.562500866</v>
      </c>
    </row>
    <row r="159" spans="1:9" x14ac:dyDescent="0.25">
      <c r="A159" t="b">
        <f>IF(('Input Data'!$C$25)="FRM", FALSE, ISNUMBER(MATCH(C159,'Input Data'!$N$14:$N$26,0)))</f>
        <v>0</v>
      </c>
      <c r="B159" s="51">
        <f>IF($A159, _xlfn.XLOOKUP(C159,'Input Data'!$N$13:$N$25,'Input Data'!$O$13:$O$25),$B158)</f>
        <v>6.3500000000000001E-2</v>
      </c>
      <c r="C159" s="63">
        <f t="shared" si="10"/>
        <v>157</v>
      </c>
      <c r="D159" s="55">
        <f t="shared" si="11"/>
        <v>14523043.562500866</v>
      </c>
      <c r="E159" s="54">
        <f>IF(D159&gt;0,IF(AND(C159='Input Data'!$B$25*12,'Input Data'!$E$25&gt;'Input Data'!$B$25),D159+D159*B159/12,-PMT(B159/12,'Input Data'!$E$25*12,D159,IF(AND(C159='Input Data'!$E$25*12,'Input Data'!$E$25&lt;'Input Data'!$B$25),D159,0))),0)</f>
        <v>90367.562564565276</v>
      </c>
      <c r="F159" s="55">
        <f>D159-E159</f>
        <v>14432675.999936301</v>
      </c>
      <c r="G159" s="55">
        <f t="shared" si="8"/>
        <v>76851.11</v>
      </c>
      <c r="H159" s="54">
        <f>MIN(E159-G159,D159)</f>
        <v>13516.452564565276</v>
      </c>
      <c r="I159" s="55">
        <f t="shared" si="9"/>
        <v>14509527.109936301</v>
      </c>
    </row>
    <row r="160" spans="1:9" x14ac:dyDescent="0.25">
      <c r="A160" t="b">
        <f>IF(('Input Data'!$C$25)="FRM", FALSE, ISNUMBER(MATCH(C160,'Input Data'!$N$14:$N$26,0)))</f>
        <v>0</v>
      </c>
      <c r="B160" s="51">
        <f>IF($A160, _xlfn.XLOOKUP(C160,'Input Data'!$N$13:$N$25,'Input Data'!$O$13:$O$25),$B159)</f>
        <v>6.3500000000000001E-2</v>
      </c>
      <c r="C160" s="63">
        <f t="shared" si="10"/>
        <v>158</v>
      </c>
      <c r="D160" s="55">
        <f t="shared" si="11"/>
        <v>14509527.109936301</v>
      </c>
      <c r="E160" s="54">
        <f>IF(D160&gt;0,IF(AND(C160='Input Data'!$B$25*12,'Input Data'!$E$25&gt;'Input Data'!$B$25),D160+D160*B160/12,-PMT(B160/12,'Input Data'!$E$25*12,D160,IF(AND(C160='Input Data'!$E$25*12,'Input Data'!$E$25&lt;'Input Data'!$B$25),D160,0))),0)</f>
        <v>90283.458370597757</v>
      </c>
      <c r="F160" s="55">
        <f>D160-E160</f>
        <v>14419243.651565703</v>
      </c>
      <c r="G160" s="55">
        <f t="shared" si="8"/>
        <v>76779.58</v>
      </c>
      <c r="H160" s="54">
        <f>MIN(E160-G160,D160)</f>
        <v>13503.878370597755</v>
      </c>
      <c r="I160" s="55">
        <f t="shared" si="9"/>
        <v>14496023.231565703</v>
      </c>
    </row>
    <row r="161" spans="1:9" x14ac:dyDescent="0.25">
      <c r="A161" t="b">
        <f>IF(('Input Data'!$C$25)="FRM", FALSE, ISNUMBER(MATCH(C161,'Input Data'!$N$14:$N$26,0)))</f>
        <v>0</v>
      </c>
      <c r="B161" s="51">
        <f>IF($A161, _xlfn.XLOOKUP(C161,'Input Data'!$N$13:$N$25,'Input Data'!$O$13:$O$25),$B160)</f>
        <v>6.3500000000000001E-2</v>
      </c>
      <c r="C161" s="63">
        <f t="shared" si="10"/>
        <v>159</v>
      </c>
      <c r="D161" s="55">
        <f t="shared" si="11"/>
        <v>14496023.231565703</v>
      </c>
      <c r="E161" s="54">
        <f>IF(D161&gt;0,IF(AND(C161='Input Data'!$B$25*12,'Input Data'!$E$25&gt;'Input Data'!$B$25),D161+D161*B161/12,-PMT(B161/12,'Input Data'!$E$25*12,D161,IF(AND(C161='Input Data'!$E$25*12,'Input Data'!$E$25&lt;'Input Data'!$B$25),D161,0))),0)</f>
        <v>90199.432417754768</v>
      </c>
      <c r="F161" s="55">
        <f>D161-E161</f>
        <v>14405823.799147949</v>
      </c>
      <c r="G161" s="55">
        <f t="shared" si="8"/>
        <v>76708.12</v>
      </c>
      <c r="H161" s="54">
        <f>MIN(E161-G161,D161)</f>
        <v>13491.312417754772</v>
      </c>
      <c r="I161" s="55">
        <f t="shared" si="9"/>
        <v>14482531.919147948</v>
      </c>
    </row>
    <row r="162" spans="1:9" x14ac:dyDescent="0.25">
      <c r="A162" t="b">
        <f>IF(('Input Data'!$C$25)="FRM", FALSE, ISNUMBER(MATCH(C162,'Input Data'!$N$14:$N$26,0)))</f>
        <v>0</v>
      </c>
      <c r="B162" s="51">
        <f>IF($A162, _xlfn.XLOOKUP(C162,'Input Data'!$N$13:$N$25,'Input Data'!$O$13:$O$25),$B161)</f>
        <v>6.3500000000000001E-2</v>
      </c>
      <c r="C162" s="63">
        <f t="shared" si="10"/>
        <v>160</v>
      </c>
      <c r="D162" s="55">
        <f t="shared" si="11"/>
        <v>14482531.919147948</v>
      </c>
      <c r="E162" s="54">
        <f>IF(D162&gt;0,IF(AND(C162='Input Data'!$B$25*12,'Input Data'!$E$25&gt;'Input Data'!$B$25),D162+D162*B162/12,-PMT(B162/12,'Input Data'!$E$25*12,D162,IF(AND(C162='Input Data'!$E$25*12,'Input Data'!$E$25&lt;'Input Data'!$B$25),D162,0))),0)</f>
        <v>90115.484654757107</v>
      </c>
      <c r="F162" s="55">
        <f>D162-E162</f>
        <v>14392416.434493192</v>
      </c>
      <c r="G162" s="55">
        <f t="shared" si="8"/>
        <v>76636.73</v>
      </c>
      <c r="H162" s="54">
        <f>MIN(E162-G162,D162)</f>
        <v>13478.754654757111</v>
      </c>
      <c r="I162" s="55">
        <f t="shared" si="9"/>
        <v>14469053.16449319</v>
      </c>
    </row>
    <row r="163" spans="1:9" x14ac:dyDescent="0.25">
      <c r="A163" t="b">
        <f>IF(('Input Data'!$C$25)="FRM", FALSE, ISNUMBER(MATCH(C163,'Input Data'!$N$14:$N$26,0)))</f>
        <v>0</v>
      </c>
      <c r="B163" s="51">
        <f>IF($A163, _xlfn.XLOOKUP(C163,'Input Data'!$N$13:$N$25,'Input Data'!$O$13:$O$25),$B162)</f>
        <v>6.3500000000000001E-2</v>
      </c>
      <c r="C163" s="63">
        <f t="shared" si="10"/>
        <v>161</v>
      </c>
      <c r="D163" s="55">
        <f t="shared" si="11"/>
        <v>14469053.16449319</v>
      </c>
      <c r="E163" s="54">
        <f>IF(D163&gt;0,IF(AND(C163='Input Data'!$B$25*12,'Input Data'!$E$25&gt;'Input Data'!$B$25),D163+D163*B163/12,-PMT(B163/12,'Input Data'!$E$25*12,D163,IF(AND(C163='Input Data'!$E$25*12,'Input Data'!$E$25&lt;'Input Data'!$B$25),D163,0))),0)</f>
        <v>90031.615030644607</v>
      </c>
      <c r="F163" s="55">
        <f>D163-E163</f>
        <v>14379021.549462546</v>
      </c>
      <c r="G163" s="55">
        <f t="shared" si="8"/>
        <v>76565.41</v>
      </c>
      <c r="H163" s="54">
        <f>MIN(E163-G163,D163)</f>
        <v>13466.205030644604</v>
      </c>
      <c r="I163" s="55">
        <f t="shared" si="9"/>
        <v>14455586.959462546</v>
      </c>
    </row>
    <row r="164" spans="1:9" x14ac:dyDescent="0.25">
      <c r="A164" t="b">
        <f>IF(('Input Data'!$C$25)="FRM", FALSE, ISNUMBER(MATCH(C164,'Input Data'!$N$14:$N$26,0)))</f>
        <v>0</v>
      </c>
      <c r="B164" s="51">
        <f>IF($A164, _xlfn.XLOOKUP(C164,'Input Data'!$N$13:$N$25,'Input Data'!$O$13:$O$25),$B163)</f>
        <v>6.3500000000000001E-2</v>
      </c>
      <c r="C164" s="63">
        <f t="shared" si="10"/>
        <v>162</v>
      </c>
      <c r="D164" s="55">
        <f t="shared" si="11"/>
        <v>14455586.959462546</v>
      </c>
      <c r="E164" s="54">
        <f>IF(D164&gt;0,IF(AND(C164='Input Data'!$B$25*12,'Input Data'!$E$25&gt;'Input Data'!$B$25),D164+D164*B164/12,-PMT(B164/12,'Input Data'!$E$25*12,D164,IF(AND(C164='Input Data'!$E$25*12,'Input Data'!$E$25&lt;'Input Data'!$B$25),D164,0))),0)</f>
        <v>89947.82349477426</v>
      </c>
      <c r="F164" s="55">
        <f>D164-E164</f>
        <v>14365639.135967772</v>
      </c>
      <c r="G164" s="55">
        <f t="shared" si="8"/>
        <v>76494.149999999994</v>
      </c>
      <c r="H164" s="54">
        <f>MIN(E164-G164,D164)</f>
        <v>13453.673494774266</v>
      </c>
      <c r="I164" s="55">
        <f t="shared" si="9"/>
        <v>14442133.285967771</v>
      </c>
    </row>
    <row r="165" spans="1:9" x14ac:dyDescent="0.25">
      <c r="A165" t="b">
        <f>IF(('Input Data'!$C$25)="FRM", FALSE, ISNUMBER(MATCH(C165,'Input Data'!$N$14:$N$26,0)))</f>
        <v>0</v>
      </c>
      <c r="B165" s="51">
        <f>IF($A165, _xlfn.XLOOKUP(C165,'Input Data'!$N$13:$N$25,'Input Data'!$O$13:$O$25),$B164)</f>
        <v>6.3500000000000001E-2</v>
      </c>
      <c r="C165" s="63">
        <f t="shared" si="10"/>
        <v>163</v>
      </c>
      <c r="D165" s="55">
        <f t="shared" si="11"/>
        <v>14442133.285967771</v>
      </c>
      <c r="E165" s="54">
        <f>IF(D165&gt;0,IF(AND(C165='Input Data'!$B$25*12,'Input Data'!$E$25&gt;'Input Data'!$B$25),D165+D165*B165/12,-PMT(B165/12,'Input Data'!$E$25*12,D165,IF(AND(C165='Input Data'!$E$25*12,'Input Data'!$E$25&lt;'Input Data'!$B$25),D165,0))),0)</f>
        <v>89864.109934594526</v>
      </c>
      <c r="F165" s="55">
        <f>D165-E165</f>
        <v>14352269.176033176</v>
      </c>
      <c r="G165" s="55">
        <f t="shared" si="8"/>
        <v>76422.960000000006</v>
      </c>
      <c r="H165" s="54">
        <f>MIN(E165-G165,D165)</f>
        <v>13441.149934594519</v>
      </c>
      <c r="I165" s="55">
        <f t="shared" si="9"/>
        <v>14428692.136033177</v>
      </c>
    </row>
    <row r="166" spans="1:9" x14ac:dyDescent="0.25">
      <c r="A166" t="b">
        <f>IF(('Input Data'!$C$25)="FRM", FALSE, ISNUMBER(MATCH(C166,'Input Data'!$N$14:$N$26,0)))</f>
        <v>0</v>
      </c>
      <c r="B166" s="51">
        <f>IF($A166, _xlfn.XLOOKUP(C166,'Input Data'!$N$13:$N$25,'Input Data'!$O$13:$O$25),$B165)</f>
        <v>6.3500000000000001E-2</v>
      </c>
      <c r="C166" s="63">
        <f t="shared" si="10"/>
        <v>164</v>
      </c>
      <c r="D166" s="55">
        <f t="shared" si="11"/>
        <v>14428692.136033177</v>
      </c>
      <c r="E166" s="54">
        <f>IF(D166&gt;0,IF(AND(C166='Input Data'!$B$25*12,'Input Data'!$E$25&gt;'Input Data'!$B$25),D166+D166*B166/12,-PMT(B166/12,'Input Data'!$E$25*12,D166,IF(AND(C166='Input Data'!$E$25*12,'Input Data'!$E$25&lt;'Input Data'!$B$25),D166,0))),0)</f>
        <v>89780.474300477828</v>
      </c>
      <c r="F166" s="55">
        <f>D166-E166</f>
        <v>14338911.6617327</v>
      </c>
      <c r="G166" s="55">
        <f t="shared" si="8"/>
        <v>76351.83</v>
      </c>
      <c r="H166" s="54">
        <f>MIN(E166-G166,D166)</f>
        <v>13428.644300477827</v>
      </c>
      <c r="I166" s="55">
        <f t="shared" si="9"/>
        <v>14415263.4917327</v>
      </c>
    </row>
    <row r="167" spans="1:9" x14ac:dyDescent="0.25">
      <c r="A167" t="b">
        <f>IF(('Input Data'!$C$25)="FRM", FALSE, ISNUMBER(MATCH(C167,'Input Data'!$N$14:$N$26,0)))</f>
        <v>0</v>
      </c>
      <c r="B167" s="51">
        <f>IF($A167, _xlfn.XLOOKUP(C167,'Input Data'!$N$13:$N$25,'Input Data'!$O$13:$O$25),$B166)</f>
        <v>6.3500000000000001E-2</v>
      </c>
      <c r="C167" s="63">
        <f t="shared" si="10"/>
        <v>165</v>
      </c>
      <c r="D167" s="55">
        <f t="shared" si="11"/>
        <v>14415263.4917327</v>
      </c>
      <c r="E167" s="54">
        <f>IF(D167&gt;0,IF(AND(C167='Input Data'!$B$25*12,'Input Data'!$E$25&gt;'Input Data'!$B$25),D167+D167*B167/12,-PMT(B167/12,'Input Data'!$E$25*12,D167,IF(AND(C167='Input Data'!$E$25*12,'Input Data'!$E$25&lt;'Input Data'!$B$25),D167,0))),0)</f>
        <v>89696.916480881817</v>
      </c>
      <c r="F167" s="55">
        <f>D167-E167</f>
        <v>14325566.575251818</v>
      </c>
      <c r="G167" s="55">
        <f t="shared" si="8"/>
        <v>76280.77</v>
      </c>
      <c r="H167" s="54">
        <f>MIN(E167-G167,D167)</f>
        <v>13416.146480881813</v>
      </c>
      <c r="I167" s="55">
        <f t="shared" si="9"/>
        <v>14401847.345251817</v>
      </c>
    </row>
    <row r="168" spans="1:9" x14ac:dyDescent="0.25">
      <c r="A168" t="b">
        <f>IF(('Input Data'!$C$25)="FRM", FALSE, ISNUMBER(MATCH(C168,'Input Data'!$N$14:$N$26,0)))</f>
        <v>0</v>
      </c>
      <c r="B168" s="51">
        <f>IF($A168, _xlfn.XLOOKUP(C168,'Input Data'!$N$13:$N$25,'Input Data'!$O$13:$O$25),$B167)</f>
        <v>6.3500000000000001E-2</v>
      </c>
      <c r="C168" s="63">
        <f t="shared" si="10"/>
        <v>166</v>
      </c>
      <c r="D168" s="55">
        <f t="shared" si="11"/>
        <v>14401847.345251817</v>
      </c>
      <c r="E168" s="54">
        <f>IF(D168&gt;0,IF(AND(C168='Input Data'!$B$25*12,'Input Data'!$E$25&gt;'Input Data'!$B$25),D168+D168*B168/12,-PMT(B168/12,'Input Data'!$E$25*12,D168,IF(AND(C168='Input Data'!$E$25*12,'Input Data'!$E$25&lt;'Input Data'!$B$25),D168,0))),0)</f>
        <v>89613.436427181703</v>
      </c>
      <c r="F168" s="55">
        <f>D168-E168</f>
        <v>14312233.908824636</v>
      </c>
      <c r="G168" s="55">
        <f t="shared" si="8"/>
        <v>76209.78</v>
      </c>
      <c r="H168" s="54">
        <f>MIN(E168-G168,D168)</f>
        <v>13403.656427181704</v>
      </c>
      <c r="I168" s="55">
        <f t="shared" si="9"/>
        <v>14388443.688824635</v>
      </c>
    </row>
    <row r="169" spans="1:9" x14ac:dyDescent="0.25">
      <c r="A169" t="b">
        <f>IF(('Input Data'!$C$25)="FRM", FALSE, ISNUMBER(MATCH(C169,'Input Data'!$N$14:$N$26,0)))</f>
        <v>0</v>
      </c>
      <c r="B169" s="51">
        <f>IF($A169, _xlfn.XLOOKUP(C169,'Input Data'!$N$13:$N$25,'Input Data'!$O$13:$O$25),$B168)</f>
        <v>6.3500000000000001E-2</v>
      </c>
      <c r="C169" s="63">
        <f t="shared" si="10"/>
        <v>167</v>
      </c>
      <c r="D169" s="55">
        <f t="shared" si="11"/>
        <v>14388443.688824635</v>
      </c>
      <c r="E169" s="54">
        <f>IF(D169&gt;0,IF(AND(C169='Input Data'!$B$25*12,'Input Data'!$E$25&gt;'Input Data'!$B$25),D169+D169*B169/12,-PMT(B169/12,'Input Data'!$E$25*12,D169,IF(AND(C169='Input Data'!$E$25*12,'Input Data'!$E$25&lt;'Input Data'!$B$25),D169,0))),0)</f>
        <v>89530.034091055364</v>
      </c>
      <c r="F169" s="55">
        <f>D169-E169</f>
        <v>14298913.65473358</v>
      </c>
      <c r="G169" s="55">
        <f t="shared" si="8"/>
        <v>76138.850000000006</v>
      </c>
      <c r="H169" s="54">
        <f>MIN(E169-G169,D169)</f>
        <v>13391.184091055358</v>
      </c>
      <c r="I169" s="55">
        <f t="shared" si="9"/>
        <v>14375052.504733579</v>
      </c>
    </row>
    <row r="170" spans="1:9" x14ac:dyDescent="0.25">
      <c r="A170" t="b">
        <f>IF(('Input Data'!$C$25)="FRM", FALSE, ISNUMBER(MATCH(C170,'Input Data'!$N$14:$N$26,0)))</f>
        <v>0</v>
      </c>
      <c r="B170" s="51">
        <f>IF($A170, _xlfn.XLOOKUP(C170,'Input Data'!$N$13:$N$25,'Input Data'!$O$13:$O$25),$B169)</f>
        <v>6.3500000000000001E-2</v>
      </c>
      <c r="C170" s="63">
        <f t="shared" si="10"/>
        <v>168</v>
      </c>
      <c r="D170" s="55">
        <f t="shared" si="11"/>
        <v>14375052.504733579</v>
      </c>
      <c r="E170" s="54">
        <f>IF(D170&gt;0,IF(AND(C170='Input Data'!$B$25*12,'Input Data'!$E$25&gt;'Input Data'!$B$25),D170+D170*B170/12,-PMT(B170/12,'Input Data'!$E$25*12,D170,IF(AND(C170='Input Data'!$E$25*12,'Input Data'!$E$25&lt;'Input Data'!$B$25),D170,0))),0)</f>
        <v>89446.709362257694</v>
      </c>
      <c r="F170" s="55">
        <f>D170-E170</f>
        <v>14285605.795371322</v>
      </c>
      <c r="G170" s="55">
        <f t="shared" si="8"/>
        <v>76067.990000000005</v>
      </c>
      <c r="H170" s="54">
        <f>MIN(E170-G170,D170)</f>
        <v>13378.719362257689</v>
      </c>
      <c r="I170" s="55">
        <f t="shared" si="9"/>
        <v>14361673.785371322</v>
      </c>
    </row>
    <row r="171" spans="1:9" x14ac:dyDescent="0.25">
      <c r="A171" t="b">
        <f>IF(('Input Data'!$C$25)="FRM", FALSE, ISNUMBER(MATCH(C171,'Input Data'!$N$14:$N$26,0)))</f>
        <v>0</v>
      </c>
      <c r="B171" s="51">
        <f>IF($A171, _xlfn.XLOOKUP(C171,'Input Data'!$N$13:$N$25,'Input Data'!$O$13:$O$25),$B170)</f>
        <v>6.3500000000000001E-2</v>
      </c>
      <c r="C171" s="63">
        <f t="shared" si="10"/>
        <v>169</v>
      </c>
      <c r="D171" s="55">
        <f t="shared" si="11"/>
        <v>14361673.785371322</v>
      </c>
      <c r="E171" s="54">
        <f>IF(D171&gt;0,IF(AND(C171='Input Data'!$B$25*12,'Input Data'!$E$25&gt;'Input Data'!$B$25),D171+D171*B171/12,-PMT(B171/12,'Input Data'!$E$25*12,D171,IF(AND(C171='Input Data'!$E$25*12,'Input Data'!$E$25&lt;'Input Data'!$B$25),D171,0))),0)</f>
        <v>89363.46219345319</v>
      </c>
      <c r="F171" s="55">
        <f>D171-E171</f>
        <v>14272310.323177869</v>
      </c>
      <c r="G171" s="55">
        <f t="shared" si="8"/>
        <v>75997.19</v>
      </c>
      <c r="H171" s="54">
        <f>MIN(E171-G171,D171)</f>
        <v>13366.272193453187</v>
      </c>
      <c r="I171" s="55">
        <f t="shared" si="9"/>
        <v>14348307.51317787</v>
      </c>
    </row>
    <row r="172" spans="1:9" x14ac:dyDescent="0.25">
      <c r="A172" t="b">
        <f>IF(('Input Data'!$C$25)="FRM", FALSE, ISNUMBER(MATCH(C172,'Input Data'!$N$14:$N$26,0)))</f>
        <v>0</v>
      </c>
      <c r="B172" s="51">
        <f>IF($A172, _xlfn.XLOOKUP(C172,'Input Data'!$N$13:$N$25,'Input Data'!$O$13:$O$25),$B171)</f>
        <v>6.3500000000000001E-2</v>
      </c>
      <c r="C172" s="63">
        <f t="shared" si="10"/>
        <v>170</v>
      </c>
      <c r="D172" s="55">
        <f t="shared" si="11"/>
        <v>14348307.51317787</v>
      </c>
      <c r="E172" s="54">
        <f>IF(D172&gt;0,IF(AND(C172='Input Data'!$B$25*12,'Input Data'!$E$25&gt;'Input Data'!$B$25),D172+D172*B172/12,-PMT(B172/12,'Input Data'!$E$25*12,D172,IF(AND(C172='Input Data'!$E$25*12,'Input Data'!$E$25&lt;'Input Data'!$B$25),D172,0))),0)</f>
        <v>89280.292475377326</v>
      </c>
      <c r="F172" s="55">
        <f>D172-E172</f>
        <v>14259027.220702492</v>
      </c>
      <c r="G172" s="55">
        <f t="shared" si="8"/>
        <v>75926.460000000006</v>
      </c>
      <c r="H172" s="54">
        <f>MIN(E172-G172,D172)</f>
        <v>13353.832475377319</v>
      </c>
      <c r="I172" s="55">
        <f t="shared" si="9"/>
        <v>14334953.680702493</v>
      </c>
    </row>
    <row r="173" spans="1:9" x14ac:dyDescent="0.25">
      <c r="A173" t="b">
        <f>IF(('Input Data'!$C$25)="FRM", FALSE, ISNUMBER(MATCH(C173,'Input Data'!$N$14:$N$26,0)))</f>
        <v>0</v>
      </c>
      <c r="B173" s="51">
        <f>IF($A173, _xlfn.XLOOKUP(C173,'Input Data'!$N$13:$N$25,'Input Data'!$O$13:$O$25),$B172)</f>
        <v>6.3500000000000001E-2</v>
      </c>
      <c r="C173" s="63">
        <f t="shared" si="10"/>
        <v>171</v>
      </c>
      <c r="D173" s="55">
        <f t="shared" si="11"/>
        <v>14334953.680702493</v>
      </c>
      <c r="E173" s="54">
        <f>IF(D173&gt;0,IF(AND(C173='Input Data'!$B$25*12,'Input Data'!$E$25&gt;'Input Data'!$B$25),D173+D173*B173/12,-PMT(B173/12,'Input Data'!$E$25*12,D173,IF(AND(C173='Input Data'!$E$25*12,'Input Data'!$E$25&lt;'Input Data'!$B$25),D173,0))),0)</f>
        <v>89197.200161668981</v>
      </c>
      <c r="F173" s="55">
        <f>D173-E173</f>
        <v>14245756.480540823</v>
      </c>
      <c r="G173" s="55">
        <f t="shared" si="8"/>
        <v>75855.8</v>
      </c>
      <c r="H173" s="54">
        <f>MIN(E173-G173,D173)</f>
        <v>13341.400161668978</v>
      </c>
      <c r="I173" s="55">
        <f t="shared" si="9"/>
        <v>14321612.280540824</v>
      </c>
    </row>
    <row r="174" spans="1:9" x14ac:dyDescent="0.25">
      <c r="A174" t="b">
        <f>IF(('Input Data'!$C$25)="FRM", FALSE, ISNUMBER(MATCH(C174,'Input Data'!$N$14:$N$26,0)))</f>
        <v>0</v>
      </c>
      <c r="B174" s="51">
        <f>IF($A174, _xlfn.XLOOKUP(C174,'Input Data'!$N$13:$N$25,'Input Data'!$O$13:$O$25),$B173)</f>
        <v>6.3500000000000001E-2</v>
      </c>
      <c r="C174" s="63">
        <f t="shared" si="10"/>
        <v>172</v>
      </c>
      <c r="D174" s="55">
        <f t="shared" si="11"/>
        <v>14321612.280540824</v>
      </c>
      <c r="E174" s="54">
        <f>IF(D174&gt;0,IF(AND(C174='Input Data'!$B$25*12,'Input Data'!$E$25&gt;'Input Data'!$B$25),D174+D174*B174/12,-PMT(B174/12,'Input Data'!$E$25*12,D174,IF(AND(C174='Input Data'!$E$25*12,'Input Data'!$E$25&lt;'Input Data'!$B$25),D174,0))),0)</f>
        <v>89114.185206255526</v>
      </c>
      <c r="F174" s="55">
        <f>D174-E174</f>
        <v>14232498.095334569</v>
      </c>
      <c r="G174" s="55">
        <f t="shared" si="8"/>
        <v>75785.2</v>
      </c>
      <c r="H174" s="54">
        <f>MIN(E174-G174,D174)</f>
        <v>13328.985206255529</v>
      </c>
      <c r="I174" s="55">
        <f t="shared" si="9"/>
        <v>14308283.295334568</v>
      </c>
    </row>
    <row r="175" spans="1:9" x14ac:dyDescent="0.25">
      <c r="A175" t="b">
        <f>IF(('Input Data'!$C$25)="FRM", FALSE, ISNUMBER(MATCH(C175,'Input Data'!$N$14:$N$26,0)))</f>
        <v>0</v>
      </c>
      <c r="B175" s="51">
        <f>IF($A175, _xlfn.XLOOKUP(C175,'Input Data'!$N$13:$N$25,'Input Data'!$O$13:$O$25),$B174)</f>
        <v>6.3500000000000001E-2</v>
      </c>
      <c r="C175" s="63">
        <f t="shared" si="10"/>
        <v>173</v>
      </c>
      <c r="D175" s="55">
        <f t="shared" si="11"/>
        <v>14308283.295334568</v>
      </c>
      <c r="E175" s="54">
        <f>IF(D175&gt;0,IF(AND(C175='Input Data'!$B$25*12,'Input Data'!$E$25&gt;'Input Data'!$B$25),D175+D175*B175/12,-PMT(B175/12,'Input Data'!$E$25*12,D175,IF(AND(C175='Input Data'!$E$25*12,'Input Data'!$E$25&lt;'Input Data'!$B$25),D175,0))),0)</f>
        <v>89031.247501127466</v>
      </c>
      <c r="F175" s="55">
        <f>D175-E175</f>
        <v>14219252.047833441</v>
      </c>
      <c r="G175" s="55">
        <f t="shared" si="8"/>
        <v>75714.67</v>
      </c>
      <c r="H175" s="54">
        <f>MIN(E175-G175,D175)</f>
        <v>13316.577501127467</v>
      </c>
      <c r="I175" s="55">
        <f t="shared" si="9"/>
        <v>14294966.717833441</v>
      </c>
    </row>
    <row r="176" spans="1:9" x14ac:dyDescent="0.25">
      <c r="A176" t="b">
        <f>IF(('Input Data'!$C$25)="FRM", FALSE, ISNUMBER(MATCH(C176,'Input Data'!$N$14:$N$26,0)))</f>
        <v>0</v>
      </c>
      <c r="B176" s="51">
        <f>IF($A176, _xlfn.XLOOKUP(C176,'Input Data'!$N$13:$N$25,'Input Data'!$O$13:$O$25),$B175)</f>
        <v>6.3500000000000001E-2</v>
      </c>
      <c r="C176" s="63">
        <f t="shared" si="10"/>
        <v>174</v>
      </c>
      <c r="D176" s="55">
        <f t="shared" si="11"/>
        <v>14294966.717833441</v>
      </c>
      <c r="E176" s="54">
        <f>IF(D176&gt;0,IF(AND(C176='Input Data'!$B$25*12,'Input Data'!$E$25&gt;'Input Data'!$B$25),D176+D176*B176/12,-PMT(B176/12,'Input Data'!$E$25*12,D176,IF(AND(C176='Input Data'!$E$25*12,'Input Data'!$E$25&lt;'Input Data'!$B$25),D176,0))),0)</f>
        <v>88948.387001170966</v>
      </c>
      <c r="F176" s="55">
        <f>D176-E176</f>
        <v>14206018.330832269</v>
      </c>
      <c r="G176" s="55">
        <f t="shared" si="8"/>
        <v>75644.2</v>
      </c>
      <c r="H176" s="54">
        <f>MIN(E176-G176,D176)</f>
        <v>13304.187001170969</v>
      </c>
      <c r="I176" s="55">
        <f t="shared" si="9"/>
        <v>14281662.53083227</v>
      </c>
    </row>
    <row r="177" spans="1:9" x14ac:dyDescent="0.25">
      <c r="A177" t="b">
        <f>IF(('Input Data'!$C$25)="FRM", FALSE, ISNUMBER(MATCH(C177,'Input Data'!$N$14:$N$26,0)))</f>
        <v>0</v>
      </c>
      <c r="B177" s="51">
        <f>IF($A177, _xlfn.XLOOKUP(C177,'Input Data'!$N$13:$N$25,'Input Data'!$O$13:$O$25),$B176)</f>
        <v>6.3500000000000001E-2</v>
      </c>
      <c r="C177" s="63">
        <f t="shared" si="10"/>
        <v>175</v>
      </c>
      <c r="D177" s="55">
        <f t="shared" si="11"/>
        <v>14281662.53083227</v>
      </c>
      <c r="E177" s="54">
        <f>IF(D177&gt;0,IF(AND(C177='Input Data'!$B$25*12,'Input Data'!$E$25&gt;'Input Data'!$B$25),D177+D177*B177/12,-PMT(B177/12,'Input Data'!$E$25*12,D177,IF(AND(C177='Input Data'!$E$25*12,'Input Data'!$E$25&lt;'Input Data'!$B$25),D177,0))),0)</f>
        <v>88865.603599329275</v>
      </c>
      <c r="F177" s="55">
        <f>D177-E177</f>
        <v>14192796.927232942</v>
      </c>
      <c r="G177" s="55">
        <f t="shared" si="8"/>
        <v>75573.8</v>
      </c>
      <c r="H177" s="54">
        <f>MIN(E177-G177,D177)</f>
        <v>13291.803599329272</v>
      </c>
      <c r="I177" s="55">
        <f t="shared" si="9"/>
        <v>14268370.72723294</v>
      </c>
    </row>
    <row r="178" spans="1:9" x14ac:dyDescent="0.25">
      <c r="A178" t="b">
        <f>IF(('Input Data'!$C$25)="FRM", FALSE, ISNUMBER(MATCH(C178,'Input Data'!$N$14:$N$26,0)))</f>
        <v>0</v>
      </c>
      <c r="B178" s="51">
        <f>IF($A178, _xlfn.XLOOKUP(C178,'Input Data'!$N$13:$N$25,'Input Data'!$O$13:$O$25),$B177)</f>
        <v>6.3500000000000001E-2</v>
      </c>
      <c r="C178" s="63">
        <f t="shared" si="10"/>
        <v>176</v>
      </c>
      <c r="D178" s="55">
        <f t="shared" si="11"/>
        <v>14268370.72723294</v>
      </c>
      <c r="E178" s="54">
        <f>IF(D178&gt;0,IF(AND(C178='Input Data'!$B$25*12,'Input Data'!$E$25&gt;'Input Data'!$B$25),D178+D178*B178/12,-PMT(B178/12,'Input Data'!$E$25*12,D178,IF(AND(C178='Input Data'!$E$25*12,'Input Data'!$E$25&lt;'Input Data'!$B$25),D178,0))),0)</f>
        <v>88782.897251435381</v>
      </c>
      <c r="F178" s="55">
        <f>D178-E178</f>
        <v>14179587.829981506</v>
      </c>
      <c r="G178" s="55">
        <f t="shared" si="8"/>
        <v>75503.460000000006</v>
      </c>
      <c r="H178" s="54">
        <f>MIN(E178-G178,D178)</f>
        <v>13279.437251435374</v>
      </c>
      <c r="I178" s="55">
        <f t="shared" si="9"/>
        <v>14255091.289981505</v>
      </c>
    </row>
    <row r="179" spans="1:9" x14ac:dyDescent="0.25">
      <c r="A179" t="b">
        <f>IF(('Input Data'!$C$25)="FRM", FALSE, ISNUMBER(MATCH(C179,'Input Data'!$N$14:$N$26,0)))</f>
        <v>0</v>
      </c>
      <c r="B179" s="51">
        <f>IF($A179, _xlfn.XLOOKUP(C179,'Input Data'!$N$13:$N$25,'Input Data'!$O$13:$O$25),$B178)</f>
        <v>6.3500000000000001E-2</v>
      </c>
      <c r="C179" s="63">
        <f t="shared" si="10"/>
        <v>177</v>
      </c>
      <c r="D179" s="55">
        <f t="shared" si="11"/>
        <v>14255091.289981505</v>
      </c>
      <c r="E179" s="54">
        <f>IF(D179&gt;0,IF(AND(C179='Input Data'!$B$25*12,'Input Data'!$E$25&gt;'Input Data'!$B$25),D179+D179*B179/12,-PMT(B179/12,'Input Data'!$E$25*12,D179,IF(AND(C179='Input Data'!$E$25*12,'Input Data'!$E$25&lt;'Input Data'!$B$25),D179,0))),0)</f>
        <v>88700.267851373545</v>
      </c>
      <c r="F179" s="55">
        <f>D179-E179</f>
        <v>14166391.022130132</v>
      </c>
      <c r="G179" s="55">
        <f t="shared" si="8"/>
        <v>75433.19</v>
      </c>
      <c r="H179" s="54">
        <f>MIN(E179-G179,D179)</f>
        <v>13267.077851373542</v>
      </c>
      <c r="I179" s="55">
        <f t="shared" si="9"/>
        <v>14241824.212130131</v>
      </c>
    </row>
    <row r="180" spans="1:9" x14ac:dyDescent="0.25">
      <c r="A180" t="b">
        <f>IF(('Input Data'!$C$25)="FRM", FALSE, ISNUMBER(MATCH(C180,'Input Data'!$N$14:$N$26,0)))</f>
        <v>0</v>
      </c>
      <c r="B180" s="51">
        <f>IF($A180, _xlfn.XLOOKUP(C180,'Input Data'!$N$13:$N$25,'Input Data'!$O$13:$O$25),$B179)</f>
        <v>6.3500000000000001E-2</v>
      </c>
      <c r="C180" s="63">
        <f t="shared" si="10"/>
        <v>178</v>
      </c>
      <c r="D180" s="55">
        <f t="shared" si="11"/>
        <v>14241824.212130131</v>
      </c>
      <c r="E180" s="54">
        <f>IF(D180&gt;0,IF(AND(C180='Input Data'!$B$25*12,'Input Data'!$E$25&gt;'Input Data'!$B$25),D180+D180*B180/12,-PMT(B180/12,'Input Data'!$E$25*12,D180,IF(AND(C180='Input Data'!$E$25*12,'Input Data'!$E$25&lt;'Input Data'!$B$25),D180,0))),0)</f>
        <v>88617.715355911889</v>
      </c>
      <c r="F180" s="55">
        <f>D180-E180</f>
        <v>14153206.496774219</v>
      </c>
      <c r="G180" s="55">
        <f t="shared" si="8"/>
        <v>75362.990000000005</v>
      </c>
      <c r="H180" s="54">
        <f>MIN(E180-G180,D180)</f>
        <v>13254.725355911884</v>
      </c>
      <c r="I180" s="55">
        <f t="shared" si="9"/>
        <v>14228569.486774219</v>
      </c>
    </row>
    <row r="181" spans="1:9" x14ac:dyDescent="0.25">
      <c r="A181" t="b">
        <f>IF(('Input Data'!$C$25)="FRM", FALSE, ISNUMBER(MATCH(C181,'Input Data'!$N$14:$N$26,0)))</f>
        <v>0</v>
      </c>
      <c r="B181" s="51">
        <f>IF($A181, _xlfn.XLOOKUP(C181,'Input Data'!$N$13:$N$25,'Input Data'!$O$13:$O$25),$B180)</f>
        <v>6.3500000000000001E-2</v>
      </c>
      <c r="C181" s="63">
        <f t="shared" si="10"/>
        <v>179</v>
      </c>
      <c r="D181" s="55">
        <f t="shared" si="11"/>
        <v>14228569.486774219</v>
      </c>
      <c r="E181" s="54">
        <f>IF(D181&gt;0,IF(AND(C181='Input Data'!$B$25*12,'Input Data'!$E$25&gt;'Input Data'!$B$25),D181+D181*B181/12,-PMT(B181/12,'Input Data'!$E$25*12,D181,IF(AND(C181='Input Data'!$E$25*12,'Input Data'!$E$25&lt;'Input Data'!$B$25),D181,0))),0)</f>
        <v>88535.239722087485</v>
      </c>
      <c r="F181" s="55">
        <f>D181-E181</f>
        <v>14140034.247052131</v>
      </c>
      <c r="G181" s="55">
        <f t="shared" si="8"/>
        <v>75292.850000000006</v>
      </c>
      <c r="H181" s="54">
        <f>MIN(E181-G181,D181)</f>
        <v>13242.389722087479</v>
      </c>
      <c r="I181" s="55">
        <f t="shared" si="9"/>
        <v>14215327.097052131</v>
      </c>
    </row>
    <row r="182" spans="1:9" x14ac:dyDescent="0.25">
      <c r="A182" t="b">
        <f>IF(('Input Data'!$C$25)="FRM", FALSE, ISNUMBER(MATCH(C182,'Input Data'!$N$14:$N$26,0)))</f>
        <v>0</v>
      </c>
      <c r="B182" s="51">
        <f>IF($A182, _xlfn.XLOOKUP(C182,'Input Data'!$N$13:$N$25,'Input Data'!$O$13:$O$25),$B181)</f>
        <v>6.3500000000000001E-2</v>
      </c>
      <c r="C182" s="63">
        <f t="shared" si="10"/>
        <v>180</v>
      </c>
      <c r="D182" s="55">
        <f>IF(I181&gt;0,I181-J181,0)</f>
        <v>14215327.097052131</v>
      </c>
      <c r="E182" s="54">
        <f>IF(D182&gt;0,IF(AND(C182='Input Data'!$B$25*12,'Input Data'!$E$25&gt;'Input Data'!$B$25),D182+D182*B182/12,-PMT(B182/12,'Input Data'!$E$25*12,D182,IF(AND(C182='Input Data'!$E$25*12,'Input Data'!$E$25&lt;'Input Data'!$B$25),D182,0))),0)</f>
        <v>14290549.869607365</v>
      </c>
      <c r="F182" s="55">
        <f>D182-E182</f>
        <v>-75222.772555233911</v>
      </c>
      <c r="G182" s="55">
        <f t="shared" si="8"/>
        <v>75222.77</v>
      </c>
      <c r="H182" s="54">
        <f>MIN(E182-G182,D182)</f>
        <v>14215327.097052131</v>
      </c>
      <c r="I182" s="55">
        <f t="shared" si="9"/>
        <v>0</v>
      </c>
    </row>
    <row r="183" spans="1:9" x14ac:dyDescent="0.25">
      <c r="A183" t="b">
        <f>IF(('Input Data'!$C$25)="FRM", FALSE, ISNUMBER(MATCH(C183,'Input Data'!$N$14:$N$26,0)))</f>
        <v>0</v>
      </c>
      <c r="B183" s="51">
        <f>IF($A183, _xlfn.XLOOKUP(C183,'Input Data'!$N$13:$N$25,'Input Data'!$O$13:$O$25),$B182)</f>
        <v>6.3500000000000001E-2</v>
      </c>
      <c r="C183" s="63">
        <f t="shared" si="10"/>
        <v>181</v>
      </c>
      <c r="D183" s="55">
        <f t="shared" si="11"/>
        <v>0</v>
      </c>
      <c r="E183" s="54">
        <f>IF(D183&gt;0,IF(AND(C183='Input Data'!$B$25*12,'Input Data'!$E$25&gt;'Input Data'!$B$25),D183+D183*B183/12,-PMT(B183/12,'Input Data'!$E$25*12,D183,IF(AND(C183='Input Data'!$E$25*12,'Input Data'!$E$25&lt;'Input Data'!$B$25),D183,0))),0)</f>
        <v>0</v>
      </c>
      <c r="F183" s="55">
        <f>D183-E183</f>
        <v>0</v>
      </c>
      <c r="G183" s="55">
        <f t="shared" si="8"/>
        <v>0</v>
      </c>
      <c r="H183" s="54">
        <f>MIN(E183-G183,D183)</f>
        <v>0</v>
      </c>
      <c r="I183" s="55">
        <f t="shared" si="9"/>
        <v>0</v>
      </c>
    </row>
    <row r="184" spans="1:9" x14ac:dyDescent="0.25">
      <c r="A184" t="b">
        <f>IF(('Input Data'!$C$25)="FRM", FALSE, ISNUMBER(MATCH(C184,'Input Data'!$N$14:$N$26,0)))</f>
        <v>0</v>
      </c>
      <c r="B184" s="51">
        <f>IF($A184, _xlfn.XLOOKUP(C184,'Input Data'!$N$13:$N$25,'Input Data'!$O$13:$O$25),$B183)</f>
        <v>6.3500000000000001E-2</v>
      </c>
      <c r="C184" s="63">
        <f t="shared" si="10"/>
        <v>182</v>
      </c>
      <c r="D184" s="55">
        <f t="shared" si="11"/>
        <v>0</v>
      </c>
      <c r="E184" s="54">
        <f>IF(D184&gt;0,IF(AND(C184='Input Data'!$B$25*12,'Input Data'!$E$25&gt;'Input Data'!$B$25),D184+D184*B184/12,-PMT(B184/12,'Input Data'!$E$25*12,D184,IF(AND(C184='Input Data'!$E$25*12,'Input Data'!$E$25&lt;'Input Data'!$B$25),D184,0))),0)</f>
        <v>0</v>
      </c>
      <c r="F184" s="55">
        <f>D184-E184</f>
        <v>0</v>
      </c>
      <c r="G184" s="55">
        <f t="shared" si="8"/>
        <v>0</v>
      </c>
      <c r="H184" s="54">
        <f>MIN(E184-G184,D184)</f>
        <v>0</v>
      </c>
      <c r="I184" s="55">
        <f t="shared" si="9"/>
        <v>0</v>
      </c>
    </row>
    <row r="185" spans="1:9" x14ac:dyDescent="0.25">
      <c r="A185" t="b">
        <f>IF(('Input Data'!$C$25)="FRM", FALSE, ISNUMBER(MATCH(C185,'Input Data'!$N$14:$N$26,0)))</f>
        <v>0</v>
      </c>
      <c r="B185" s="51">
        <f>IF($A185, _xlfn.XLOOKUP(C185,'Input Data'!$N$13:$N$25,'Input Data'!$O$13:$O$25),$B184)</f>
        <v>6.3500000000000001E-2</v>
      </c>
      <c r="C185" s="63">
        <f t="shared" si="10"/>
        <v>183</v>
      </c>
      <c r="D185" s="55">
        <f t="shared" si="11"/>
        <v>0</v>
      </c>
      <c r="E185" s="54">
        <f>IF(D185&gt;0,IF(AND(C185='Input Data'!$B$25*12,'Input Data'!$E$25&gt;'Input Data'!$B$25),D185+D185*B185/12,-PMT(B185/12,'Input Data'!$E$25*12,D185,IF(AND(C185='Input Data'!$E$25*12,'Input Data'!$E$25&lt;'Input Data'!$B$25),D185,0))),0)</f>
        <v>0</v>
      </c>
      <c r="F185" s="55">
        <f>D185-E185</f>
        <v>0</v>
      </c>
      <c r="G185" s="55">
        <f t="shared" si="8"/>
        <v>0</v>
      </c>
      <c r="H185" s="54">
        <f>MIN(E185-G185,D185)</f>
        <v>0</v>
      </c>
      <c r="I185" s="55">
        <f t="shared" si="9"/>
        <v>0</v>
      </c>
    </row>
    <row r="186" spans="1:9" x14ac:dyDescent="0.25">
      <c r="A186" t="b">
        <f>IF(('Input Data'!$C$25)="FRM", FALSE, ISNUMBER(MATCH(C186,'Input Data'!$N$14:$N$26,0)))</f>
        <v>0</v>
      </c>
      <c r="B186" s="51">
        <f>IF($A186, _xlfn.XLOOKUP(C186,'Input Data'!$N$13:$N$25,'Input Data'!$O$13:$O$25),$B185)</f>
        <v>6.3500000000000001E-2</v>
      </c>
      <c r="C186" s="63">
        <f t="shared" si="10"/>
        <v>184</v>
      </c>
      <c r="D186" s="55">
        <f t="shared" si="11"/>
        <v>0</v>
      </c>
      <c r="E186" s="54">
        <f>IF(D186&gt;0,IF(AND(C186='Input Data'!$B$25*12,'Input Data'!$E$25&gt;'Input Data'!$B$25),D186+D186*B186/12,-PMT(B186/12,'Input Data'!$E$25*12,D186,IF(AND(C186='Input Data'!$E$25*12,'Input Data'!$E$25&lt;'Input Data'!$B$25),D186,0))),0)</f>
        <v>0</v>
      </c>
      <c r="F186" s="55">
        <f>D186-E186</f>
        <v>0</v>
      </c>
      <c r="G186" s="55">
        <f t="shared" si="8"/>
        <v>0</v>
      </c>
      <c r="H186" s="54">
        <f>MIN(E186-G186,D186)</f>
        <v>0</v>
      </c>
      <c r="I186" s="55">
        <f t="shared" si="9"/>
        <v>0</v>
      </c>
    </row>
    <row r="187" spans="1:9" x14ac:dyDescent="0.25">
      <c r="A187" t="b">
        <f>IF(('Input Data'!$C$25)="FRM", FALSE, ISNUMBER(MATCH(C187,'Input Data'!$N$14:$N$26,0)))</f>
        <v>0</v>
      </c>
      <c r="B187" s="51">
        <f>IF($A187, _xlfn.XLOOKUP(C187,'Input Data'!$N$13:$N$25,'Input Data'!$O$13:$O$25),$B186)</f>
        <v>6.3500000000000001E-2</v>
      </c>
      <c r="C187" s="63">
        <f t="shared" si="10"/>
        <v>185</v>
      </c>
      <c r="D187" s="55">
        <f t="shared" si="11"/>
        <v>0</v>
      </c>
      <c r="E187" s="54">
        <f>IF(D187&gt;0,IF(AND(C187='Input Data'!$B$25*12,'Input Data'!$E$25&gt;'Input Data'!$B$25),D187+D187*B187/12,-PMT(B187/12,'Input Data'!$E$25*12,D187,IF(AND(C187='Input Data'!$E$25*12,'Input Data'!$E$25&lt;'Input Data'!$B$25),D187,0))),0)</f>
        <v>0</v>
      </c>
      <c r="F187" s="55">
        <f>D187-E187</f>
        <v>0</v>
      </c>
      <c r="G187" s="55">
        <f t="shared" si="8"/>
        <v>0</v>
      </c>
      <c r="H187" s="54">
        <f>MIN(E187-G187,D187)</f>
        <v>0</v>
      </c>
      <c r="I187" s="55">
        <f t="shared" si="9"/>
        <v>0</v>
      </c>
    </row>
    <row r="188" spans="1:9" x14ac:dyDescent="0.25">
      <c r="A188" t="b">
        <f>IF(('Input Data'!$C$25)="FRM", FALSE, ISNUMBER(MATCH(C188,'Input Data'!$N$14:$N$26,0)))</f>
        <v>0</v>
      </c>
      <c r="B188" s="51">
        <f>IF($A188, _xlfn.XLOOKUP(C188,'Input Data'!$N$13:$N$25,'Input Data'!$O$13:$O$25),$B187)</f>
        <v>6.3500000000000001E-2</v>
      </c>
      <c r="C188" s="63">
        <f t="shared" si="10"/>
        <v>186</v>
      </c>
      <c r="D188" s="55">
        <f t="shared" si="11"/>
        <v>0</v>
      </c>
      <c r="E188" s="54">
        <f>IF(D188&gt;0,IF(AND(C188='Input Data'!$B$25*12,'Input Data'!$E$25&gt;'Input Data'!$B$25),D188+D188*B188/12,-PMT(B188/12,'Input Data'!$E$25*12,D188,IF(AND(C188='Input Data'!$E$25*12,'Input Data'!$E$25&lt;'Input Data'!$B$25),D188,0))),0)</f>
        <v>0</v>
      </c>
      <c r="F188" s="55">
        <f>D188-E188</f>
        <v>0</v>
      </c>
      <c r="G188" s="55">
        <f t="shared" si="8"/>
        <v>0</v>
      </c>
      <c r="H188" s="54">
        <f>MIN(E188-G188,D188)</f>
        <v>0</v>
      </c>
      <c r="I188" s="55">
        <f t="shared" si="9"/>
        <v>0</v>
      </c>
    </row>
    <row r="189" spans="1:9" x14ac:dyDescent="0.25">
      <c r="A189" t="b">
        <f>IF(('Input Data'!$C$25)="FRM", FALSE, ISNUMBER(MATCH(C189,'Input Data'!$N$14:$N$26,0)))</f>
        <v>0</v>
      </c>
      <c r="B189" s="51">
        <f>IF($A189, _xlfn.XLOOKUP(C189,'Input Data'!$N$13:$N$25,'Input Data'!$O$13:$O$25),$B188)</f>
        <v>6.3500000000000001E-2</v>
      </c>
      <c r="C189" s="63">
        <f t="shared" si="10"/>
        <v>187</v>
      </c>
      <c r="D189" s="55">
        <f t="shared" si="11"/>
        <v>0</v>
      </c>
      <c r="E189" s="54">
        <f>IF(D189&gt;0,IF(AND(C189='Input Data'!$B$25*12,'Input Data'!$E$25&gt;'Input Data'!$B$25),D189+D189*B189/12,-PMT(B189/12,'Input Data'!$E$25*12,D189,IF(AND(C189='Input Data'!$E$25*12,'Input Data'!$E$25&lt;'Input Data'!$B$25),D189,0))),0)</f>
        <v>0</v>
      </c>
      <c r="F189" s="55">
        <f>D189-E189</f>
        <v>0</v>
      </c>
      <c r="G189" s="55">
        <f t="shared" si="8"/>
        <v>0</v>
      </c>
      <c r="H189" s="54">
        <f>MIN(E189-G189,D189)</f>
        <v>0</v>
      </c>
      <c r="I189" s="55">
        <f t="shared" si="9"/>
        <v>0</v>
      </c>
    </row>
    <row r="190" spans="1:9" x14ac:dyDescent="0.25">
      <c r="A190" t="b">
        <f>IF(('Input Data'!$C$25)="FRM", FALSE, ISNUMBER(MATCH(C190,'Input Data'!$N$14:$N$26,0)))</f>
        <v>0</v>
      </c>
      <c r="B190" s="51">
        <f>IF($A190, _xlfn.XLOOKUP(C190,'Input Data'!$N$13:$N$25,'Input Data'!$O$13:$O$25),$B189)</f>
        <v>6.3500000000000001E-2</v>
      </c>
      <c r="C190" s="63">
        <f t="shared" si="10"/>
        <v>188</v>
      </c>
      <c r="D190" s="55">
        <f t="shared" si="11"/>
        <v>0</v>
      </c>
      <c r="E190" s="54">
        <f>IF(D190&gt;0,IF(AND(C190='Input Data'!$B$25*12,'Input Data'!$E$25&gt;'Input Data'!$B$25),D190+D190*B190/12,-PMT(B190/12,'Input Data'!$E$25*12,D190,IF(AND(C190='Input Data'!$E$25*12,'Input Data'!$E$25&lt;'Input Data'!$B$25),D190,0))),0)</f>
        <v>0</v>
      </c>
      <c r="F190" s="55">
        <f>D190-E190</f>
        <v>0</v>
      </c>
      <c r="G190" s="55">
        <f t="shared" si="8"/>
        <v>0</v>
      </c>
      <c r="H190" s="54">
        <f>MIN(E190-G190,D190)</f>
        <v>0</v>
      </c>
      <c r="I190" s="55">
        <f t="shared" si="9"/>
        <v>0</v>
      </c>
    </row>
    <row r="191" spans="1:9" x14ac:dyDescent="0.25">
      <c r="A191" t="b">
        <f>IF(('Input Data'!$C$25)="FRM", FALSE, ISNUMBER(MATCH(C191,'Input Data'!$N$14:$N$26,0)))</f>
        <v>0</v>
      </c>
      <c r="B191" s="51">
        <f>IF($A191, _xlfn.XLOOKUP(C191,'Input Data'!$N$13:$N$25,'Input Data'!$O$13:$O$25),$B190)</f>
        <v>6.3500000000000001E-2</v>
      </c>
      <c r="C191" s="63">
        <f t="shared" si="10"/>
        <v>189</v>
      </c>
      <c r="D191" s="55">
        <f t="shared" si="11"/>
        <v>0</v>
      </c>
      <c r="E191" s="54">
        <f>IF(D191&gt;0,IF(AND(C191='Input Data'!$B$25*12,'Input Data'!$E$25&gt;'Input Data'!$B$25),D191+D191*B191/12,-PMT(B191/12,'Input Data'!$E$25*12,D191,IF(AND(C191='Input Data'!$E$25*12,'Input Data'!$E$25&lt;'Input Data'!$B$25),D191,0))),0)</f>
        <v>0</v>
      </c>
      <c r="F191" s="55">
        <f>D191-E191</f>
        <v>0</v>
      </c>
      <c r="G191" s="55">
        <f t="shared" si="8"/>
        <v>0</v>
      </c>
      <c r="H191" s="54">
        <f>MIN(E191-G191,D191)</f>
        <v>0</v>
      </c>
      <c r="I191" s="55">
        <f t="shared" si="9"/>
        <v>0</v>
      </c>
    </row>
    <row r="192" spans="1:9" x14ac:dyDescent="0.25">
      <c r="A192" t="b">
        <f>IF(('Input Data'!$C$25)="FRM", FALSE, ISNUMBER(MATCH(C192,'Input Data'!$N$14:$N$26,0)))</f>
        <v>0</v>
      </c>
      <c r="B192" s="51">
        <f>IF($A192, _xlfn.XLOOKUP(C192,'Input Data'!$N$13:$N$25,'Input Data'!$O$13:$O$25),$B191)</f>
        <v>6.3500000000000001E-2</v>
      </c>
      <c r="C192" s="63">
        <f t="shared" si="10"/>
        <v>190</v>
      </c>
      <c r="D192" s="55">
        <f>IF(I191&gt;0,I191-J191,0)</f>
        <v>0</v>
      </c>
      <c r="E192" s="54">
        <f>IF(D192&gt;0,IF(AND(C192='Input Data'!$B$25*12,'Input Data'!$E$25&gt;'Input Data'!$B$25),D192+D192*B192/12,-PMT(B192/12,'Input Data'!$E$25*12,D192,IF(AND(C192='Input Data'!$E$25*12,'Input Data'!$E$25&lt;'Input Data'!$B$25),D192,0))),0)</f>
        <v>0</v>
      </c>
      <c r="F192" s="55">
        <f>D192-E192</f>
        <v>0</v>
      </c>
      <c r="G192" s="55">
        <f t="shared" si="8"/>
        <v>0</v>
      </c>
      <c r="H192" s="54">
        <f>MIN(E192-G192,D192)</f>
        <v>0</v>
      </c>
      <c r="I192" s="55">
        <f t="shared" si="9"/>
        <v>0</v>
      </c>
    </row>
    <row r="193" spans="1:9" x14ac:dyDescent="0.25">
      <c r="A193" t="b">
        <f>IF(('Input Data'!$C$25)="FRM", FALSE, ISNUMBER(MATCH(C193,'Input Data'!$N$14:$N$26,0)))</f>
        <v>0</v>
      </c>
      <c r="B193" s="51">
        <f>IF($A193, _xlfn.XLOOKUP(C193,'Input Data'!$N$13:$N$25,'Input Data'!$O$13:$O$25),$B192)</f>
        <v>6.3500000000000001E-2</v>
      </c>
      <c r="C193" s="63">
        <f t="shared" si="10"/>
        <v>191</v>
      </c>
      <c r="D193" s="55">
        <f t="shared" si="11"/>
        <v>0</v>
      </c>
      <c r="E193" s="54">
        <f>IF(D193&gt;0,IF(AND(C193='Input Data'!$B$25*12,'Input Data'!$E$25&gt;'Input Data'!$B$25),D193+D193*B193/12,-PMT(B193/12,'Input Data'!$E$25*12,D193,IF(AND(C193='Input Data'!$E$25*12,'Input Data'!$E$25&lt;'Input Data'!$B$25),D193,0))),0)</f>
        <v>0</v>
      </c>
      <c r="F193" s="55">
        <f>D193-E193</f>
        <v>0</v>
      </c>
      <c r="G193" s="55">
        <f t="shared" si="8"/>
        <v>0</v>
      </c>
      <c r="H193" s="54">
        <f>MIN(E193-G193,D193)</f>
        <v>0</v>
      </c>
      <c r="I193" s="55">
        <f t="shared" si="9"/>
        <v>0</v>
      </c>
    </row>
    <row r="194" spans="1:9" x14ac:dyDescent="0.25">
      <c r="A194" t="b">
        <f>IF(('Input Data'!$C$25)="FRM", FALSE, ISNUMBER(MATCH(C194,'Input Data'!$N$14:$N$26,0)))</f>
        <v>0</v>
      </c>
      <c r="B194" s="51">
        <f>IF($A194, _xlfn.XLOOKUP(C194,'Input Data'!$N$13:$N$25,'Input Data'!$O$13:$O$25),$B193)</f>
        <v>6.3500000000000001E-2</v>
      </c>
      <c r="C194" s="63">
        <f t="shared" si="10"/>
        <v>192</v>
      </c>
      <c r="D194" s="55">
        <f t="shared" si="11"/>
        <v>0</v>
      </c>
      <c r="E194" s="54">
        <f>IF(D194&gt;0,IF(AND(C194='Input Data'!$B$25*12,'Input Data'!$E$25&gt;'Input Data'!$B$25),D194+D194*B194/12,-PMT(B194/12,'Input Data'!$E$25*12,D194,IF(AND(C194='Input Data'!$E$25*12,'Input Data'!$E$25&lt;'Input Data'!$B$25),D194,0))),0)</f>
        <v>0</v>
      </c>
      <c r="F194" s="55">
        <f>D194-E194</f>
        <v>0</v>
      </c>
      <c r="G194" s="55">
        <f t="shared" si="8"/>
        <v>0</v>
      </c>
      <c r="H194" s="54">
        <f>MIN(E194-G194,D194)</f>
        <v>0</v>
      </c>
      <c r="I194" s="55">
        <f t="shared" si="9"/>
        <v>0</v>
      </c>
    </row>
    <row r="195" spans="1:9" x14ac:dyDescent="0.25">
      <c r="A195" t="b">
        <f>IF(('Input Data'!$C$25)="FRM", FALSE, ISNUMBER(MATCH(C195,'Input Data'!$N$14:$N$26,0)))</f>
        <v>0</v>
      </c>
      <c r="B195" s="51">
        <f>IF($A195, _xlfn.XLOOKUP(C195,'Input Data'!$N$13:$N$25,'Input Data'!$O$13:$O$25),$B194)</f>
        <v>6.3500000000000001E-2</v>
      </c>
      <c r="C195" s="63">
        <f t="shared" si="10"/>
        <v>193</v>
      </c>
      <c r="D195" s="55">
        <f t="shared" si="11"/>
        <v>0</v>
      </c>
      <c r="E195" s="54">
        <f>IF(D195&gt;0,IF(AND(C195='Input Data'!$B$25*12,'Input Data'!$E$25&gt;'Input Data'!$B$25),D195+D195*B195/12,-PMT(B195/12,'Input Data'!$E$25*12,D195,IF(AND(C195='Input Data'!$E$25*12,'Input Data'!$E$25&lt;'Input Data'!$B$25),D195,0))),0)</f>
        <v>0</v>
      </c>
      <c r="F195" s="55">
        <f>D195-E195</f>
        <v>0</v>
      </c>
      <c r="G195" s="55">
        <f t="shared" si="8"/>
        <v>0</v>
      </c>
      <c r="H195" s="54">
        <f>MIN(E195-G195,D195)</f>
        <v>0</v>
      </c>
      <c r="I195" s="55">
        <f t="shared" si="9"/>
        <v>0</v>
      </c>
    </row>
    <row r="196" spans="1:9" x14ac:dyDescent="0.25">
      <c r="A196" t="b">
        <f>IF(('Input Data'!$C$25)="FRM", FALSE, ISNUMBER(MATCH(C196,'Input Data'!$N$14:$N$26,0)))</f>
        <v>0</v>
      </c>
      <c r="B196" s="51">
        <f>IF($A196, _xlfn.XLOOKUP(C196,'Input Data'!$N$13:$N$25,'Input Data'!$O$13:$O$25),$B195)</f>
        <v>6.3500000000000001E-2</v>
      </c>
      <c r="C196" s="63">
        <f t="shared" si="10"/>
        <v>194</v>
      </c>
      <c r="D196" s="55">
        <f t="shared" si="11"/>
        <v>0</v>
      </c>
      <c r="E196" s="54">
        <f>IF(D196&gt;0,IF(AND(C196='Input Data'!$B$25*12,'Input Data'!$E$25&gt;'Input Data'!$B$25),D196+D196*B196/12,-PMT(B196/12,'Input Data'!$E$25*12,D196,IF(AND(C196='Input Data'!$E$25*12,'Input Data'!$E$25&lt;'Input Data'!$B$25),D196,0))),0)</f>
        <v>0</v>
      </c>
      <c r="F196" s="55">
        <f>D196-E196</f>
        <v>0</v>
      </c>
      <c r="G196" s="55">
        <f t="shared" ref="G196:G259" si="12">ROUND(D196*B196/12,2)</f>
        <v>0</v>
      </c>
      <c r="H196" s="54">
        <f>MIN(E196-G196,D196)</f>
        <v>0</v>
      </c>
      <c r="I196" s="55">
        <f t="shared" ref="I196:I259" si="13">IF(ROUND(D196-H196,2)=0,0,D196-H196)</f>
        <v>0</v>
      </c>
    </row>
    <row r="197" spans="1:9" x14ac:dyDescent="0.25">
      <c r="A197" t="b">
        <f>IF(('Input Data'!$C$25)="FRM", FALSE, ISNUMBER(MATCH(C197,'Input Data'!$N$14:$N$26,0)))</f>
        <v>0</v>
      </c>
      <c r="B197" s="51">
        <f>IF($A197, _xlfn.XLOOKUP(C197,'Input Data'!$N$13:$N$25,'Input Data'!$O$13:$O$25),$B196)</f>
        <v>6.3500000000000001E-2</v>
      </c>
      <c r="C197" s="63">
        <f t="shared" ref="C197:C260" si="14">C196+1</f>
        <v>195</v>
      </c>
      <c r="D197" s="55">
        <f t="shared" ref="D197:D260" si="15">IF(I196&gt;0,I196-J196,0)</f>
        <v>0</v>
      </c>
      <c r="E197" s="54">
        <f>IF(D197&gt;0,IF(AND(C197='Input Data'!$B$25*12,'Input Data'!$E$25&gt;'Input Data'!$B$25),D197+D197*B197/12,-PMT(B197/12,'Input Data'!$E$25*12,D197,IF(AND(C197='Input Data'!$E$25*12,'Input Data'!$E$25&lt;'Input Data'!$B$25),D197,0))),0)</f>
        <v>0</v>
      </c>
      <c r="F197" s="55">
        <f>D197-E197</f>
        <v>0</v>
      </c>
      <c r="G197" s="55">
        <f t="shared" si="12"/>
        <v>0</v>
      </c>
      <c r="H197" s="54">
        <f>MIN(E197-G197,D197)</f>
        <v>0</v>
      </c>
      <c r="I197" s="55">
        <f t="shared" si="13"/>
        <v>0</v>
      </c>
    </row>
    <row r="198" spans="1:9" x14ac:dyDescent="0.25">
      <c r="A198" t="b">
        <f>IF(('Input Data'!$C$25)="FRM", FALSE, ISNUMBER(MATCH(C198,'Input Data'!$N$14:$N$26,0)))</f>
        <v>0</v>
      </c>
      <c r="B198" s="51">
        <f>IF($A198, _xlfn.XLOOKUP(C198,'Input Data'!$N$13:$N$25,'Input Data'!$O$13:$O$25),$B197)</f>
        <v>6.3500000000000001E-2</v>
      </c>
      <c r="C198" s="63">
        <f t="shared" si="14"/>
        <v>196</v>
      </c>
      <c r="D198" s="55">
        <f t="shared" si="15"/>
        <v>0</v>
      </c>
      <c r="E198" s="54">
        <f>IF(D198&gt;0,IF(AND(C198='Input Data'!$B$25*12,'Input Data'!$E$25&gt;'Input Data'!$B$25),D198+D198*B198/12,-PMT(B198/12,'Input Data'!$E$25*12,D198,IF(AND(C198='Input Data'!$E$25*12,'Input Data'!$E$25&lt;'Input Data'!$B$25),D198,0))),0)</f>
        <v>0</v>
      </c>
      <c r="F198" s="55">
        <f>D198-E198</f>
        <v>0</v>
      </c>
      <c r="G198" s="55">
        <f t="shared" si="12"/>
        <v>0</v>
      </c>
      <c r="H198" s="54">
        <f>MIN(E198-G198,D198)</f>
        <v>0</v>
      </c>
      <c r="I198" s="55">
        <f t="shared" si="13"/>
        <v>0</v>
      </c>
    </row>
    <row r="199" spans="1:9" x14ac:dyDescent="0.25">
      <c r="A199" t="b">
        <f>IF(('Input Data'!$C$25)="FRM", FALSE, ISNUMBER(MATCH(C199,'Input Data'!$N$14:$N$26,0)))</f>
        <v>0</v>
      </c>
      <c r="B199" s="51">
        <f>IF($A199, _xlfn.XLOOKUP(C199,'Input Data'!$N$13:$N$25,'Input Data'!$O$13:$O$25),$B198)</f>
        <v>6.3500000000000001E-2</v>
      </c>
      <c r="C199" s="63">
        <f t="shared" si="14"/>
        <v>197</v>
      </c>
      <c r="D199" s="55">
        <f t="shared" si="15"/>
        <v>0</v>
      </c>
      <c r="E199" s="54">
        <f>IF(D199&gt;0,IF(AND(C199='Input Data'!$B$25*12,'Input Data'!$E$25&gt;'Input Data'!$B$25),D199+D199*B199/12,-PMT(B199/12,'Input Data'!$E$25*12,D199,IF(AND(C199='Input Data'!$E$25*12,'Input Data'!$E$25&lt;'Input Data'!$B$25),D199,0))),0)</f>
        <v>0</v>
      </c>
      <c r="F199" s="55">
        <f>D199-E199</f>
        <v>0</v>
      </c>
      <c r="G199" s="55">
        <f t="shared" si="12"/>
        <v>0</v>
      </c>
      <c r="H199" s="54">
        <f>MIN(E199-G199,D199)</f>
        <v>0</v>
      </c>
      <c r="I199" s="55">
        <f t="shared" si="13"/>
        <v>0</v>
      </c>
    </row>
    <row r="200" spans="1:9" x14ac:dyDescent="0.25">
      <c r="A200" t="b">
        <f>IF(('Input Data'!$C$25)="FRM", FALSE, ISNUMBER(MATCH(C200,'Input Data'!$N$14:$N$26,0)))</f>
        <v>0</v>
      </c>
      <c r="B200" s="51">
        <f>IF($A200, _xlfn.XLOOKUP(C200,'Input Data'!$N$13:$N$25,'Input Data'!$O$13:$O$25),$B199)</f>
        <v>6.3500000000000001E-2</v>
      </c>
      <c r="C200" s="63">
        <f t="shared" si="14"/>
        <v>198</v>
      </c>
      <c r="D200" s="55">
        <f t="shared" si="15"/>
        <v>0</v>
      </c>
      <c r="E200" s="54">
        <f>IF(D200&gt;0,IF(AND(C200='Input Data'!$B$25*12,'Input Data'!$E$25&gt;'Input Data'!$B$25),D200+D200*B200/12,-PMT(B200/12,'Input Data'!$E$25*12,D200,IF(AND(C200='Input Data'!$E$25*12,'Input Data'!$E$25&lt;'Input Data'!$B$25),D200,0))),0)</f>
        <v>0</v>
      </c>
      <c r="F200" s="55">
        <f>D200-E200</f>
        <v>0</v>
      </c>
      <c r="G200" s="55">
        <f t="shared" si="12"/>
        <v>0</v>
      </c>
      <c r="H200" s="54">
        <f>MIN(E200-G200,D200)</f>
        <v>0</v>
      </c>
      <c r="I200" s="55">
        <f t="shared" si="13"/>
        <v>0</v>
      </c>
    </row>
    <row r="201" spans="1:9" x14ac:dyDescent="0.25">
      <c r="A201" t="b">
        <f>IF(('Input Data'!$C$25)="FRM", FALSE, ISNUMBER(MATCH(C201,'Input Data'!$N$14:$N$26,0)))</f>
        <v>0</v>
      </c>
      <c r="B201" s="51">
        <f>IF($A201, _xlfn.XLOOKUP(C201,'Input Data'!$N$13:$N$25,'Input Data'!$O$13:$O$25),$B200)</f>
        <v>6.3500000000000001E-2</v>
      </c>
      <c r="C201" s="63">
        <f t="shared" si="14"/>
        <v>199</v>
      </c>
      <c r="D201" s="55">
        <f t="shared" si="15"/>
        <v>0</v>
      </c>
      <c r="E201" s="54">
        <f>IF(D201&gt;0,IF(AND(C201='Input Data'!$B$25*12,'Input Data'!$E$25&gt;'Input Data'!$B$25),D201+D201*B201/12,-PMT(B201/12,'Input Data'!$E$25*12,D201,IF(AND(C201='Input Data'!$E$25*12,'Input Data'!$E$25&lt;'Input Data'!$B$25),D201,0))),0)</f>
        <v>0</v>
      </c>
      <c r="F201" s="55">
        <f>D201-E201</f>
        <v>0</v>
      </c>
      <c r="G201" s="55">
        <f t="shared" si="12"/>
        <v>0</v>
      </c>
      <c r="H201" s="54">
        <f>MIN(E201-G201,D201)</f>
        <v>0</v>
      </c>
      <c r="I201" s="55">
        <f t="shared" si="13"/>
        <v>0</v>
      </c>
    </row>
    <row r="202" spans="1:9" x14ac:dyDescent="0.25">
      <c r="A202" t="b">
        <f>IF(('Input Data'!$C$25)="FRM", FALSE, ISNUMBER(MATCH(C202,'Input Data'!$N$14:$N$26,0)))</f>
        <v>0</v>
      </c>
      <c r="B202" s="51">
        <f>IF($A202, _xlfn.XLOOKUP(C202,'Input Data'!$N$13:$N$25,'Input Data'!$O$13:$O$25),$B201)</f>
        <v>6.3500000000000001E-2</v>
      </c>
      <c r="C202" s="63">
        <f t="shared" si="14"/>
        <v>200</v>
      </c>
      <c r="D202" s="55">
        <f t="shared" si="15"/>
        <v>0</v>
      </c>
      <c r="E202" s="54">
        <f>IF(D202&gt;0,IF(AND(C202='Input Data'!$B$25*12,'Input Data'!$E$25&gt;'Input Data'!$B$25),D202+D202*B202/12,-PMT(B202/12,'Input Data'!$E$25*12,D202,IF(AND(C202='Input Data'!$E$25*12,'Input Data'!$E$25&lt;'Input Data'!$B$25),D202,0))),0)</f>
        <v>0</v>
      </c>
      <c r="F202" s="55">
        <f>D202-E202</f>
        <v>0</v>
      </c>
      <c r="G202" s="55">
        <f t="shared" si="12"/>
        <v>0</v>
      </c>
      <c r="H202" s="54">
        <f>MIN(E202-G202,D202)</f>
        <v>0</v>
      </c>
      <c r="I202" s="55">
        <f t="shared" si="13"/>
        <v>0</v>
      </c>
    </row>
    <row r="203" spans="1:9" x14ac:dyDescent="0.25">
      <c r="A203" t="b">
        <f>IF(('Input Data'!$C$25)="FRM", FALSE, ISNUMBER(MATCH(C203,'Input Data'!$N$14:$N$26,0)))</f>
        <v>0</v>
      </c>
      <c r="B203" s="51">
        <f>IF($A203, _xlfn.XLOOKUP(C203,'Input Data'!$N$13:$N$25,'Input Data'!$O$13:$O$25),$B202)</f>
        <v>6.3500000000000001E-2</v>
      </c>
      <c r="C203" s="63">
        <f t="shared" si="14"/>
        <v>201</v>
      </c>
      <c r="D203" s="55">
        <f t="shared" si="15"/>
        <v>0</v>
      </c>
      <c r="E203" s="54">
        <f>IF(D203&gt;0,IF(AND(C203='Input Data'!$B$25*12,'Input Data'!$E$25&gt;'Input Data'!$B$25),D203+D203*B203/12,-PMT(B203/12,'Input Data'!$E$25*12,D203,IF(AND(C203='Input Data'!$E$25*12,'Input Data'!$E$25&lt;'Input Data'!$B$25),D203,0))),0)</f>
        <v>0</v>
      </c>
      <c r="F203" s="55">
        <f>D203-E203</f>
        <v>0</v>
      </c>
      <c r="G203" s="55">
        <f t="shared" si="12"/>
        <v>0</v>
      </c>
      <c r="H203" s="54">
        <f>MIN(E203-G203,D203)</f>
        <v>0</v>
      </c>
      <c r="I203" s="55">
        <f t="shared" si="13"/>
        <v>0</v>
      </c>
    </row>
    <row r="204" spans="1:9" x14ac:dyDescent="0.25">
      <c r="A204" t="b">
        <f>IF(('Input Data'!$C$25)="FRM", FALSE, ISNUMBER(MATCH(C204,'Input Data'!$N$14:$N$26,0)))</f>
        <v>0</v>
      </c>
      <c r="B204" s="51">
        <f>IF($A204, _xlfn.XLOOKUP(C204,'Input Data'!$N$13:$N$25,'Input Data'!$O$13:$O$25),$B203)</f>
        <v>6.3500000000000001E-2</v>
      </c>
      <c r="C204" s="63">
        <f t="shared" si="14"/>
        <v>202</v>
      </c>
      <c r="D204" s="55">
        <f t="shared" si="15"/>
        <v>0</v>
      </c>
      <c r="E204" s="54">
        <f>IF(D204&gt;0,IF(AND(C204='Input Data'!$B$25*12,'Input Data'!$E$25&gt;'Input Data'!$B$25),D204+D204*B204/12,-PMT(B204/12,'Input Data'!$E$25*12,D204,IF(AND(C204='Input Data'!$E$25*12,'Input Data'!$E$25&lt;'Input Data'!$B$25),D204,0))),0)</f>
        <v>0</v>
      </c>
      <c r="F204" s="55">
        <f>D204-E204</f>
        <v>0</v>
      </c>
      <c r="G204" s="55">
        <f t="shared" si="12"/>
        <v>0</v>
      </c>
      <c r="H204" s="54">
        <f>MIN(E204-G204,D204)</f>
        <v>0</v>
      </c>
      <c r="I204" s="55">
        <f t="shared" si="13"/>
        <v>0</v>
      </c>
    </row>
    <row r="205" spans="1:9" x14ac:dyDescent="0.25">
      <c r="A205" t="b">
        <f>IF(('Input Data'!$C$25)="FRM", FALSE, ISNUMBER(MATCH(C205,'Input Data'!$N$14:$N$26,0)))</f>
        <v>0</v>
      </c>
      <c r="B205" s="51">
        <f>IF($A205, _xlfn.XLOOKUP(C205,'Input Data'!$N$13:$N$25,'Input Data'!$O$13:$O$25),$B204)</f>
        <v>6.3500000000000001E-2</v>
      </c>
      <c r="C205" s="63">
        <f t="shared" si="14"/>
        <v>203</v>
      </c>
      <c r="D205" s="55">
        <f t="shared" si="15"/>
        <v>0</v>
      </c>
      <c r="E205" s="54">
        <f>IF(D205&gt;0,IF(AND(C205='Input Data'!$B$25*12,'Input Data'!$E$25&gt;'Input Data'!$B$25),D205+D205*B205/12,-PMT(B205/12,'Input Data'!$E$25*12,D205,IF(AND(C205='Input Data'!$E$25*12,'Input Data'!$E$25&lt;'Input Data'!$B$25),D205,0))),0)</f>
        <v>0</v>
      </c>
      <c r="F205" s="55">
        <f>D205-E205</f>
        <v>0</v>
      </c>
      <c r="G205" s="55">
        <f t="shared" si="12"/>
        <v>0</v>
      </c>
      <c r="H205" s="54">
        <f>MIN(E205-G205,D205)</f>
        <v>0</v>
      </c>
      <c r="I205" s="55">
        <f t="shared" si="13"/>
        <v>0</v>
      </c>
    </row>
    <row r="206" spans="1:9" x14ac:dyDescent="0.25">
      <c r="A206" t="b">
        <f>IF(('Input Data'!$C$25)="FRM", FALSE, ISNUMBER(MATCH(C206,'Input Data'!$N$14:$N$26,0)))</f>
        <v>0</v>
      </c>
      <c r="B206" s="51">
        <f>IF($A206, _xlfn.XLOOKUP(C206,'Input Data'!$N$13:$N$25,'Input Data'!$O$13:$O$25),$B205)</f>
        <v>6.3500000000000001E-2</v>
      </c>
      <c r="C206" s="63">
        <f t="shared" si="14"/>
        <v>204</v>
      </c>
      <c r="D206" s="55">
        <f t="shared" si="15"/>
        <v>0</v>
      </c>
      <c r="E206" s="54">
        <f>IF(D206&gt;0,IF(AND(C206='Input Data'!$B$25*12,'Input Data'!$E$25&gt;'Input Data'!$B$25),D206+D206*B206/12,-PMT(B206/12,'Input Data'!$E$25*12,D206,IF(AND(C206='Input Data'!$E$25*12,'Input Data'!$E$25&lt;'Input Data'!$B$25),D206,0))),0)</f>
        <v>0</v>
      </c>
      <c r="F206" s="55">
        <f>D206-E206</f>
        <v>0</v>
      </c>
      <c r="G206" s="55">
        <f t="shared" si="12"/>
        <v>0</v>
      </c>
      <c r="H206" s="54">
        <f>MIN(E206-G206,D206)</f>
        <v>0</v>
      </c>
      <c r="I206" s="55">
        <f t="shared" si="13"/>
        <v>0</v>
      </c>
    </row>
    <row r="207" spans="1:9" x14ac:dyDescent="0.25">
      <c r="A207" t="b">
        <f>IF(('Input Data'!$C$25)="FRM", FALSE, ISNUMBER(MATCH(C207,'Input Data'!$N$14:$N$26,0)))</f>
        <v>0</v>
      </c>
      <c r="B207" s="51">
        <f>IF($A207, _xlfn.XLOOKUP(C207,'Input Data'!$N$13:$N$25,'Input Data'!$O$13:$O$25),$B206)</f>
        <v>6.3500000000000001E-2</v>
      </c>
      <c r="C207" s="63">
        <f t="shared" si="14"/>
        <v>205</v>
      </c>
      <c r="D207" s="55">
        <f t="shared" si="15"/>
        <v>0</v>
      </c>
      <c r="E207" s="54">
        <f>IF(D207&gt;0,IF(AND(C207='Input Data'!$B$25*12,'Input Data'!$E$25&gt;'Input Data'!$B$25),D207+D207*B207/12,-PMT(B207/12,'Input Data'!$E$25*12,D207,IF(AND(C207='Input Data'!$E$25*12,'Input Data'!$E$25&lt;'Input Data'!$B$25),D207,0))),0)</f>
        <v>0</v>
      </c>
      <c r="F207" s="55">
        <f>D207-E207</f>
        <v>0</v>
      </c>
      <c r="G207" s="55">
        <f t="shared" si="12"/>
        <v>0</v>
      </c>
      <c r="H207" s="54">
        <f>MIN(E207-G207,D207)</f>
        <v>0</v>
      </c>
      <c r="I207" s="55">
        <f t="shared" si="13"/>
        <v>0</v>
      </c>
    </row>
    <row r="208" spans="1:9" x14ac:dyDescent="0.25">
      <c r="A208" t="b">
        <f>IF(('Input Data'!$C$25)="FRM", FALSE, ISNUMBER(MATCH(C208,'Input Data'!$N$14:$N$26,0)))</f>
        <v>0</v>
      </c>
      <c r="B208" s="51">
        <f>IF($A208, _xlfn.XLOOKUP(C208,'Input Data'!$N$13:$N$25,'Input Data'!$O$13:$O$25),$B207)</f>
        <v>6.3500000000000001E-2</v>
      </c>
      <c r="C208" s="63">
        <f t="shared" si="14"/>
        <v>206</v>
      </c>
      <c r="D208" s="55">
        <f t="shared" si="15"/>
        <v>0</v>
      </c>
      <c r="E208" s="54">
        <f>IF(D208&gt;0,IF(AND(C208='Input Data'!$B$25*12,'Input Data'!$E$25&gt;'Input Data'!$B$25),D208+D208*B208/12,-PMT(B208/12,'Input Data'!$E$25*12,D208,IF(AND(C208='Input Data'!$E$25*12,'Input Data'!$E$25&lt;'Input Data'!$B$25),D208,0))),0)</f>
        <v>0</v>
      </c>
      <c r="F208" s="55">
        <f>D208-E208</f>
        <v>0</v>
      </c>
      <c r="G208" s="55">
        <f t="shared" si="12"/>
        <v>0</v>
      </c>
      <c r="H208" s="54">
        <f>MIN(E208-G208,D208)</f>
        <v>0</v>
      </c>
      <c r="I208" s="55">
        <f t="shared" si="13"/>
        <v>0</v>
      </c>
    </row>
    <row r="209" spans="1:9" x14ac:dyDescent="0.25">
      <c r="A209" t="b">
        <f>IF(('Input Data'!$C$25)="FRM", FALSE, ISNUMBER(MATCH(C209,'Input Data'!$N$14:$N$26,0)))</f>
        <v>0</v>
      </c>
      <c r="B209" s="51">
        <f>IF($A209, _xlfn.XLOOKUP(C209,'Input Data'!$N$13:$N$25,'Input Data'!$O$13:$O$25),$B208)</f>
        <v>6.3500000000000001E-2</v>
      </c>
      <c r="C209" s="63">
        <f t="shared" si="14"/>
        <v>207</v>
      </c>
      <c r="D209" s="55">
        <f t="shared" si="15"/>
        <v>0</v>
      </c>
      <c r="E209" s="54">
        <f>IF(D209&gt;0,IF(AND(C209='Input Data'!$B$25*12,'Input Data'!$E$25&gt;'Input Data'!$B$25),D209+D209*B209/12,-PMT(B209/12,'Input Data'!$E$25*12,D209,IF(AND(C209='Input Data'!$E$25*12,'Input Data'!$E$25&lt;'Input Data'!$B$25),D209,0))),0)</f>
        <v>0</v>
      </c>
      <c r="F209" s="55">
        <f>D209-E209</f>
        <v>0</v>
      </c>
      <c r="G209" s="55">
        <f t="shared" si="12"/>
        <v>0</v>
      </c>
      <c r="H209" s="54">
        <f>MIN(E209-G209,D209)</f>
        <v>0</v>
      </c>
      <c r="I209" s="55">
        <f t="shared" si="13"/>
        <v>0</v>
      </c>
    </row>
    <row r="210" spans="1:9" x14ac:dyDescent="0.25">
      <c r="A210" t="b">
        <f>IF(('Input Data'!$C$25)="FRM", FALSE, ISNUMBER(MATCH(C210,'Input Data'!$N$14:$N$26,0)))</f>
        <v>0</v>
      </c>
      <c r="B210" s="51">
        <f>IF($A210, _xlfn.XLOOKUP(C210,'Input Data'!$N$13:$N$25,'Input Data'!$O$13:$O$25),$B209)</f>
        <v>6.3500000000000001E-2</v>
      </c>
      <c r="C210" s="63">
        <f t="shared" si="14"/>
        <v>208</v>
      </c>
      <c r="D210" s="55">
        <f t="shared" si="15"/>
        <v>0</v>
      </c>
      <c r="E210" s="54">
        <f>IF(D210&gt;0,IF(AND(C210='Input Data'!$B$25*12,'Input Data'!$E$25&gt;'Input Data'!$B$25),D210+D210*B210/12,-PMT(B210/12,'Input Data'!$E$25*12,D210,IF(AND(C210='Input Data'!$E$25*12,'Input Data'!$E$25&lt;'Input Data'!$B$25),D210,0))),0)</f>
        <v>0</v>
      </c>
      <c r="F210" s="55">
        <f>D210-E210</f>
        <v>0</v>
      </c>
      <c r="G210" s="55">
        <f t="shared" si="12"/>
        <v>0</v>
      </c>
      <c r="H210" s="54">
        <f>MIN(E210-G210,D210)</f>
        <v>0</v>
      </c>
      <c r="I210" s="55">
        <f t="shared" si="13"/>
        <v>0</v>
      </c>
    </row>
    <row r="211" spans="1:9" x14ac:dyDescent="0.25">
      <c r="A211" t="b">
        <f>IF(('Input Data'!$C$25)="FRM", FALSE, ISNUMBER(MATCH(C211,'Input Data'!$N$14:$N$26,0)))</f>
        <v>0</v>
      </c>
      <c r="B211" s="51">
        <f>IF($A211, _xlfn.XLOOKUP(C211,'Input Data'!$N$13:$N$25,'Input Data'!$O$13:$O$25),$B210)</f>
        <v>6.3500000000000001E-2</v>
      </c>
      <c r="C211" s="63">
        <f t="shared" si="14"/>
        <v>209</v>
      </c>
      <c r="D211" s="55">
        <f t="shared" si="15"/>
        <v>0</v>
      </c>
      <c r="E211" s="54">
        <f>IF(D211&gt;0,IF(AND(C211='Input Data'!$B$25*12,'Input Data'!$E$25&gt;'Input Data'!$B$25),D211+D211*B211/12,-PMT(B211/12,'Input Data'!$E$25*12,D211,IF(AND(C211='Input Data'!$E$25*12,'Input Data'!$E$25&lt;'Input Data'!$B$25),D211,0))),0)</f>
        <v>0</v>
      </c>
      <c r="F211" s="55">
        <f>D211-E211</f>
        <v>0</v>
      </c>
      <c r="G211" s="55">
        <f t="shared" si="12"/>
        <v>0</v>
      </c>
      <c r="H211" s="54">
        <f>MIN(E211-G211,D211)</f>
        <v>0</v>
      </c>
      <c r="I211" s="55">
        <f t="shared" si="13"/>
        <v>0</v>
      </c>
    </row>
    <row r="212" spans="1:9" x14ac:dyDescent="0.25">
      <c r="A212" t="b">
        <f>IF(('Input Data'!$C$25)="FRM", FALSE, ISNUMBER(MATCH(C212,'Input Data'!$N$14:$N$26,0)))</f>
        <v>0</v>
      </c>
      <c r="B212" s="51">
        <f>IF($A212, _xlfn.XLOOKUP(C212,'Input Data'!$N$13:$N$25,'Input Data'!$O$13:$O$25),$B211)</f>
        <v>6.3500000000000001E-2</v>
      </c>
      <c r="C212" s="63">
        <f t="shared" si="14"/>
        <v>210</v>
      </c>
      <c r="D212" s="55">
        <f t="shared" si="15"/>
        <v>0</v>
      </c>
      <c r="E212" s="54">
        <f>IF(D212&gt;0,IF(AND(C212='Input Data'!$B$25*12,'Input Data'!$E$25&gt;'Input Data'!$B$25),D212+D212*B212/12,-PMT(B212/12,'Input Data'!$E$25*12,D212,IF(AND(C212='Input Data'!$E$25*12,'Input Data'!$E$25&lt;'Input Data'!$B$25),D212,0))),0)</f>
        <v>0</v>
      </c>
      <c r="F212" s="55">
        <f>D212-E212</f>
        <v>0</v>
      </c>
      <c r="G212" s="55">
        <f t="shared" si="12"/>
        <v>0</v>
      </c>
      <c r="H212" s="54">
        <f>MIN(E212-G212,D212)</f>
        <v>0</v>
      </c>
      <c r="I212" s="55">
        <f t="shared" si="13"/>
        <v>0</v>
      </c>
    </row>
    <row r="213" spans="1:9" x14ac:dyDescent="0.25">
      <c r="A213" t="b">
        <f>IF(('Input Data'!$C$25)="FRM", FALSE, ISNUMBER(MATCH(C213,'Input Data'!$N$14:$N$26,0)))</f>
        <v>0</v>
      </c>
      <c r="B213" s="51">
        <f>IF($A213, _xlfn.XLOOKUP(C213,'Input Data'!$N$13:$N$25,'Input Data'!$O$13:$O$25),$B212)</f>
        <v>6.3500000000000001E-2</v>
      </c>
      <c r="C213" s="63">
        <f t="shared" si="14"/>
        <v>211</v>
      </c>
      <c r="D213" s="55">
        <f t="shared" si="15"/>
        <v>0</v>
      </c>
      <c r="E213" s="54">
        <f>IF(D213&gt;0,IF(AND(C213='Input Data'!$B$25*12,'Input Data'!$E$25&gt;'Input Data'!$B$25),D213+D213*B213/12,-PMT(B213/12,'Input Data'!$E$25*12,D213,IF(AND(C213='Input Data'!$E$25*12,'Input Data'!$E$25&lt;'Input Data'!$B$25),D213,0))),0)</f>
        <v>0</v>
      </c>
      <c r="F213" s="55">
        <f>D213-E213</f>
        <v>0</v>
      </c>
      <c r="G213" s="55">
        <f t="shared" si="12"/>
        <v>0</v>
      </c>
      <c r="H213" s="54">
        <f>MIN(E213-G213,D213)</f>
        <v>0</v>
      </c>
      <c r="I213" s="55">
        <f t="shared" si="13"/>
        <v>0</v>
      </c>
    </row>
    <row r="214" spans="1:9" x14ac:dyDescent="0.25">
      <c r="A214" t="b">
        <f>IF(('Input Data'!$C$25)="FRM", FALSE, ISNUMBER(MATCH(C214,'Input Data'!$N$14:$N$26,0)))</f>
        <v>0</v>
      </c>
      <c r="B214" s="51">
        <f>IF($A214, _xlfn.XLOOKUP(C214,'Input Data'!$N$13:$N$25,'Input Data'!$O$13:$O$25),$B213)</f>
        <v>6.3500000000000001E-2</v>
      </c>
      <c r="C214" s="63">
        <f t="shared" si="14"/>
        <v>212</v>
      </c>
      <c r="D214" s="55">
        <f t="shared" si="15"/>
        <v>0</v>
      </c>
      <c r="E214" s="54">
        <f>IF(D214&gt;0,IF(AND(C214='Input Data'!$B$25*12,'Input Data'!$E$25&gt;'Input Data'!$B$25),D214+D214*B214/12,-PMT(B214/12,'Input Data'!$E$25*12,D214,IF(AND(C214='Input Data'!$E$25*12,'Input Data'!$E$25&lt;'Input Data'!$B$25),D214,0))),0)</f>
        <v>0</v>
      </c>
      <c r="F214" s="55">
        <f>D214-E214</f>
        <v>0</v>
      </c>
      <c r="G214" s="55">
        <f t="shared" si="12"/>
        <v>0</v>
      </c>
      <c r="H214" s="54">
        <f>MIN(E214-G214,D214)</f>
        <v>0</v>
      </c>
      <c r="I214" s="55">
        <f t="shared" si="13"/>
        <v>0</v>
      </c>
    </row>
    <row r="215" spans="1:9" x14ac:dyDescent="0.25">
      <c r="A215" t="b">
        <f>IF(('Input Data'!$C$25)="FRM", FALSE, ISNUMBER(MATCH(C215,'Input Data'!$N$14:$N$26,0)))</f>
        <v>0</v>
      </c>
      <c r="B215" s="51">
        <f>IF($A215, _xlfn.XLOOKUP(C215,'Input Data'!$N$13:$N$25,'Input Data'!$O$13:$O$25),$B214)</f>
        <v>6.3500000000000001E-2</v>
      </c>
      <c r="C215" s="63">
        <f t="shared" si="14"/>
        <v>213</v>
      </c>
      <c r="D215" s="55">
        <f t="shared" si="15"/>
        <v>0</v>
      </c>
      <c r="E215" s="54">
        <f>IF(D215&gt;0,IF(AND(C215='Input Data'!$B$25*12,'Input Data'!$E$25&gt;'Input Data'!$B$25),D215+D215*B215/12,-PMT(B215/12,'Input Data'!$E$25*12,D215,IF(AND(C215='Input Data'!$E$25*12,'Input Data'!$E$25&lt;'Input Data'!$B$25),D215,0))),0)</f>
        <v>0</v>
      </c>
      <c r="F215" s="55">
        <f>D215-E215</f>
        <v>0</v>
      </c>
      <c r="G215" s="55">
        <f t="shared" si="12"/>
        <v>0</v>
      </c>
      <c r="H215" s="54">
        <f>MIN(E215-G215,D215)</f>
        <v>0</v>
      </c>
      <c r="I215" s="55">
        <f t="shared" si="13"/>
        <v>0</v>
      </c>
    </row>
    <row r="216" spans="1:9" x14ac:dyDescent="0.25">
      <c r="A216" t="b">
        <f>IF(('Input Data'!$C$25)="FRM", FALSE, ISNUMBER(MATCH(C216,'Input Data'!$N$14:$N$26,0)))</f>
        <v>0</v>
      </c>
      <c r="B216" s="51">
        <f>IF($A216, _xlfn.XLOOKUP(C216,'Input Data'!$N$13:$N$25,'Input Data'!$O$13:$O$25),$B215)</f>
        <v>6.3500000000000001E-2</v>
      </c>
      <c r="C216" s="63">
        <f t="shared" si="14"/>
        <v>214</v>
      </c>
      <c r="D216" s="55">
        <f t="shared" si="15"/>
        <v>0</v>
      </c>
      <c r="E216" s="54">
        <f>IF(D216&gt;0,IF(AND(C216='Input Data'!$B$25*12,'Input Data'!$E$25&gt;'Input Data'!$B$25),D216+D216*B216/12,-PMT(B216/12,'Input Data'!$E$25*12,D216,IF(AND(C216='Input Data'!$E$25*12,'Input Data'!$E$25&lt;'Input Data'!$B$25),D216,0))),0)</f>
        <v>0</v>
      </c>
      <c r="F216" s="55">
        <f>D216-E216</f>
        <v>0</v>
      </c>
      <c r="G216" s="55">
        <f t="shared" si="12"/>
        <v>0</v>
      </c>
      <c r="H216" s="54">
        <f>MIN(E216-G216,D216)</f>
        <v>0</v>
      </c>
      <c r="I216" s="55">
        <f t="shared" si="13"/>
        <v>0</v>
      </c>
    </row>
    <row r="217" spans="1:9" x14ac:dyDescent="0.25">
      <c r="A217" t="b">
        <f>IF(('Input Data'!$C$25)="FRM", FALSE, ISNUMBER(MATCH(C217,'Input Data'!$N$14:$N$26,0)))</f>
        <v>0</v>
      </c>
      <c r="B217" s="51">
        <f>IF($A217, _xlfn.XLOOKUP(C217,'Input Data'!$N$13:$N$25,'Input Data'!$O$13:$O$25),$B216)</f>
        <v>6.3500000000000001E-2</v>
      </c>
      <c r="C217" s="63">
        <f t="shared" si="14"/>
        <v>215</v>
      </c>
      <c r="D217" s="55">
        <f t="shared" si="15"/>
        <v>0</v>
      </c>
      <c r="E217" s="54">
        <f>IF(D217&gt;0,IF(AND(C217='Input Data'!$B$25*12,'Input Data'!$E$25&gt;'Input Data'!$B$25),D217+D217*B217/12,-PMT(B217/12,'Input Data'!$E$25*12,D217,IF(AND(C217='Input Data'!$E$25*12,'Input Data'!$E$25&lt;'Input Data'!$B$25),D217,0))),0)</f>
        <v>0</v>
      </c>
      <c r="F217" s="55">
        <f>D217-E217</f>
        <v>0</v>
      </c>
      <c r="G217" s="55">
        <f t="shared" si="12"/>
        <v>0</v>
      </c>
      <c r="H217" s="54">
        <f>MIN(E217-G217,D217)</f>
        <v>0</v>
      </c>
      <c r="I217" s="55">
        <f t="shared" si="13"/>
        <v>0</v>
      </c>
    </row>
    <row r="218" spans="1:9" x14ac:dyDescent="0.25">
      <c r="A218" t="b">
        <f>IF(('Input Data'!$C$25)="FRM", FALSE, ISNUMBER(MATCH(C218,'Input Data'!$N$14:$N$26,0)))</f>
        <v>0</v>
      </c>
      <c r="B218" s="51">
        <f>IF($A218, _xlfn.XLOOKUP(C218,'Input Data'!$N$13:$N$25,'Input Data'!$O$13:$O$25),$B217)</f>
        <v>6.3500000000000001E-2</v>
      </c>
      <c r="C218" s="63">
        <f t="shared" si="14"/>
        <v>216</v>
      </c>
      <c r="D218" s="55">
        <f t="shared" si="15"/>
        <v>0</v>
      </c>
      <c r="E218" s="54">
        <f>IF(D218&gt;0,IF(AND(C218='Input Data'!$B$25*12,'Input Data'!$E$25&gt;'Input Data'!$B$25),D218+D218*B218/12,-PMT(B218/12,'Input Data'!$E$25*12,D218,IF(AND(C218='Input Data'!$E$25*12,'Input Data'!$E$25&lt;'Input Data'!$B$25),D218,0))),0)</f>
        <v>0</v>
      </c>
      <c r="F218" s="55">
        <f>D218-E218</f>
        <v>0</v>
      </c>
      <c r="G218" s="55">
        <f t="shared" si="12"/>
        <v>0</v>
      </c>
      <c r="H218" s="54">
        <f>MIN(E218-G218,D218)</f>
        <v>0</v>
      </c>
      <c r="I218" s="55">
        <f t="shared" si="13"/>
        <v>0</v>
      </c>
    </row>
    <row r="219" spans="1:9" x14ac:dyDescent="0.25">
      <c r="A219" t="b">
        <f>IF(('Input Data'!$C$25)="FRM", FALSE, ISNUMBER(MATCH(C219,'Input Data'!$N$14:$N$26,0)))</f>
        <v>0</v>
      </c>
      <c r="B219" s="51">
        <f>IF($A219, _xlfn.XLOOKUP(C219,'Input Data'!$N$13:$N$25,'Input Data'!$O$13:$O$25),$B218)</f>
        <v>6.3500000000000001E-2</v>
      </c>
      <c r="C219" s="63">
        <f t="shared" si="14"/>
        <v>217</v>
      </c>
      <c r="D219" s="55">
        <f t="shared" si="15"/>
        <v>0</v>
      </c>
      <c r="E219" s="54">
        <f>IF(D219&gt;0,IF(AND(C219='Input Data'!$B$25*12,'Input Data'!$E$25&gt;'Input Data'!$B$25),D219+D219*B219/12,-PMT(B219/12,'Input Data'!$E$25*12,D219,IF(AND(C219='Input Data'!$E$25*12,'Input Data'!$E$25&lt;'Input Data'!$B$25),D219,0))),0)</f>
        <v>0</v>
      </c>
      <c r="F219" s="55">
        <f>D219-E219</f>
        <v>0</v>
      </c>
      <c r="G219" s="55">
        <f t="shared" si="12"/>
        <v>0</v>
      </c>
      <c r="H219" s="54">
        <f>MIN(E219-G219,D219)</f>
        <v>0</v>
      </c>
      <c r="I219" s="55">
        <f t="shared" si="13"/>
        <v>0</v>
      </c>
    </row>
    <row r="220" spans="1:9" x14ac:dyDescent="0.25">
      <c r="A220" t="b">
        <f>IF(('Input Data'!$C$25)="FRM", FALSE, ISNUMBER(MATCH(C220,'Input Data'!$N$14:$N$26,0)))</f>
        <v>0</v>
      </c>
      <c r="B220" s="51">
        <f>IF($A220, _xlfn.XLOOKUP(C220,'Input Data'!$N$13:$N$25,'Input Data'!$O$13:$O$25),$B219)</f>
        <v>6.3500000000000001E-2</v>
      </c>
      <c r="C220" s="63">
        <f t="shared" si="14"/>
        <v>218</v>
      </c>
      <c r="D220" s="55">
        <f t="shared" si="15"/>
        <v>0</v>
      </c>
      <c r="E220" s="54">
        <f>IF(D220&gt;0,IF(AND(C220='Input Data'!$B$25*12,'Input Data'!$E$25&gt;'Input Data'!$B$25),D220+D220*B220/12,-PMT(B220/12,'Input Data'!$E$25*12,D220,IF(AND(C220='Input Data'!$E$25*12,'Input Data'!$E$25&lt;'Input Data'!$B$25),D220,0))),0)</f>
        <v>0</v>
      </c>
      <c r="F220" s="55">
        <f>D220-E220</f>
        <v>0</v>
      </c>
      <c r="G220" s="55">
        <f t="shared" si="12"/>
        <v>0</v>
      </c>
      <c r="H220" s="54">
        <f>MIN(E220-G220,D220)</f>
        <v>0</v>
      </c>
      <c r="I220" s="55">
        <f t="shared" si="13"/>
        <v>0</v>
      </c>
    </row>
    <row r="221" spans="1:9" x14ac:dyDescent="0.25">
      <c r="A221" t="b">
        <f>IF(('Input Data'!$C$25)="FRM", FALSE, ISNUMBER(MATCH(C221,'Input Data'!$N$14:$N$26,0)))</f>
        <v>0</v>
      </c>
      <c r="B221" s="51">
        <f>IF($A221, _xlfn.XLOOKUP(C221,'Input Data'!$N$13:$N$25,'Input Data'!$O$13:$O$25),$B220)</f>
        <v>6.3500000000000001E-2</v>
      </c>
      <c r="C221" s="63">
        <f t="shared" si="14"/>
        <v>219</v>
      </c>
      <c r="D221" s="55">
        <f t="shared" si="15"/>
        <v>0</v>
      </c>
      <c r="E221" s="54">
        <f>IF(D221&gt;0,IF(AND(C221='Input Data'!$B$25*12,'Input Data'!$E$25&gt;'Input Data'!$B$25),D221+D221*B221/12,-PMT(B221/12,'Input Data'!$E$25*12,D221,IF(AND(C221='Input Data'!$E$25*12,'Input Data'!$E$25&lt;'Input Data'!$B$25),D221,0))),0)</f>
        <v>0</v>
      </c>
      <c r="F221" s="55">
        <f>D221-E221</f>
        <v>0</v>
      </c>
      <c r="G221" s="55">
        <f t="shared" si="12"/>
        <v>0</v>
      </c>
      <c r="H221" s="54">
        <f>MIN(E221-G221,D221)</f>
        <v>0</v>
      </c>
      <c r="I221" s="55">
        <f t="shared" si="13"/>
        <v>0</v>
      </c>
    </row>
    <row r="222" spans="1:9" x14ac:dyDescent="0.25">
      <c r="A222" t="b">
        <f>IF(('Input Data'!$C$25)="FRM", FALSE, ISNUMBER(MATCH(C222,'Input Data'!$N$14:$N$26,0)))</f>
        <v>0</v>
      </c>
      <c r="B222" s="51">
        <f>IF($A222, _xlfn.XLOOKUP(C222,'Input Data'!$N$13:$N$25,'Input Data'!$O$13:$O$25),$B221)</f>
        <v>6.3500000000000001E-2</v>
      </c>
      <c r="C222" s="63">
        <f t="shared" si="14"/>
        <v>220</v>
      </c>
      <c r="D222" s="55">
        <f t="shared" si="15"/>
        <v>0</v>
      </c>
      <c r="E222" s="54">
        <f>IF(D222&gt;0,IF(AND(C222='Input Data'!$B$25*12,'Input Data'!$E$25&gt;'Input Data'!$B$25),D222+D222*B222/12,-PMT(B222/12,'Input Data'!$E$25*12,D222,IF(AND(C222='Input Data'!$E$25*12,'Input Data'!$E$25&lt;'Input Data'!$B$25),D222,0))),0)</f>
        <v>0</v>
      </c>
      <c r="F222" s="55">
        <f>D222-E222</f>
        <v>0</v>
      </c>
      <c r="G222" s="55">
        <f t="shared" si="12"/>
        <v>0</v>
      </c>
      <c r="H222" s="54">
        <f>MIN(E222-G222,D222)</f>
        <v>0</v>
      </c>
      <c r="I222" s="55">
        <f t="shared" si="13"/>
        <v>0</v>
      </c>
    </row>
    <row r="223" spans="1:9" x14ac:dyDescent="0.25">
      <c r="A223" t="b">
        <f>IF(('Input Data'!$C$25)="FRM", FALSE, ISNUMBER(MATCH(C223,'Input Data'!$N$14:$N$26,0)))</f>
        <v>0</v>
      </c>
      <c r="B223" s="51">
        <f>IF($A223, _xlfn.XLOOKUP(C223,'Input Data'!$N$13:$N$25,'Input Data'!$O$13:$O$25),$B222)</f>
        <v>6.3500000000000001E-2</v>
      </c>
      <c r="C223" s="63">
        <f t="shared" si="14"/>
        <v>221</v>
      </c>
      <c r="D223" s="55">
        <f t="shared" si="15"/>
        <v>0</v>
      </c>
      <c r="E223" s="54">
        <f>IF(D223&gt;0,IF(AND(C223='Input Data'!$B$25*12,'Input Data'!$E$25&gt;'Input Data'!$B$25),D223+D223*B223/12,-PMT(B223/12,'Input Data'!$E$25*12,D223,IF(AND(C223='Input Data'!$E$25*12,'Input Data'!$E$25&lt;'Input Data'!$B$25),D223,0))),0)</f>
        <v>0</v>
      </c>
      <c r="F223" s="55">
        <f>D223-E223</f>
        <v>0</v>
      </c>
      <c r="G223" s="55">
        <f t="shared" si="12"/>
        <v>0</v>
      </c>
      <c r="H223" s="54">
        <f>MIN(E223-G223,D223)</f>
        <v>0</v>
      </c>
      <c r="I223" s="55">
        <f t="shared" si="13"/>
        <v>0</v>
      </c>
    </row>
    <row r="224" spans="1:9" x14ac:dyDescent="0.25">
      <c r="A224" t="b">
        <f>IF(('Input Data'!$C$25)="FRM", FALSE, ISNUMBER(MATCH(C224,'Input Data'!$N$14:$N$26,0)))</f>
        <v>0</v>
      </c>
      <c r="B224" s="51">
        <f>IF($A224, _xlfn.XLOOKUP(C224,'Input Data'!$N$13:$N$25,'Input Data'!$O$13:$O$25),$B223)</f>
        <v>6.3500000000000001E-2</v>
      </c>
      <c r="C224" s="63">
        <f t="shared" si="14"/>
        <v>222</v>
      </c>
      <c r="D224" s="55">
        <f t="shared" si="15"/>
        <v>0</v>
      </c>
      <c r="E224" s="54">
        <f>IF(D224&gt;0,IF(AND(C224='Input Data'!$B$25*12,'Input Data'!$E$25&gt;'Input Data'!$B$25),D224+D224*B224/12,-PMT(B224/12,'Input Data'!$E$25*12,D224,IF(AND(C224='Input Data'!$E$25*12,'Input Data'!$E$25&lt;'Input Data'!$B$25),D224,0))),0)</f>
        <v>0</v>
      </c>
      <c r="F224" s="55">
        <f>D224-E224</f>
        <v>0</v>
      </c>
      <c r="G224" s="55">
        <f t="shared" si="12"/>
        <v>0</v>
      </c>
      <c r="H224" s="54">
        <f>MIN(E224-G224,D224)</f>
        <v>0</v>
      </c>
      <c r="I224" s="55">
        <f t="shared" si="13"/>
        <v>0</v>
      </c>
    </row>
    <row r="225" spans="1:9" x14ac:dyDescent="0.25">
      <c r="A225" t="b">
        <f>IF(('Input Data'!$C$25)="FRM", FALSE, ISNUMBER(MATCH(C225,'Input Data'!$N$14:$N$26,0)))</f>
        <v>0</v>
      </c>
      <c r="B225" s="51">
        <f>IF($A225, _xlfn.XLOOKUP(C225,'Input Data'!$N$13:$N$25,'Input Data'!$O$13:$O$25),$B224)</f>
        <v>6.3500000000000001E-2</v>
      </c>
      <c r="C225" s="63">
        <f t="shared" si="14"/>
        <v>223</v>
      </c>
      <c r="D225" s="55">
        <f t="shared" si="15"/>
        <v>0</v>
      </c>
      <c r="E225" s="54">
        <f>IF(D225&gt;0,IF(AND(C225='Input Data'!$B$25*12,'Input Data'!$E$25&gt;'Input Data'!$B$25),D225+D225*B225/12,-PMT(B225/12,'Input Data'!$E$25*12,D225,IF(AND(C225='Input Data'!$E$25*12,'Input Data'!$E$25&lt;'Input Data'!$B$25),D225,0))),0)</f>
        <v>0</v>
      </c>
      <c r="F225" s="55">
        <f>D225-E225</f>
        <v>0</v>
      </c>
      <c r="G225" s="55">
        <f t="shared" si="12"/>
        <v>0</v>
      </c>
      <c r="H225" s="54">
        <f>MIN(E225-G225,D225)</f>
        <v>0</v>
      </c>
      <c r="I225" s="55">
        <f t="shared" si="13"/>
        <v>0</v>
      </c>
    </row>
    <row r="226" spans="1:9" x14ac:dyDescent="0.25">
      <c r="A226" t="b">
        <f>IF(('Input Data'!$C$25)="FRM", FALSE, ISNUMBER(MATCH(C226,'Input Data'!$N$14:$N$26,0)))</f>
        <v>0</v>
      </c>
      <c r="B226" s="51">
        <f>IF($A226, _xlfn.XLOOKUP(C226,'Input Data'!$N$13:$N$25,'Input Data'!$O$13:$O$25),$B225)</f>
        <v>6.3500000000000001E-2</v>
      </c>
      <c r="C226" s="63">
        <f t="shared" si="14"/>
        <v>224</v>
      </c>
      <c r="D226" s="55">
        <f t="shared" si="15"/>
        <v>0</v>
      </c>
      <c r="E226" s="54">
        <f>IF(D226&gt;0,IF(AND(C226='Input Data'!$B$25*12,'Input Data'!$E$25&gt;'Input Data'!$B$25),D226+D226*B226/12,-PMT(B226/12,'Input Data'!$E$25*12,D226,IF(AND(C226='Input Data'!$E$25*12,'Input Data'!$E$25&lt;'Input Data'!$B$25),D226,0))),0)</f>
        <v>0</v>
      </c>
      <c r="F226" s="55">
        <f>D226-E226</f>
        <v>0</v>
      </c>
      <c r="G226" s="55">
        <f t="shared" si="12"/>
        <v>0</v>
      </c>
      <c r="H226" s="54">
        <f>MIN(E226-G226,D226)</f>
        <v>0</v>
      </c>
      <c r="I226" s="55">
        <f t="shared" si="13"/>
        <v>0</v>
      </c>
    </row>
    <row r="227" spans="1:9" x14ac:dyDescent="0.25">
      <c r="A227" t="b">
        <f>IF(('Input Data'!$C$25)="FRM", FALSE, ISNUMBER(MATCH(C227,'Input Data'!$N$14:$N$26,0)))</f>
        <v>0</v>
      </c>
      <c r="B227" s="51">
        <f>IF($A227, _xlfn.XLOOKUP(C227,'Input Data'!$N$13:$N$25,'Input Data'!$O$13:$O$25),$B226)</f>
        <v>6.3500000000000001E-2</v>
      </c>
      <c r="C227" s="63">
        <f t="shared" si="14"/>
        <v>225</v>
      </c>
      <c r="D227" s="55">
        <f t="shared" si="15"/>
        <v>0</v>
      </c>
      <c r="E227" s="54">
        <f>IF(D227&gt;0,IF(AND(C227='Input Data'!$B$25*12,'Input Data'!$E$25&gt;'Input Data'!$B$25),D227+D227*B227/12,-PMT(B227/12,'Input Data'!$E$25*12,D227,IF(AND(C227='Input Data'!$E$25*12,'Input Data'!$E$25&lt;'Input Data'!$B$25),D227,0))),0)</f>
        <v>0</v>
      </c>
      <c r="F227" s="55">
        <f>D227-E227</f>
        <v>0</v>
      </c>
      <c r="G227" s="55">
        <f t="shared" si="12"/>
        <v>0</v>
      </c>
      <c r="H227" s="54">
        <f>MIN(E227-G227,D227)</f>
        <v>0</v>
      </c>
      <c r="I227" s="55">
        <f t="shared" si="13"/>
        <v>0</v>
      </c>
    </row>
    <row r="228" spans="1:9" x14ac:dyDescent="0.25">
      <c r="A228" t="b">
        <f>IF(('Input Data'!$C$25)="FRM", FALSE, ISNUMBER(MATCH(C228,'Input Data'!$N$14:$N$26,0)))</f>
        <v>0</v>
      </c>
      <c r="B228" s="51">
        <f>IF($A228, _xlfn.XLOOKUP(C228,'Input Data'!$N$13:$N$25,'Input Data'!$O$13:$O$25),$B227)</f>
        <v>6.3500000000000001E-2</v>
      </c>
      <c r="C228" s="63">
        <f t="shared" si="14"/>
        <v>226</v>
      </c>
      <c r="D228" s="55">
        <f t="shared" si="15"/>
        <v>0</v>
      </c>
      <c r="E228" s="54">
        <f>IF(D228&gt;0,IF(AND(C228='Input Data'!$B$25*12,'Input Data'!$E$25&gt;'Input Data'!$B$25),D228+D228*B228/12,-PMT(B228/12,'Input Data'!$E$25*12,D228,IF(AND(C228='Input Data'!$E$25*12,'Input Data'!$E$25&lt;'Input Data'!$B$25),D228,0))),0)</f>
        <v>0</v>
      </c>
      <c r="F228" s="55">
        <f>D228-E228</f>
        <v>0</v>
      </c>
      <c r="G228" s="55">
        <f t="shared" si="12"/>
        <v>0</v>
      </c>
      <c r="H228" s="54">
        <f>MIN(E228-G228,D228)</f>
        <v>0</v>
      </c>
      <c r="I228" s="55">
        <f t="shared" si="13"/>
        <v>0</v>
      </c>
    </row>
    <row r="229" spans="1:9" x14ac:dyDescent="0.25">
      <c r="A229" t="b">
        <f>IF(('Input Data'!$C$25)="FRM", FALSE, ISNUMBER(MATCH(C229,'Input Data'!$N$14:$N$26,0)))</f>
        <v>0</v>
      </c>
      <c r="B229" s="51">
        <f>IF($A229, _xlfn.XLOOKUP(C229,'Input Data'!$N$13:$N$25,'Input Data'!$O$13:$O$25),$B228)</f>
        <v>6.3500000000000001E-2</v>
      </c>
      <c r="C229" s="63">
        <f t="shared" si="14"/>
        <v>227</v>
      </c>
      <c r="D229" s="55">
        <f t="shared" si="15"/>
        <v>0</v>
      </c>
      <c r="E229" s="54">
        <f>IF(D229&gt;0,IF(AND(C229='Input Data'!$B$25*12,'Input Data'!$E$25&gt;'Input Data'!$B$25),D229+D229*B229/12,-PMT(B229/12,'Input Data'!$E$25*12,D229,IF(AND(C229='Input Data'!$E$25*12,'Input Data'!$E$25&lt;'Input Data'!$B$25),D229,0))),0)</f>
        <v>0</v>
      </c>
      <c r="F229" s="55">
        <f>D229-E229</f>
        <v>0</v>
      </c>
      <c r="G229" s="55">
        <f t="shared" si="12"/>
        <v>0</v>
      </c>
      <c r="H229" s="54">
        <f>MIN(E229-G229,D229)</f>
        <v>0</v>
      </c>
      <c r="I229" s="55">
        <f t="shared" si="13"/>
        <v>0</v>
      </c>
    </row>
    <row r="230" spans="1:9" x14ac:dyDescent="0.25">
      <c r="A230" t="b">
        <f>IF(('Input Data'!$C$25)="FRM", FALSE, ISNUMBER(MATCH(C230,'Input Data'!$N$14:$N$26,0)))</f>
        <v>0</v>
      </c>
      <c r="B230" s="51">
        <f>IF($A230, _xlfn.XLOOKUP(C230,'Input Data'!$N$13:$N$25,'Input Data'!$O$13:$O$25),$B229)</f>
        <v>6.3500000000000001E-2</v>
      </c>
      <c r="C230" s="63">
        <f t="shared" si="14"/>
        <v>228</v>
      </c>
      <c r="D230" s="55">
        <f t="shared" si="15"/>
        <v>0</v>
      </c>
      <c r="E230" s="54">
        <f>IF(D230&gt;0,IF(AND(C230='Input Data'!$B$25*12,'Input Data'!$E$25&gt;'Input Data'!$B$25),D230+D230*B230/12,-PMT(B230/12,'Input Data'!$E$25*12,D230,IF(AND(C230='Input Data'!$E$25*12,'Input Data'!$E$25&lt;'Input Data'!$B$25),D230,0))),0)</f>
        <v>0</v>
      </c>
      <c r="F230" s="55">
        <f>D230-E230</f>
        <v>0</v>
      </c>
      <c r="G230" s="55">
        <f t="shared" si="12"/>
        <v>0</v>
      </c>
      <c r="H230" s="54">
        <f>MIN(E230-G230,D230)</f>
        <v>0</v>
      </c>
      <c r="I230" s="55">
        <f t="shared" si="13"/>
        <v>0</v>
      </c>
    </row>
    <row r="231" spans="1:9" x14ac:dyDescent="0.25">
      <c r="A231" t="b">
        <f>IF(('Input Data'!$C$25)="FRM", FALSE, ISNUMBER(MATCH(C231,'Input Data'!$N$14:$N$26,0)))</f>
        <v>0</v>
      </c>
      <c r="B231" s="51">
        <f>IF($A231, _xlfn.XLOOKUP(C231,'Input Data'!$N$13:$N$25,'Input Data'!$O$13:$O$25),$B230)</f>
        <v>6.3500000000000001E-2</v>
      </c>
      <c r="C231" s="63">
        <f t="shared" si="14"/>
        <v>229</v>
      </c>
      <c r="D231" s="55">
        <f t="shared" si="15"/>
        <v>0</v>
      </c>
      <c r="E231" s="54">
        <f>IF(D231&gt;0,IF(AND(C231='Input Data'!$B$25*12,'Input Data'!$E$25&gt;'Input Data'!$B$25),D231+D231*B231/12,-PMT(B231/12,'Input Data'!$E$25*12,D231,IF(AND(C231='Input Data'!$E$25*12,'Input Data'!$E$25&lt;'Input Data'!$B$25),D231,0))),0)</f>
        <v>0</v>
      </c>
      <c r="F231" s="55">
        <f>D231-E231</f>
        <v>0</v>
      </c>
      <c r="G231" s="55">
        <f t="shared" si="12"/>
        <v>0</v>
      </c>
      <c r="H231" s="54">
        <f>MIN(E231-G231,D231)</f>
        <v>0</v>
      </c>
      <c r="I231" s="55">
        <f t="shared" si="13"/>
        <v>0</v>
      </c>
    </row>
    <row r="232" spans="1:9" x14ac:dyDescent="0.25">
      <c r="A232" t="b">
        <f>IF(('Input Data'!$C$25)="FRM", FALSE, ISNUMBER(MATCH(C232,'Input Data'!$N$14:$N$26,0)))</f>
        <v>0</v>
      </c>
      <c r="B232" s="51">
        <f>IF($A232, _xlfn.XLOOKUP(C232,'Input Data'!$N$13:$N$25,'Input Data'!$O$13:$O$25),$B231)</f>
        <v>6.3500000000000001E-2</v>
      </c>
      <c r="C232" s="63">
        <f t="shared" si="14"/>
        <v>230</v>
      </c>
      <c r="D232" s="55">
        <f t="shared" si="15"/>
        <v>0</v>
      </c>
      <c r="E232" s="54">
        <f>IF(D232&gt;0,IF(AND(C232='Input Data'!$B$25*12,'Input Data'!$E$25&gt;'Input Data'!$B$25),D232+D232*B232/12,-PMT(B232/12,'Input Data'!$E$25*12,D232,IF(AND(C232='Input Data'!$E$25*12,'Input Data'!$E$25&lt;'Input Data'!$B$25),D232,0))),0)</f>
        <v>0</v>
      </c>
      <c r="F232" s="55">
        <f>D232-E232</f>
        <v>0</v>
      </c>
      <c r="G232" s="55">
        <f t="shared" si="12"/>
        <v>0</v>
      </c>
      <c r="H232" s="54">
        <f>MIN(E232-G232,D232)</f>
        <v>0</v>
      </c>
      <c r="I232" s="55">
        <f t="shared" si="13"/>
        <v>0</v>
      </c>
    </row>
    <row r="233" spans="1:9" x14ac:dyDescent="0.25">
      <c r="A233" t="b">
        <f>IF(('Input Data'!$C$25)="FRM", FALSE, ISNUMBER(MATCH(C233,'Input Data'!$N$14:$N$26,0)))</f>
        <v>0</v>
      </c>
      <c r="B233" s="51">
        <f>IF($A233, _xlfn.XLOOKUP(C233,'Input Data'!$N$13:$N$25,'Input Data'!$O$13:$O$25),$B232)</f>
        <v>6.3500000000000001E-2</v>
      </c>
      <c r="C233" s="63">
        <f t="shared" si="14"/>
        <v>231</v>
      </c>
      <c r="D233" s="55">
        <f t="shared" si="15"/>
        <v>0</v>
      </c>
      <c r="E233" s="54">
        <f>IF(D233&gt;0,IF(AND(C233='Input Data'!$B$25*12,'Input Data'!$E$25&gt;'Input Data'!$B$25),D233+D233*B233/12,-PMT(B233/12,'Input Data'!$E$25*12,D233,IF(AND(C233='Input Data'!$E$25*12,'Input Data'!$E$25&lt;'Input Data'!$B$25),D233,0))),0)</f>
        <v>0</v>
      </c>
      <c r="F233" s="55">
        <f>D233-E233</f>
        <v>0</v>
      </c>
      <c r="G233" s="55">
        <f t="shared" si="12"/>
        <v>0</v>
      </c>
      <c r="H233" s="54">
        <f>MIN(E233-G233,D233)</f>
        <v>0</v>
      </c>
      <c r="I233" s="55">
        <f t="shared" si="13"/>
        <v>0</v>
      </c>
    </row>
    <row r="234" spans="1:9" x14ac:dyDescent="0.25">
      <c r="A234" t="b">
        <f>IF(('Input Data'!$C$25)="FRM", FALSE, ISNUMBER(MATCH(C234,'Input Data'!$N$14:$N$26,0)))</f>
        <v>0</v>
      </c>
      <c r="B234" s="51">
        <f>IF($A234, _xlfn.XLOOKUP(C234,'Input Data'!$N$13:$N$25,'Input Data'!$O$13:$O$25),$B233)</f>
        <v>6.3500000000000001E-2</v>
      </c>
      <c r="C234" s="63">
        <f t="shared" si="14"/>
        <v>232</v>
      </c>
      <c r="D234" s="55">
        <f t="shared" si="15"/>
        <v>0</v>
      </c>
      <c r="E234" s="54">
        <f>IF(D234&gt;0,IF(AND(C234='Input Data'!$B$25*12,'Input Data'!$E$25&gt;'Input Data'!$B$25),D234+D234*B234/12,-PMT(B234/12,'Input Data'!$E$25*12,D234,IF(AND(C234='Input Data'!$E$25*12,'Input Data'!$E$25&lt;'Input Data'!$B$25),D234,0))),0)</f>
        <v>0</v>
      </c>
      <c r="F234" s="55">
        <f>D234-E234</f>
        <v>0</v>
      </c>
      <c r="G234" s="55">
        <f t="shared" si="12"/>
        <v>0</v>
      </c>
      <c r="H234" s="54">
        <f>MIN(E234-G234,D234)</f>
        <v>0</v>
      </c>
      <c r="I234" s="55">
        <f t="shared" si="13"/>
        <v>0</v>
      </c>
    </row>
    <row r="235" spans="1:9" x14ac:dyDescent="0.25">
      <c r="A235" t="b">
        <f>IF(('Input Data'!$C$25)="FRM", FALSE, ISNUMBER(MATCH(C235,'Input Data'!$N$14:$N$26,0)))</f>
        <v>0</v>
      </c>
      <c r="B235" s="51">
        <f>IF($A235, _xlfn.XLOOKUP(C235,'Input Data'!$N$13:$N$25,'Input Data'!$O$13:$O$25),$B234)</f>
        <v>6.3500000000000001E-2</v>
      </c>
      <c r="C235" s="63">
        <f t="shared" si="14"/>
        <v>233</v>
      </c>
      <c r="D235" s="55">
        <f t="shared" si="15"/>
        <v>0</v>
      </c>
      <c r="E235" s="54">
        <f>IF(D235&gt;0,IF(AND(C235='Input Data'!$B$25*12,'Input Data'!$E$25&gt;'Input Data'!$B$25),D235+D235*B235/12,-PMT(B235/12,'Input Data'!$E$25*12,D235,IF(AND(C235='Input Data'!$E$25*12,'Input Data'!$E$25&lt;'Input Data'!$B$25),D235,0))),0)</f>
        <v>0</v>
      </c>
      <c r="F235" s="55">
        <f>D235-E235</f>
        <v>0</v>
      </c>
      <c r="G235" s="55">
        <f t="shared" si="12"/>
        <v>0</v>
      </c>
      <c r="H235" s="54">
        <f>MIN(E235-G235,D235)</f>
        <v>0</v>
      </c>
      <c r="I235" s="55">
        <f t="shared" si="13"/>
        <v>0</v>
      </c>
    </row>
    <row r="236" spans="1:9" x14ac:dyDescent="0.25">
      <c r="A236" t="b">
        <f>IF(('Input Data'!$C$25)="FRM", FALSE, ISNUMBER(MATCH(C236,'Input Data'!$N$14:$N$26,0)))</f>
        <v>0</v>
      </c>
      <c r="B236" s="51">
        <f>IF($A236, _xlfn.XLOOKUP(C236,'Input Data'!$N$13:$N$25,'Input Data'!$O$13:$O$25),$B235)</f>
        <v>6.3500000000000001E-2</v>
      </c>
      <c r="C236" s="63">
        <f t="shared" si="14"/>
        <v>234</v>
      </c>
      <c r="D236" s="55">
        <f t="shared" si="15"/>
        <v>0</v>
      </c>
      <c r="E236" s="54">
        <f>IF(D236&gt;0,IF(AND(C236='Input Data'!$B$25*12,'Input Data'!$E$25&gt;'Input Data'!$B$25),D236+D236*B236/12,-PMT(B236/12,'Input Data'!$E$25*12,D236,IF(AND(C236='Input Data'!$E$25*12,'Input Data'!$E$25&lt;'Input Data'!$B$25),D236,0))),0)</f>
        <v>0</v>
      </c>
      <c r="F236" s="55">
        <f>D236-E236</f>
        <v>0</v>
      </c>
      <c r="G236" s="55">
        <f t="shared" si="12"/>
        <v>0</v>
      </c>
      <c r="H236" s="54">
        <f>MIN(E236-G236,D236)</f>
        <v>0</v>
      </c>
      <c r="I236" s="55">
        <f t="shared" si="13"/>
        <v>0</v>
      </c>
    </row>
    <row r="237" spans="1:9" x14ac:dyDescent="0.25">
      <c r="A237" t="b">
        <f>IF(('Input Data'!$C$25)="FRM", FALSE, ISNUMBER(MATCH(C237,'Input Data'!$N$14:$N$26,0)))</f>
        <v>0</v>
      </c>
      <c r="B237" s="51">
        <f>IF($A237, _xlfn.XLOOKUP(C237,'Input Data'!$N$13:$N$25,'Input Data'!$O$13:$O$25),$B236)</f>
        <v>6.3500000000000001E-2</v>
      </c>
      <c r="C237" s="63">
        <f t="shared" si="14"/>
        <v>235</v>
      </c>
      <c r="D237" s="55">
        <f t="shared" si="15"/>
        <v>0</v>
      </c>
      <c r="E237" s="54">
        <f>IF(D237&gt;0,IF(AND(C237='Input Data'!$B$25*12,'Input Data'!$E$25&gt;'Input Data'!$B$25),D237+D237*B237/12,-PMT(B237/12,'Input Data'!$E$25*12,D237,IF(AND(C237='Input Data'!$E$25*12,'Input Data'!$E$25&lt;'Input Data'!$B$25),D237,0))),0)</f>
        <v>0</v>
      </c>
      <c r="F237" s="55">
        <f>D237-E237</f>
        <v>0</v>
      </c>
      <c r="G237" s="55">
        <f t="shared" si="12"/>
        <v>0</v>
      </c>
      <c r="H237" s="54">
        <f>MIN(E237-G237,D237)</f>
        <v>0</v>
      </c>
      <c r="I237" s="55">
        <f t="shared" si="13"/>
        <v>0</v>
      </c>
    </row>
    <row r="238" spans="1:9" x14ac:dyDescent="0.25">
      <c r="A238" t="b">
        <f>IF(('Input Data'!$C$25)="FRM", FALSE, ISNUMBER(MATCH(C238,'Input Data'!$N$14:$N$26,0)))</f>
        <v>0</v>
      </c>
      <c r="B238" s="51">
        <f>IF($A238, _xlfn.XLOOKUP(C238,'Input Data'!$N$13:$N$25,'Input Data'!$O$13:$O$25),$B237)</f>
        <v>6.3500000000000001E-2</v>
      </c>
      <c r="C238" s="63">
        <f t="shared" si="14"/>
        <v>236</v>
      </c>
      <c r="D238" s="55">
        <f t="shared" si="15"/>
        <v>0</v>
      </c>
      <c r="E238" s="54">
        <f>IF(D238&gt;0,IF(AND(C238='Input Data'!$B$25*12,'Input Data'!$E$25&gt;'Input Data'!$B$25),D238+D238*B238/12,-PMT(B238/12,'Input Data'!$E$25*12,D238,IF(AND(C238='Input Data'!$E$25*12,'Input Data'!$E$25&lt;'Input Data'!$B$25),D238,0))),0)</f>
        <v>0</v>
      </c>
      <c r="F238" s="55">
        <f>D238-E238</f>
        <v>0</v>
      </c>
      <c r="G238" s="55">
        <f t="shared" si="12"/>
        <v>0</v>
      </c>
      <c r="H238" s="54">
        <f>MIN(E238-G238,D238)</f>
        <v>0</v>
      </c>
      <c r="I238" s="55">
        <f t="shared" si="13"/>
        <v>0</v>
      </c>
    </row>
    <row r="239" spans="1:9" x14ac:dyDescent="0.25">
      <c r="A239" t="b">
        <f>IF(('Input Data'!$C$25)="FRM", FALSE, ISNUMBER(MATCH(C239,'Input Data'!$N$14:$N$26,0)))</f>
        <v>0</v>
      </c>
      <c r="B239" s="51">
        <f>IF($A239, _xlfn.XLOOKUP(C239,'Input Data'!$N$13:$N$25,'Input Data'!$O$13:$O$25),$B238)</f>
        <v>6.3500000000000001E-2</v>
      </c>
      <c r="C239" s="63">
        <f t="shared" si="14"/>
        <v>237</v>
      </c>
      <c r="D239" s="55">
        <f t="shared" si="15"/>
        <v>0</v>
      </c>
      <c r="E239" s="54">
        <f>IF(D239&gt;0,IF(AND(C239='Input Data'!$B$25*12,'Input Data'!$E$25&gt;'Input Data'!$B$25),D239+D239*B239/12,-PMT(B239/12,'Input Data'!$E$25*12,D239,IF(AND(C239='Input Data'!$E$25*12,'Input Data'!$E$25&lt;'Input Data'!$B$25),D239,0))),0)</f>
        <v>0</v>
      </c>
      <c r="F239" s="55">
        <f>D239-E239</f>
        <v>0</v>
      </c>
      <c r="G239" s="55">
        <f t="shared" si="12"/>
        <v>0</v>
      </c>
      <c r="H239" s="54">
        <f>MIN(E239-G239,D239)</f>
        <v>0</v>
      </c>
      <c r="I239" s="55">
        <f t="shared" si="13"/>
        <v>0</v>
      </c>
    </row>
    <row r="240" spans="1:9" x14ac:dyDescent="0.25">
      <c r="A240" t="b">
        <f>IF(('Input Data'!$C$25)="FRM", FALSE, ISNUMBER(MATCH(C240,'Input Data'!$N$14:$N$26,0)))</f>
        <v>0</v>
      </c>
      <c r="B240" s="51">
        <f>IF($A240, _xlfn.XLOOKUP(C240,'Input Data'!$N$13:$N$25,'Input Data'!$O$13:$O$25),$B239)</f>
        <v>6.3500000000000001E-2</v>
      </c>
      <c r="C240" s="63">
        <f t="shared" si="14"/>
        <v>238</v>
      </c>
      <c r="D240" s="55">
        <f t="shared" si="15"/>
        <v>0</v>
      </c>
      <c r="E240" s="54">
        <f>IF(D240&gt;0,IF(AND(C240='Input Data'!$B$25*12,'Input Data'!$E$25&gt;'Input Data'!$B$25),D240+D240*B240/12,-PMT(B240/12,'Input Data'!$E$25*12,D240,IF(AND(C240='Input Data'!$E$25*12,'Input Data'!$E$25&lt;'Input Data'!$B$25),D240,0))),0)</f>
        <v>0</v>
      </c>
      <c r="F240" s="55">
        <f>D240-E240</f>
        <v>0</v>
      </c>
      <c r="G240" s="55">
        <f t="shared" si="12"/>
        <v>0</v>
      </c>
      <c r="H240" s="54">
        <f>MIN(E240-G240,D240)</f>
        <v>0</v>
      </c>
      <c r="I240" s="55">
        <f t="shared" si="13"/>
        <v>0</v>
      </c>
    </row>
    <row r="241" spans="1:9" x14ac:dyDescent="0.25">
      <c r="A241" t="b">
        <f>IF(('Input Data'!$C$25)="FRM", FALSE, ISNUMBER(MATCH(C241,'Input Data'!$N$14:$N$26,0)))</f>
        <v>0</v>
      </c>
      <c r="B241" s="51">
        <f>IF($A241, _xlfn.XLOOKUP(C241,'Input Data'!$N$13:$N$25,'Input Data'!$O$13:$O$25),$B240)</f>
        <v>6.3500000000000001E-2</v>
      </c>
      <c r="C241" s="63">
        <f t="shared" si="14"/>
        <v>239</v>
      </c>
      <c r="D241" s="55">
        <f t="shared" si="15"/>
        <v>0</v>
      </c>
      <c r="E241" s="54">
        <f>IF(D241&gt;0,IF(AND(C241='Input Data'!$B$25*12,'Input Data'!$E$25&gt;'Input Data'!$B$25),D241+D241*B241/12,-PMT(B241/12,'Input Data'!$E$25*12,D241,IF(AND(C241='Input Data'!$E$25*12,'Input Data'!$E$25&lt;'Input Data'!$B$25),D241,0))),0)</f>
        <v>0</v>
      </c>
      <c r="F241" s="55">
        <f>D241-E241</f>
        <v>0</v>
      </c>
      <c r="G241" s="55">
        <f t="shared" si="12"/>
        <v>0</v>
      </c>
      <c r="H241" s="54">
        <f>MIN(E241-G241,D241)</f>
        <v>0</v>
      </c>
      <c r="I241" s="55">
        <f t="shared" si="13"/>
        <v>0</v>
      </c>
    </row>
    <row r="242" spans="1:9" x14ac:dyDescent="0.25">
      <c r="A242" t="b">
        <f>IF(('Input Data'!$C$25)="FRM", FALSE, ISNUMBER(MATCH(C242,'Input Data'!$N$14:$N$26,0)))</f>
        <v>0</v>
      </c>
      <c r="B242" s="51">
        <f>IF($A242, _xlfn.XLOOKUP(C242,'Input Data'!$N$13:$N$25,'Input Data'!$O$13:$O$25),$B241)</f>
        <v>6.3500000000000001E-2</v>
      </c>
      <c r="C242" s="63">
        <f t="shared" si="14"/>
        <v>240</v>
      </c>
      <c r="D242" s="55">
        <f t="shared" si="15"/>
        <v>0</v>
      </c>
      <c r="E242" s="54">
        <f>IF(D242&gt;0,IF(AND(C242='Input Data'!$B$25*12,'Input Data'!$E$25&gt;'Input Data'!$B$25),D242+D242*B242/12,-PMT(B242/12,'Input Data'!$E$25*12,D242,IF(AND(C242='Input Data'!$E$25*12,'Input Data'!$E$25&lt;'Input Data'!$B$25),D242,0))),0)</f>
        <v>0</v>
      </c>
      <c r="F242" s="55">
        <f>D242-E242</f>
        <v>0</v>
      </c>
      <c r="G242" s="55">
        <f t="shared" si="12"/>
        <v>0</v>
      </c>
      <c r="H242" s="54">
        <f>MIN(E242-G242,D242)</f>
        <v>0</v>
      </c>
      <c r="I242" s="55">
        <f t="shared" si="13"/>
        <v>0</v>
      </c>
    </row>
    <row r="243" spans="1:9" x14ac:dyDescent="0.25">
      <c r="A243" t="b">
        <f>IF(('Input Data'!$C$25)="FRM", FALSE, ISNUMBER(MATCH(C243,'Input Data'!$N$14:$N$26,0)))</f>
        <v>0</v>
      </c>
      <c r="B243" s="51">
        <f>IF($A243, _xlfn.XLOOKUP(C243,'Input Data'!$N$13:$N$25,'Input Data'!$O$13:$O$25),$B242)</f>
        <v>6.3500000000000001E-2</v>
      </c>
      <c r="C243" s="63">
        <f t="shared" si="14"/>
        <v>241</v>
      </c>
      <c r="D243" s="55">
        <f t="shared" si="15"/>
        <v>0</v>
      </c>
      <c r="E243" s="54">
        <f>IF(D243&gt;0,IF(AND(C243='Input Data'!$B$25*12,'Input Data'!$E$25&gt;'Input Data'!$B$25),D243+D243*B243/12,-PMT(B243/12,'Input Data'!$E$25*12,D243,IF(AND(C243='Input Data'!$E$25*12,'Input Data'!$E$25&lt;'Input Data'!$B$25),D243,0))),0)</f>
        <v>0</v>
      </c>
      <c r="F243" s="55">
        <f>D243-E243</f>
        <v>0</v>
      </c>
      <c r="G243" s="55">
        <f t="shared" si="12"/>
        <v>0</v>
      </c>
      <c r="H243" s="54">
        <f>MIN(E243-G243,D243)</f>
        <v>0</v>
      </c>
      <c r="I243" s="55">
        <f t="shared" si="13"/>
        <v>0</v>
      </c>
    </row>
    <row r="244" spans="1:9" x14ac:dyDescent="0.25">
      <c r="A244" t="b">
        <f>IF(('Input Data'!$C$25)="FRM", FALSE, ISNUMBER(MATCH(C244,'Input Data'!$N$14:$N$26,0)))</f>
        <v>0</v>
      </c>
      <c r="B244" s="51">
        <f>IF($A244, _xlfn.XLOOKUP(C244,'Input Data'!$N$13:$N$25,'Input Data'!$O$13:$O$25),$B243)</f>
        <v>6.3500000000000001E-2</v>
      </c>
      <c r="C244" s="63">
        <f t="shared" si="14"/>
        <v>242</v>
      </c>
      <c r="D244" s="55">
        <f t="shared" si="15"/>
        <v>0</v>
      </c>
      <c r="E244" s="54">
        <f>IF(D244&gt;0,IF(AND(C244='Input Data'!$B$25*12,'Input Data'!$E$25&gt;'Input Data'!$B$25),D244+D244*B244/12,-PMT(B244/12,'Input Data'!$E$25*12,D244,IF(AND(C244='Input Data'!$E$25*12,'Input Data'!$E$25&lt;'Input Data'!$B$25),D244,0))),0)</f>
        <v>0</v>
      </c>
      <c r="F244" s="55">
        <f>D244-E244</f>
        <v>0</v>
      </c>
      <c r="G244" s="55">
        <f t="shared" si="12"/>
        <v>0</v>
      </c>
      <c r="H244" s="54">
        <f>MIN(E244-G244,D244)</f>
        <v>0</v>
      </c>
      <c r="I244" s="55">
        <f t="shared" si="13"/>
        <v>0</v>
      </c>
    </row>
    <row r="245" spans="1:9" x14ac:dyDescent="0.25">
      <c r="A245" t="b">
        <f>IF(('Input Data'!$C$25)="FRM", FALSE, ISNUMBER(MATCH(C245,'Input Data'!$N$14:$N$26,0)))</f>
        <v>0</v>
      </c>
      <c r="B245" s="51">
        <f>IF($A245, _xlfn.XLOOKUP(C245,'Input Data'!$N$13:$N$25,'Input Data'!$O$13:$O$25),$B244)</f>
        <v>6.3500000000000001E-2</v>
      </c>
      <c r="C245" s="63">
        <f t="shared" si="14"/>
        <v>243</v>
      </c>
      <c r="D245" s="55">
        <f t="shared" si="15"/>
        <v>0</v>
      </c>
      <c r="E245" s="54">
        <f>IF(D245&gt;0,IF(AND(C245='Input Data'!$B$25*12,'Input Data'!$E$25&gt;'Input Data'!$B$25),D245+D245*B245/12,-PMT(B245/12,'Input Data'!$E$25*12,D245,IF(AND(C245='Input Data'!$E$25*12,'Input Data'!$E$25&lt;'Input Data'!$B$25),D245,0))),0)</f>
        <v>0</v>
      </c>
      <c r="F245" s="55">
        <f>D245-E245</f>
        <v>0</v>
      </c>
      <c r="G245" s="55">
        <f t="shared" si="12"/>
        <v>0</v>
      </c>
      <c r="H245" s="54">
        <f>MIN(E245-G245,D245)</f>
        <v>0</v>
      </c>
      <c r="I245" s="55">
        <f t="shared" si="13"/>
        <v>0</v>
      </c>
    </row>
    <row r="246" spans="1:9" x14ac:dyDescent="0.25">
      <c r="A246" t="b">
        <f>IF(('Input Data'!$C$25)="FRM", FALSE, ISNUMBER(MATCH(C246,'Input Data'!$N$14:$N$26,0)))</f>
        <v>0</v>
      </c>
      <c r="B246" s="51">
        <f>IF($A246, _xlfn.XLOOKUP(C246,'Input Data'!$N$13:$N$25,'Input Data'!$O$13:$O$25),$B245)</f>
        <v>6.3500000000000001E-2</v>
      </c>
      <c r="C246" s="63">
        <f t="shared" si="14"/>
        <v>244</v>
      </c>
      <c r="D246" s="55">
        <f t="shared" si="15"/>
        <v>0</v>
      </c>
      <c r="E246" s="54">
        <f>IF(D246&gt;0,IF(AND(C246='Input Data'!$B$25*12,'Input Data'!$E$25&gt;'Input Data'!$B$25),D246+D246*B246/12,-PMT(B246/12,'Input Data'!$E$25*12,D246,IF(AND(C246='Input Data'!$E$25*12,'Input Data'!$E$25&lt;'Input Data'!$B$25),D246,0))),0)</f>
        <v>0</v>
      </c>
      <c r="F246" s="55">
        <f>D246-E246</f>
        <v>0</v>
      </c>
      <c r="G246" s="55">
        <f t="shared" si="12"/>
        <v>0</v>
      </c>
      <c r="H246" s="54">
        <f>MIN(E246-G246,D246)</f>
        <v>0</v>
      </c>
      <c r="I246" s="55">
        <f t="shared" si="13"/>
        <v>0</v>
      </c>
    </row>
    <row r="247" spans="1:9" x14ac:dyDescent="0.25">
      <c r="A247" t="b">
        <f>IF(('Input Data'!$C$25)="FRM", FALSE, ISNUMBER(MATCH(C247,'Input Data'!$N$14:$N$26,0)))</f>
        <v>0</v>
      </c>
      <c r="B247" s="51">
        <f>IF($A247, _xlfn.XLOOKUP(C247,'Input Data'!$N$13:$N$25,'Input Data'!$O$13:$O$25),$B246)</f>
        <v>6.3500000000000001E-2</v>
      </c>
      <c r="C247" s="63">
        <f t="shared" si="14"/>
        <v>245</v>
      </c>
      <c r="D247" s="55">
        <f t="shared" si="15"/>
        <v>0</v>
      </c>
      <c r="E247" s="54">
        <f>IF(D247&gt;0,IF(AND(C247='Input Data'!$B$25*12,'Input Data'!$E$25&gt;'Input Data'!$B$25),D247+D247*B247/12,-PMT(B247/12,'Input Data'!$E$25*12,D247,IF(AND(C247='Input Data'!$E$25*12,'Input Data'!$E$25&lt;'Input Data'!$B$25),D247,0))),0)</f>
        <v>0</v>
      </c>
      <c r="F247" s="55">
        <f>D247-E247</f>
        <v>0</v>
      </c>
      <c r="G247" s="55">
        <f t="shared" si="12"/>
        <v>0</v>
      </c>
      <c r="H247" s="54">
        <f>MIN(E247-G247,D247)</f>
        <v>0</v>
      </c>
      <c r="I247" s="55">
        <f t="shared" si="13"/>
        <v>0</v>
      </c>
    </row>
    <row r="248" spans="1:9" x14ac:dyDescent="0.25">
      <c r="A248" t="b">
        <f>IF(('Input Data'!$C$25)="FRM", FALSE, ISNUMBER(MATCH(C248,'Input Data'!$N$14:$N$26,0)))</f>
        <v>0</v>
      </c>
      <c r="B248" s="51">
        <f>IF($A248, _xlfn.XLOOKUP(C248,'Input Data'!$N$13:$N$25,'Input Data'!$O$13:$O$25),$B247)</f>
        <v>6.3500000000000001E-2</v>
      </c>
      <c r="C248" s="63">
        <f t="shared" si="14"/>
        <v>246</v>
      </c>
      <c r="D248" s="55">
        <f t="shared" si="15"/>
        <v>0</v>
      </c>
      <c r="E248" s="54">
        <f>IF(D248&gt;0,IF(AND(C248='Input Data'!$B$25*12,'Input Data'!$E$25&gt;'Input Data'!$B$25),D248+D248*B248/12,-PMT(B248/12,'Input Data'!$E$25*12,D248,IF(AND(C248='Input Data'!$E$25*12,'Input Data'!$E$25&lt;'Input Data'!$B$25),D248,0))),0)</f>
        <v>0</v>
      </c>
      <c r="F248" s="55">
        <f>D248-E248</f>
        <v>0</v>
      </c>
      <c r="G248" s="55">
        <f t="shared" si="12"/>
        <v>0</v>
      </c>
      <c r="H248" s="54">
        <f>MIN(E248-G248,D248)</f>
        <v>0</v>
      </c>
      <c r="I248" s="55">
        <f t="shared" si="13"/>
        <v>0</v>
      </c>
    </row>
    <row r="249" spans="1:9" x14ac:dyDescent="0.25">
      <c r="A249" t="b">
        <f>IF(('Input Data'!$C$25)="FRM", FALSE, ISNUMBER(MATCH(C249,'Input Data'!$N$14:$N$26,0)))</f>
        <v>0</v>
      </c>
      <c r="B249" s="51">
        <f>IF($A249, _xlfn.XLOOKUP(C249,'Input Data'!$N$13:$N$25,'Input Data'!$O$13:$O$25),$B248)</f>
        <v>6.3500000000000001E-2</v>
      </c>
      <c r="C249" s="63">
        <f t="shared" si="14"/>
        <v>247</v>
      </c>
      <c r="D249" s="55">
        <f t="shared" si="15"/>
        <v>0</v>
      </c>
      <c r="E249" s="54">
        <f>IF(D249&gt;0,IF(AND(C249='Input Data'!$B$25*12,'Input Data'!$E$25&gt;'Input Data'!$B$25),D249+D249*B249/12,-PMT(B249/12,'Input Data'!$E$25*12,D249,IF(AND(C249='Input Data'!$E$25*12,'Input Data'!$E$25&lt;'Input Data'!$B$25),D249,0))),0)</f>
        <v>0</v>
      </c>
      <c r="F249" s="55">
        <f>D249-E249</f>
        <v>0</v>
      </c>
      <c r="G249" s="55">
        <f t="shared" si="12"/>
        <v>0</v>
      </c>
      <c r="H249" s="54">
        <f>MIN(E249-G249,D249)</f>
        <v>0</v>
      </c>
      <c r="I249" s="55">
        <f t="shared" si="13"/>
        <v>0</v>
      </c>
    </row>
    <row r="250" spans="1:9" x14ac:dyDescent="0.25">
      <c r="A250" t="b">
        <f>IF(('Input Data'!$C$25)="FRM", FALSE, ISNUMBER(MATCH(C250,'Input Data'!$N$14:$N$26,0)))</f>
        <v>0</v>
      </c>
      <c r="B250" s="51">
        <f>IF($A250, _xlfn.XLOOKUP(C250,'Input Data'!$N$13:$N$25,'Input Data'!$O$13:$O$25),$B249)</f>
        <v>6.3500000000000001E-2</v>
      </c>
      <c r="C250" s="63">
        <f t="shared" si="14"/>
        <v>248</v>
      </c>
      <c r="D250" s="55">
        <f t="shared" si="15"/>
        <v>0</v>
      </c>
      <c r="E250" s="54">
        <f>IF(D250&gt;0,IF(AND(C250='Input Data'!$B$25*12,'Input Data'!$E$25&gt;'Input Data'!$B$25),D250+D250*B250/12,-PMT(B250/12,'Input Data'!$E$25*12,D250,IF(AND(C250='Input Data'!$E$25*12,'Input Data'!$E$25&lt;'Input Data'!$B$25),D250,0))),0)</f>
        <v>0</v>
      </c>
      <c r="F250" s="55">
        <f>D250-E250</f>
        <v>0</v>
      </c>
      <c r="G250" s="55">
        <f t="shared" si="12"/>
        <v>0</v>
      </c>
      <c r="H250" s="54">
        <f>MIN(E250-G250,D250)</f>
        <v>0</v>
      </c>
      <c r="I250" s="55">
        <f t="shared" si="13"/>
        <v>0</v>
      </c>
    </row>
    <row r="251" spans="1:9" x14ac:dyDescent="0.25">
      <c r="A251" t="b">
        <f>IF(('Input Data'!$C$25)="FRM", FALSE, ISNUMBER(MATCH(C251,'Input Data'!$N$14:$N$26,0)))</f>
        <v>0</v>
      </c>
      <c r="B251" s="51">
        <f>IF($A251, _xlfn.XLOOKUP(C251,'Input Data'!$N$13:$N$25,'Input Data'!$O$13:$O$25),$B250)</f>
        <v>6.3500000000000001E-2</v>
      </c>
      <c r="C251" s="63">
        <f t="shared" si="14"/>
        <v>249</v>
      </c>
      <c r="D251" s="55">
        <f t="shared" si="15"/>
        <v>0</v>
      </c>
      <c r="E251" s="54">
        <f>IF(D251&gt;0,IF(AND(C251='Input Data'!$B$25*12,'Input Data'!$E$25&gt;'Input Data'!$B$25),D251+D251*B251/12,-PMT(B251/12,'Input Data'!$E$25*12,D251,IF(AND(C251='Input Data'!$E$25*12,'Input Data'!$E$25&lt;'Input Data'!$B$25),D251,0))),0)</f>
        <v>0</v>
      </c>
      <c r="F251" s="55">
        <f>D251-E251</f>
        <v>0</v>
      </c>
      <c r="G251" s="55">
        <f t="shared" si="12"/>
        <v>0</v>
      </c>
      <c r="H251" s="54">
        <f>MIN(E251-G251,D251)</f>
        <v>0</v>
      </c>
      <c r="I251" s="55">
        <f t="shared" si="13"/>
        <v>0</v>
      </c>
    </row>
    <row r="252" spans="1:9" x14ac:dyDescent="0.25">
      <c r="A252" t="b">
        <f>IF(('Input Data'!$C$25)="FRM", FALSE, ISNUMBER(MATCH(C252,'Input Data'!$N$14:$N$26,0)))</f>
        <v>0</v>
      </c>
      <c r="B252" s="51">
        <f>IF($A252, _xlfn.XLOOKUP(C252,'Input Data'!$N$13:$N$25,'Input Data'!$O$13:$O$25),$B251)</f>
        <v>6.3500000000000001E-2</v>
      </c>
      <c r="C252" s="63">
        <f t="shared" si="14"/>
        <v>250</v>
      </c>
      <c r="D252" s="55">
        <f t="shared" si="15"/>
        <v>0</v>
      </c>
      <c r="E252" s="54">
        <f>IF(D252&gt;0,IF(AND(C252='Input Data'!$B$25*12,'Input Data'!$E$25&gt;'Input Data'!$B$25),D252+D252*B252/12,-PMT(B252/12,'Input Data'!$E$25*12,D252,IF(AND(C252='Input Data'!$E$25*12,'Input Data'!$E$25&lt;'Input Data'!$B$25),D252,0))),0)</f>
        <v>0</v>
      </c>
      <c r="F252" s="55">
        <f>D252-E252</f>
        <v>0</v>
      </c>
      <c r="G252" s="55">
        <f t="shared" si="12"/>
        <v>0</v>
      </c>
      <c r="H252" s="54">
        <f>MIN(E252-G252,D252)</f>
        <v>0</v>
      </c>
      <c r="I252" s="55">
        <f t="shared" si="13"/>
        <v>0</v>
      </c>
    </row>
    <row r="253" spans="1:9" x14ac:dyDescent="0.25">
      <c r="A253" t="b">
        <f>IF(('Input Data'!$C$25)="FRM", FALSE, ISNUMBER(MATCH(C253,'Input Data'!$N$14:$N$26,0)))</f>
        <v>0</v>
      </c>
      <c r="B253" s="51">
        <f>IF($A253, _xlfn.XLOOKUP(C253,'Input Data'!$N$13:$N$25,'Input Data'!$O$13:$O$25),$B252)</f>
        <v>6.3500000000000001E-2</v>
      </c>
      <c r="C253" s="63">
        <f t="shared" si="14"/>
        <v>251</v>
      </c>
      <c r="D253" s="55">
        <f t="shared" si="15"/>
        <v>0</v>
      </c>
      <c r="E253" s="54">
        <f>IF(D253&gt;0,IF(AND(C253='Input Data'!$B$25*12,'Input Data'!$E$25&gt;'Input Data'!$B$25),D253+D253*B253/12,-PMT(B253/12,'Input Data'!$E$25*12,D253,IF(AND(C253='Input Data'!$E$25*12,'Input Data'!$E$25&lt;'Input Data'!$B$25),D253,0))),0)</f>
        <v>0</v>
      </c>
      <c r="F253" s="55">
        <f>D253-E253</f>
        <v>0</v>
      </c>
      <c r="G253" s="55">
        <f t="shared" si="12"/>
        <v>0</v>
      </c>
      <c r="H253" s="54">
        <f>MIN(E253-G253,D253)</f>
        <v>0</v>
      </c>
      <c r="I253" s="55">
        <f t="shared" si="13"/>
        <v>0</v>
      </c>
    </row>
    <row r="254" spans="1:9" x14ac:dyDescent="0.25">
      <c r="A254" t="b">
        <f>IF(('Input Data'!$C$25)="FRM", FALSE, ISNUMBER(MATCH(C254,'Input Data'!$N$14:$N$26,0)))</f>
        <v>0</v>
      </c>
      <c r="B254" s="51">
        <f>IF($A254, _xlfn.XLOOKUP(C254,'Input Data'!$N$13:$N$25,'Input Data'!$O$13:$O$25),$B253)</f>
        <v>6.3500000000000001E-2</v>
      </c>
      <c r="C254" s="63">
        <f t="shared" si="14"/>
        <v>252</v>
      </c>
      <c r="D254" s="55">
        <f t="shared" si="15"/>
        <v>0</v>
      </c>
      <c r="E254" s="54">
        <f>IF(D254&gt;0,IF(AND(C254='Input Data'!$B$25*12,'Input Data'!$E$25&gt;'Input Data'!$B$25),D254+D254*B254/12,-PMT(B254/12,'Input Data'!$E$25*12,D254,IF(AND(C254='Input Data'!$E$25*12,'Input Data'!$E$25&lt;'Input Data'!$B$25),D254,0))),0)</f>
        <v>0</v>
      </c>
      <c r="F254" s="55">
        <f>D254-E254</f>
        <v>0</v>
      </c>
      <c r="G254" s="55">
        <f t="shared" si="12"/>
        <v>0</v>
      </c>
      <c r="H254" s="54">
        <f>MIN(E254-G254,D254)</f>
        <v>0</v>
      </c>
      <c r="I254" s="55">
        <f t="shared" si="13"/>
        <v>0</v>
      </c>
    </row>
    <row r="255" spans="1:9" x14ac:dyDescent="0.25">
      <c r="A255" t="b">
        <f>IF(('Input Data'!$C$25)="FRM", FALSE, ISNUMBER(MATCH(C255,'Input Data'!$N$14:$N$26,0)))</f>
        <v>0</v>
      </c>
      <c r="B255" s="51">
        <f>IF($A255, _xlfn.XLOOKUP(C255,'Input Data'!$N$13:$N$25,'Input Data'!$O$13:$O$25),$B254)</f>
        <v>6.3500000000000001E-2</v>
      </c>
      <c r="C255" s="63">
        <f t="shared" si="14"/>
        <v>253</v>
      </c>
      <c r="D255" s="55">
        <f t="shared" si="15"/>
        <v>0</v>
      </c>
      <c r="E255" s="54">
        <f>IF(D255&gt;0,IF(AND(C255='Input Data'!$B$25*12,'Input Data'!$E$25&gt;'Input Data'!$B$25),D255+D255*B255/12,-PMT(B255/12,'Input Data'!$E$25*12,D255,IF(AND(C255='Input Data'!$E$25*12,'Input Data'!$E$25&lt;'Input Data'!$B$25),D255,0))),0)</f>
        <v>0</v>
      </c>
      <c r="F255" s="55">
        <f>D255-E255</f>
        <v>0</v>
      </c>
      <c r="G255" s="55">
        <f t="shared" si="12"/>
        <v>0</v>
      </c>
      <c r="H255" s="54">
        <f>MIN(E255-G255,D255)</f>
        <v>0</v>
      </c>
      <c r="I255" s="55">
        <f t="shared" si="13"/>
        <v>0</v>
      </c>
    </row>
    <row r="256" spans="1:9" x14ac:dyDescent="0.25">
      <c r="A256" t="b">
        <f>IF(('Input Data'!$C$25)="FRM", FALSE, ISNUMBER(MATCH(C256,'Input Data'!$N$14:$N$26,0)))</f>
        <v>0</v>
      </c>
      <c r="B256" s="51">
        <f>IF($A256, _xlfn.XLOOKUP(C256,'Input Data'!$N$13:$N$25,'Input Data'!$O$13:$O$25),$B255)</f>
        <v>6.3500000000000001E-2</v>
      </c>
      <c r="C256" s="63">
        <f t="shared" si="14"/>
        <v>254</v>
      </c>
      <c r="D256" s="55">
        <f t="shared" si="15"/>
        <v>0</v>
      </c>
      <c r="E256" s="54">
        <f>IF(D256&gt;0,IF(AND(C256='Input Data'!$B$25*12,'Input Data'!$E$25&gt;'Input Data'!$B$25),D256+D256*B256/12,-PMT(B256/12,'Input Data'!$E$25*12,D256,IF(AND(C256='Input Data'!$E$25*12,'Input Data'!$E$25&lt;'Input Data'!$B$25),D256,0))),0)</f>
        <v>0</v>
      </c>
      <c r="F256" s="55">
        <f>D256-E256</f>
        <v>0</v>
      </c>
      <c r="G256" s="55">
        <f t="shared" si="12"/>
        <v>0</v>
      </c>
      <c r="H256" s="54">
        <f>MIN(E256-G256,D256)</f>
        <v>0</v>
      </c>
      <c r="I256" s="55">
        <f t="shared" si="13"/>
        <v>0</v>
      </c>
    </row>
    <row r="257" spans="1:9" x14ac:dyDescent="0.25">
      <c r="A257" t="b">
        <f>IF(('Input Data'!$C$25)="FRM", FALSE, ISNUMBER(MATCH(C257,'Input Data'!$N$14:$N$26,0)))</f>
        <v>0</v>
      </c>
      <c r="B257" s="51">
        <f>IF($A257, _xlfn.XLOOKUP(C257,'Input Data'!$N$13:$N$25,'Input Data'!$O$13:$O$25),$B256)</f>
        <v>6.3500000000000001E-2</v>
      </c>
      <c r="C257" s="63">
        <f t="shared" si="14"/>
        <v>255</v>
      </c>
      <c r="D257" s="55">
        <f t="shared" si="15"/>
        <v>0</v>
      </c>
      <c r="E257" s="54">
        <f>IF(D257&gt;0,IF(AND(C257='Input Data'!$B$25*12,'Input Data'!$E$25&gt;'Input Data'!$B$25),D257+D257*B257/12,-PMT(B257/12,'Input Data'!$E$25*12,D257,IF(AND(C257='Input Data'!$E$25*12,'Input Data'!$E$25&lt;'Input Data'!$B$25),D257,0))),0)</f>
        <v>0</v>
      </c>
      <c r="F257" s="55">
        <f>D257-E257</f>
        <v>0</v>
      </c>
      <c r="G257" s="55">
        <f t="shared" si="12"/>
        <v>0</v>
      </c>
      <c r="H257" s="54">
        <f>MIN(E257-G257,D257)</f>
        <v>0</v>
      </c>
      <c r="I257" s="55">
        <f t="shared" si="13"/>
        <v>0</v>
      </c>
    </row>
    <row r="258" spans="1:9" x14ac:dyDescent="0.25">
      <c r="A258" t="b">
        <f>IF(('Input Data'!$C$25)="FRM", FALSE, ISNUMBER(MATCH(C258,'Input Data'!$N$14:$N$26,0)))</f>
        <v>0</v>
      </c>
      <c r="B258" s="51">
        <f>IF($A258, _xlfn.XLOOKUP(C258,'Input Data'!$N$13:$N$25,'Input Data'!$O$13:$O$25),$B257)</f>
        <v>6.3500000000000001E-2</v>
      </c>
      <c r="C258" s="63">
        <f t="shared" si="14"/>
        <v>256</v>
      </c>
      <c r="D258" s="55">
        <f t="shared" si="15"/>
        <v>0</v>
      </c>
      <c r="E258" s="54">
        <f>IF(D258&gt;0,IF(AND(C258='Input Data'!$B$25*12,'Input Data'!$E$25&gt;'Input Data'!$B$25),D258+D258*B258/12,-PMT(B258/12,'Input Data'!$E$25*12,D258,IF(AND(C258='Input Data'!$E$25*12,'Input Data'!$E$25&lt;'Input Data'!$B$25),D258,0))),0)</f>
        <v>0</v>
      </c>
      <c r="F258" s="55">
        <f>D258-E258</f>
        <v>0</v>
      </c>
      <c r="G258" s="55">
        <f t="shared" si="12"/>
        <v>0</v>
      </c>
      <c r="H258" s="54">
        <f>MIN(E258-G258,D258)</f>
        <v>0</v>
      </c>
      <c r="I258" s="55">
        <f t="shared" si="13"/>
        <v>0</v>
      </c>
    </row>
    <row r="259" spans="1:9" x14ac:dyDescent="0.25">
      <c r="A259" t="b">
        <f>IF(('Input Data'!$C$25)="FRM", FALSE, ISNUMBER(MATCH(C259,'Input Data'!$N$14:$N$26,0)))</f>
        <v>0</v>
      </c>
      <c r="B259" s="51">
        <f>IF($A259, _xlfn.XLOOKUP(C259,'Input Data'!$N$13:$N$25,'Input Data'!$O$13:$O$25),$B258)</f>
        <v>6.3500000000000001E-2</v>
      </c>
      <c r="C259" s="63">
        <f t="shared" si="14"/>
        <v>257</v>
      </c>
      <c r="D259" s="55">
        <f t="shared" si="15"/>
        <v>0</v>
      </c>
      <c r="E259" s="54">
        <f>IF(D259&gt;0,IF(AND(C259='Input Data'!$B$25*12,'Input Data'!$E$25&gt;'Input Data'!$B$25),D259+D259*B259/12,-PMT(B259/12,'Input Data'!$E$25*12,D259,IF(AND(C259='Input Data'!$E$25*12,'Input Data'!$E$25&lt;'Input Data'!$B$25),D259,0))),0)</f>
        <v>0</v>
      </c>
      <c r="F259" s="55">
        <f>D259-E259</f>
        <v>0</v>
      </c>
      <c r="G259" s="55">
        <f t="shared" si="12"/>
        <v>0</v>
      </c>
      <c r="H259" s="54">
        <f>MIN(E259-G259,D259)</f>
        <v>0</v>
      </c>
      <c r="I259" s="55">
        <f t="shared" si="13"/>
        <v>0</v>
      </c>
    </row>
    <row r="260" spans="1:9" x14ac:dyDescent="0.25">
      <c r="A260" t="b">
        <f>IF(('Input Data'!$C$25)="FRM", FALSE, ISNUMBER(MATCH(C260,'Input Data'!$N$14:$N$26,0)))</f>
        <v>0</v>
      </c>
      <c r="B260" s="51">
        <f>IF($A260, _xlfn.XLOOKUP(C260,'Input Data'!$N$13:$N$25,'Input Data'!$O$13:$O$25),$B259)</f>
        <v>6.3500000000000001E-2</v>
      </c>
      <c r="C260" s="63">
        <f t="shared" si="14"/>
        <v>258</v>
      </c>
      <c r="D260" s="55">
        <f t="shared" si="15"/>
        <v>0</v>
      </c>
      <c r="E260" s="54">
        <f>IF(D260&gt;0,IF(AND(C260='Input Data'!$B$25*12,'Input Data'!$E$25&gt;'Input Data'!$B$25),D260+D260*B260/12,-PMT(B260/12,'Input Data'!$E$25*12,D260,IF(AND(C260='Input Data'!$E$25*12,'Input Data'!$E$25&lt;'Input Data'!$B$25),D260,0))),0)</f>
        <v>0</v>
      </c>
      <c r="F260" s="55">
        <f>D260-E260</f>
        <v>0</v>
      </c>
      <c r="G260" s="55">
        <f t="shared" ref="G260:G323" si="16">ROUND(D260*B260/12,2)</f>
        <v>0</v>
      </c>
      <c r="H260" s="54">
        <f>MIN(E260-G260,D260)</f>
        <v>0</v>
      </c>
      <c r="I260" s="55">
        <f t="shared" ref="I260:I323" si="17">IF(ROUND(D260-H260,2)=0,0,D260-H260)</f>
        <v>0</v>
      </c>
    </row>
    <row r="261" spans="1:9" x14ac:dyDescent="0.25">
      <c r="A261" t="b">
        <f>IF(('Input Data'!$C$25)="FRM", FALSE, ISNUMBER(MATCH(C261,'Input Data'!$N$14:$N$26,0)))</f>
        <v>0</v>
      </c>
      <c r="B261" s="51">
        <f>IF($A261, _xlfn.XLOOKUP(C261,'Input Data'!$N$13:$N$25,'Input Data'!$O$13:$O$25),$B260)</f>
        <v>6.3500000000000001E-2</v>
      </c>
      <c r="C261" s="63">
        <f t="shared" ref="C261:C324" si="18">C260+1</f>
        <v>259</v>
      </c>
      <c r="D261" s="55">
        <f t="shared" ref="D261:D324" si="19">IF(I260&gt;0,I260-J260,0)</f>
        <v>0</v>
      </c>
      <c r="E261" s="54">
        <f>IF(D261&gt;0,IF(AND(C261='Input Data'!$B$25*12,'Input Data'!$E$25&gt;'Input Data'!$B$25),D261+D261*B261/12,-PMT(B261/12,'Input Data'!$E$25*12,D261,IF(AND(C261='Input Data'!$E$25*12,'Input Data'!$E$25&lt;'Input Data'!$B$25),D261,0))),0)</f>
        <v>0</v>
      </c>
      <c r="F261" s="55">
        <f>D261-E261</f>
        <v>0</v>
      </c>
      <c r="G261" s="55">
        <f t="shared" si="16"/>
        <v>0</v>
      </c>
      <c r="H261" s="54">
        <f>MIN(E261-G261,D261)</f>
        <v>0</v>
      </c>
      <c r="I261" s="55">
        <f t="shared" si="17"/>
        <v>0</v>
      </c>
    </row>
    <row r="262" spans="1:9" x14ac:dyDescent="0.25">
      <c r="A262" t="b">
        <f>IF(('Input Data'!$C$25)="FRM", FALSE, ISNUMBER(MATCH(C262,'Input Data'!$N$14:$N$26,0)))</f>
        <v>0</v>
      </c>
      <c r="B262" s="51">
        <f>IF($A262, _xlfn.XLOOKUP(C262,'Input Data'!$N$13:$N$25,'Input Data'!$O$13:$O$25),$B261)</f>
        <v>6.3500000000000001E-2</v>
      </c>
      <c r="C262" s="63">
        <f t="shared" si="18"/>
        <v>260</v>
      </c>
      <c r="D262" s="55">
        <f t="shared" si="19"/>
        <v>0</v>
      </c>
      <c r="E262" s="54">
        <f>IF(D262&gt;0,IF(AND(C262='Input Data'!$B$25*12,'Input Data'!$E$25&gt;'Input Data'!$B$25),D262+D262*B262/12,-PMT(B262/12,'Input Data'!$E$25*12,D262,IF(AND(C262='Input Data'!$E$25*12,'Input Data'!$E$25&lt;'Input Data'!$B$25),D262,0))),0)</f>
        <v>0</v>
      </c>
      <c r="F262" s="55">
        <f>D262-E262</f>
        <v>0</v>
      </c>
      <c r="G262" s="55">
        <f t="shared" si="16"/>
        <v>0</v>
      </c>
      <c r="H262" s="54">
        <f>MIN(E262-G262,D262)</f>
        <v>0</v>
      </c>
      <c r="I262" s="55">
        <f t="shared" si="17"/>
        <v>0</v>
      </c>
    </row>
    <row r="263" spans="1:9" x14ac:dyDescent="0.25">
      <c r="A263" t="b">
        <f>IF(('Input Data'!$C$25)="FRM", FALSE, ISNUMBER(MATCH(C263,'Input Data'!$N$14:$N$26,0)))</f>
        <v>0</v>
      </c>
      <c r="B263" s="51">
        <f>IF($A263, _xlfn.XLOOKUP(C263,'Input Data'!$N$13:$N$25,'Input Data'!$O$13:$O$25),$B262)</f>
        <v>6.3500000000000001E-2</v>
      </c>
      <c r="C263" s="63">
        <f t="shared" si="18"/>
        <v>261</v>
      </c>
      <c r="D263" s="55">
        <f t="shared" si="19"/>
        <v>0</v>
      </c>
      <c r="E263" s="54">
        <f>IF(D263&gt;0,IF(AND(C263='Input Data'!$B$25*12,'Input Data'!$E$25&gt;'Input Data'!$B$25),D263+D263*B263/12,-PMT(B263/12,'Input Data'!$E$25*12,D263,IF(AND(C263='Input Data'!$E$25*12,'Input Data'!$E$25&lt;'Input Data'!$B$25),D263,0))),0)</f>
        <v>0</v>
      </c>
      <c r="F263" s="55">
        <f>D263-E263</f>
        <v>0</v>
      </c>
      <c r="G263" s="55">
        <f t="shared" si="16"/>
        <v>0</v>
      </c>
      <c r="H263" s="54">
        <f>MIN(E263-G263,D263)</f>
        <v>0</v>
      </c>
      <c r="I263" s="55">
        <f t="shared" si="17"/>
        <v>0</v>
      </c>
    </row>
    <row r="264" spans="1:9" x14ac:dyDescent="0.25">
      <c r="A264" t="b">
        <f>IF(('Input Data'!$C$25)="FRM", FALSE, ISNUMBER(MATCH(C264,'Input Data'!$N$14:$N$26,0)))</f>
        <v>0</v>
      </c>
      <c r="B264" s="51">
        <f>IF($A264, _xlfn.XLOOKUP(C264,'Input Data'!$N$13:$N$25,'Input Data'!$O$13:$O$25),$B263)</f>
        <v>6.3500000000000001E-2</v>
      </c>
      <c r="C264" s="63">
        <f t="shared" si="18"/>
        <v>262</v>
      </c>
      <c r="D264" s="55">
        <f t="shared" si="19"/>
        <v>0</v>
      </c>
      <c r="E264" s="54">
        <f>IF(D264&gt;0,IF(AND(C264='Input Data'!$B$25*12,'Input Data'!$E$25&gt;'Input Data'!$B$25),D264+D264*B264/12,-PMT(B264/12,'Input Data'!$E$25*12,D264,IF(AND(C264='Input Data'!$E$25*12,'Input Data'!$E$25&lt;'Input Data'!$B$25),D264,0))),0)</f>
        <v>0</v>
      </c>
      <c r="F264" s="55">
        <f>D264-E264</f>
        <v>0</v>
      </c>
      <c r="G264" s="55">
        <f t="shared" si="16"/>
        <v>0</v>
      </c>
      <c r="H264" s="54">
        <f>MIN(E264-G264,D264)</f>
        <v>0</v>
      </c>
      <c r="I264" s="55">
        <f t="shared" si="17"/>
        <v>0</v>
      </c>
    </row>
    <row r="265" spans="1:9" x14ac:dyDescent="0.25">
      <c r="A265" t="b">
        <f>IF(('Input Data'!$C$25)="FRM", FALSE, ISNUMBER(MATCH(C265,'Input Data'!$N$14:$N$26,0)))</f>
        <v>0</v>
      </c>
      <c r="B265" s="51">
        <f>IF($A265, _xlfn.XLOOKUP(C265,'Input Data'!$N$13:$N$25,'Input Data'!$O$13:$O$25),$B264)</f>
        <v>6.3500000000000001E-2</v>
      </c>
      <c r="C265" s="63">
        <f t="shared" si="18"/>
        <v>263</v>
      </c>
      <c r="D265" s="55">
        <f t="shared" si="19"/>
        <v>0</v>
      </c>
      <c r="E265" s="54">
        <f>IF(D265&gt;0,IF(AND(C265='Input Data'!$B$25*12,'Input Data'!$E$25&gt;'Input Data'!$B$25),D265+D265*B265/12,-PMT(B265/12,'Input Data'!$E$25*12,D265,IF(AND(C265='Input Data'!$E$25*12,'Input Data'!$E$25&lt;'Input Data'!$B$25),D265,0))),0)</f>
        <v>0</v>
      </c>
      <c r="F265" s="55">
        <f>D265-E265</f>
        <v>0</v>
      </c>
      <c r="G265" s="55">
        <f t="shared" si="16"/>
        <v>0</v>
      </c>
      <c r="H265" s="54">
        <f>MIN(E265-G265,D265)</f>
        <v>0</v>
      </c>
      <c r="I265" s="55">
        <f t="shared" si="17"/>
        <v>0</v>
      </c>
    </row>
    <row r="266" spans="1:9" x14ac:dyDescent="0.25">
      <c r="A266" t="b">
        <f>IF(('Input Data'!$C$25)="FRM", FALSE, ISNUMBER(MATCH(C266,'Input Data'!$N$14:$N$26,0)))</f>
        <v>0</v>
      </c>
      <c r="B266" s="51">
        <f>IF($A266, _xlfn.XLOOKUP(C266,'Input Data'!$N$13:$N$25,'Input Data'!$O$13:$O$25),$B265)</f>
        <v>6.3500000000000001E-2</v>
      </c>
      <c r="C266" s="63">
        <f t="shared" si="18"/>
        <v>264</v>
      </c>
      <c r="D266" s="55">
        <f t="shared" si="19"/>
        <v>0</v>
      </c>
      <c r="E266" s="54">
        <f>IF(D266&gt;0,IF(AND(C266='Input Data'!$B$25*12,'Input Data'!$E$25&gt;'Input Data'!$B$25),D266+D266*B266/12,-PMT(B266/12,'Input Data'!$E$25*12,D266,IF(AND(C266='Input Data'!$E$25*12,'Input Data'!$E$25&lt;'Input Data'!$B$25),D266,0))),0)</f>
        <v>0</v>
      </c>
      <c r="F266" s="55">
        <f>D266-E266</f>
        <v>0</v>
      </c>
      <c r="G266" s="55">
        <f t="shared" si="16"/>
        <v>0</v>
      </c>
      <c r="H266" s="54">
        <f>MIN(E266-G266,D266)</f>
        <v>0</v>
      </c>
      <c r="I266" s="55">
        <f t="shared" si="17"/>
        <v>0</v>
      </c>
    </row>
    <row r="267" spans="1:9" x14ac:dyDescent="0.25">
      <c r="A267" t="b">
        <f>IF(('Input Data'!$C$25)="FRM", FALSE, ISNUMBER(MATCH(C267,'Input Data'!$N$14:$N$26,0)))</f>
        <v>0</v>
      </c>
      <c r="B267" s="51">
        <f>IF($A267, _xlfn.XLOOKUP(C267,'Input Data'!$N$13:$N$25,'Input Data'!$O$13:$O$25),$B266)</f>
        <v>6.3500000000000001E-2</v>
      </c>
      <c r="C267" s="63">
        <f t="shared" si="18"/>
        <v>265</v>
      </c>
      <c r="D267" s="55">
        <f t="shared" si="19"/>
        <v>0</v>
      </c>
      <c r="E267" s="54">
        <f>IF(D267&gt;0,IF(AND(C267='Input Data'!$B$25*12,'Input Data'!$E$25&gt;'Input Data'!$B$25),D267+D267*B267/12,-PMT(B267/12,'Input Data'!$E$25*12,D267,IF(AND(C267='Input Data'!$E$25*12,'Input Data'!$E$25&lt;'Input Data'!$B$25),D267,0))),0)</f>
        <v>0</v>
      </c>
      <c r="F267" s="55">
        <f>D267-E267</f>
        <v>0</v>
      </c>
      <c r="G267" s="55">
        <f t="shared" si="16"/>
        <v>0</v>
      </c>
      <c r="H267" s="54">
        <f>MIN(E267-G267,D267)</f>
        <v>0</v>
      </c>
      <c r="I267" s="55">
        <f t="shared" si="17"/>
        <v>0</v>
      </c>
    </row>
    <row r="268" spans="1:9" x14ac:dyDescent="0.25">
      <c r="A268" t="b">
        <f>IF(('Input Data'!$C$25)="FRM", FALSE, ISNUMBER(MATCH(C268,'Input Data'!$N$14:$N$26,0)))</f>
        <v>0</v>
      </c>
      <c r="B268" s="51">
        <f>IF($A268, _xlfn.XLOOKUP(C268,'Input Data'!$N$13:$N$25,'Input Data'!$O$13:$O$25),$B267)</f>
        <v>6.3500000000000001E-2</v>
      </c>
      <c r="C268" s="63">
        <f t="shared" si="18"/>
        <v>266</v>
      </c>
      <c r="D268" s="55">
        <f t="shared" si="19"/>
        <v>0</v>
      </c>
      <c r="E268" s="54">
        <f>IF(D268&gt;0,IF(AND(C268='Input Data'!$B$25*12,'Input Data'!$E$25&gt;'Input Data'!$B$25),D268+D268*B268/12,-PMT(B268/12,'Input Data'!$E$25*12,D268,IF(AND(C268='Input Data'!$E$25*12,'Input Data'!$E$25&lt;'Input Data'!$B$25),D268,0))),0)</f>
        <v>0</v>
      </c>
      <c r="F268" s="55">
        <f>D268-E268</f>
        <v>0</v>
      </c>
      <c r="G268" s="55">
        <f t="shared" si="16"/>
        <v>0</v>
      </c>
      <c r="H268" s="54">
        <f>MIN(E268-G268,D268)</f>
        <v>0</v>
      </c>
      <c r="I268" s="55">
        <f t="shared" si="17"/>
        <v>0</v>
      </c>
    </row>
    <row r="269" spans="1:9" x14ac:dyDescent="0.25">
      <c r="A269" t="b">
        <f>IF(('Input Data'!$C$25)="FRM", FALSE, ISNUMBER(MATCH(C269,'Input Data'!$N$14:$N$26,0)))</f>
        <v>0</v>
      </c>
      <c r="B269" s="51">
        <f>IF($A269, _xlfn.XLOOKUP(C269,'Input Data'!$N$13:$N$25,'Input Data'!$O$13:$O$25),$B268)</f>
        <v>6.3500000000000001E-2</v>
      </c>
      <c r="C269" s="63">
        <f t="shared" si="18"/>
        <v>267</v>
      </c>
      <c r="D269" s="55">
        <f t="shared" si="19"/>
        <v>0</v>
      </c>
      <c r="E269" s="54">
        <f>IF(D269&gt;0,IF(AND(C269='Input Data'!$B$25*12,'Input Data'!$E$25&gt;'Input Data'!$B$25),D269+D269*B269/12,-PMT(B269/12,'Input Data'!$E$25*12,D269,IF(AND(C269='Input Data'!$E$25*12,'Input Data'!$E$25&lt;'Input Data'!$B$25),D269,0))),0)</f>
        <v>0</v>
      </c>
      <c r="F269" s="55">
        <f>D269-E269</f>
        <v>0</v>
      </c>
      <c r="G269" s="55">
        <f t="shared" si="16"/>
        <v>0</v>
      </c>
      <c r="H269" s="54">
        <f>MIN(E269-G269,D269)</f>
        <v>0</v>
      </c>
      <c r="I269" s="55">
        <f t="shared" si="17"/>
        <v>0</v>
      </c>
    </row>
    <row r="270" spans="1:9" x14ac:dyDescent="0.25">
      <c r="A270" t="b">
        <f>IF(('Input Data'!$C$25)="FRM", FALSE, ISNUMBER(MATCH(C270,'Input Data'!$N$14:$N$26,0)))</f>
        <v>0</v>
      </c>
      <c r="B270" s="51">
        <f>IF($A270, _xlfn.XLOOKUP(C270,'Input Data'!$N$13:$N$25,'Input Data'!$O$13:$O$25),$B269)</f>
        <v>6.3500000000000001E-2</v>
      </c>
      <c r="C270" s="63">
        <f t="shared" si="18"/>
        <v>268</v>
      </c>
      <c r="D270" s="55">
        <f t="shared" si="19"/>
        <v>0</v>
      </c>
      <c r="E270" s="54">
        <f>IF(D270&gt;0,IF(AND(C270='Input Data'!$B$25*12,'Input Data'!$E$25&gt;'Input Data'!$B$25),D270+D270*B270/12,-PMT(B270/12,'Input Data'!$E$25*12,D270,IF(AND(C270='Input Data'!$E$25*12,'Input Data'!$E$25&lt;'Input Data'!$B$25),D270,0))),0)</f>
        <v>0</v>
      </c>
      <c r="F270" s="55">
        <f>D270-E270</f>
        <v>0</v>
      </c>
      <c r="G270" s="55">
        <f t="shared" si="16"/>
        <v>0</v>
      </c>
      <c r="H270" s="54">
        <f>MIN(E270-G270,D270)</f>
        <v>0</v>
      </c>
      <c r="I270" s="55">
        <f t="shared" si="17"/>
        <v>0</v>
      </c>
    </row>
    <row r="271" spans="1:9" x14ac:dyDescent="0.25">
      <c r="A271" t="b">
        <f>IF(('Input Data'!$C$25)="FRM", FALSE, ISNUMBER(MATCH(C271,'Input Data'!$N$14:$N$26,0)))</f>
        <v>0</v>
      </c>
      <c r="B271" s="51">
        <f>IF($A271, _xlfn.XLOOKUP(C271,'Input Data'!$N$13:$N$25,'Input Data'!$O$13:$O$25),$B270)</f>
        <v>6.3500000000000001E-2</v>
      </c>
      <c r="C271" s="63">
        <f t="shared" si="18"/>
        <v>269</v>
      </c>
      <c r="D271" s="55">
        <f t="shared" si="19"/>
        <v>0</v>
      </c>
      <c r="E271" s="54">
        <f>IF(D271&gt;0,IF(AND(C271='Input Data'!$B$25*12,'Input Data'!$E$25&gt;'Input Data'!$B$25),D271+D271*B271/12,-PMT(B271/12,'Input Data'!$E$25*12,D271,IF(AND(C271='Input Data'!$E$25*12,'Input Data'!$E$25&lt;'Input Data'!$B$25),D271,0))),0)</f>
        <v>0</v>
      </c>
      <c r="F271" s="55">
        <f>D271-E271</f>
        <v>0</v>
      </c>
      <c r="G271" s="55">
        <f t="shared" si="16"/>
        <v>0</v>
      </c>
      <c r="H271" s="54">
        <f>MIN(E271-G271,D271)</f>
        <v>0</v>
      </c>
      <c r="I271" s="55">
        <f t="shared" si="17"/>
        <v>0</v>
      </c>
    </row>
    <row r="272" spans="1:9" x14ac:dyDescent="0.25">
      <c r="A272" t="b">
        <f>IF(('Input Data'!$C$25)="FRM", FALSE, ISNUMBER(MATCH(C272,'Input Data'!$N$14:$N$26,0)))</f>
        <v>0</v>
      </c>
      <c r="B272" s="51">
        <f>IF($A272, _xlfn.XLOOKUP(C272,'Input Data'!$N$13:$N$25,'Input Data'!$O$13:$O$25),$B271)</f>
        <v>6.3500000000000001E-2</v>
      </c>
      <c r="C272" s="63">
        <f t="shared" si="18"/>
        <v>270</v>
      </c>
      <c r="D272" s="55">
        <f t="shared" si="19"/>
        <v>0</v>
      </c>
      <c r="E272" s="54">
        <f>IF(D272&gt;0,IF(AND(C272='Input Data'!$B$25*12,'Input Data'!$E$25&gt;'Input Data'!$B$25),D272+D272*B272/12,-PMT(B272/12,'Input Data'!$E$25*12,D272,IF(AND(C272='Input Data'!$E$25*12,'Input Data'!$E$25&lt;'Input Data'!$B$25),D272,0))),0)</f>
        <v>0</v>
      </c>
      <c r="F272" s="55">
        <f>D272-E272</f>
        <v>0</v>
      </c>
      <c r="G272" s="55">
        <f t="shared" si="16"/>
        <v>0</v>
      </c>
      <c r="H272" s="54">
        <f>MIN(E272-G272,D272)</f>
        <v>0</v>
      </c>
      <c r="I272" s="55">
        <f t="shared" si="17"/>
        <v>0</v>
      </c>
    </row>
    <row r="273" spans="1:9" x14ac:dyDescent="0.25">
      <c r="A273" t="b">
        <f>IF(('Input Data'!$C$25)="FRM", FALSE, ISNUMBER(MATCH(C273,'Input Data'!$N$14:$N$26,0)))</f>
        <v>0</v>
      </c>
      <c r="B273" s="51">
        <f>IF($A273, _xlfn.XLOOKUP(C273,'Input Data'!$N$13:$N$25,'Input Data'!$O$13:$O$25),$B272)</f>
        <v>6.3500000000000001E-2</v>
      </c>
      <c r="C273" s="63">
        <f t="shared" si="18"/>
        <v>271</v>
      </c>
      <c r="D273" s="55">
        <f t="shared" si="19"/>
        <v>0</v>
      </c>
      <c r="E273" s="54">
        <f>IF(D273&gt;0,IF(AND(C273='Input Data'!$B$25*12,'Input Data'!$E$25&gt;'Input Data'!$B$25),D273+D273*B273/12,-PMT(B273/12,'Input Data'!$E$25*12,D273,IF(AND(C273='Input Data'!$E$25*12,'Input Data'!$E$25&lt;'Input Data'!$B$25),D273,0))),0)</f>
        <v>0</v>
      </c>
      <c r="F273" s="55">
        <f>D273-E273</f>
        <v>0</v>
      </c>
      <c r="G273" s="55">
        <f t="shared" si="16"/>
        <v>0</v>
      </c>
      <c r="H273" s="54">
        <f>MIN(E273-G273,D273)</f>
        <v>0</v>
      </c>
      <c r="I273" s="55">
        <f t="shared" si="17"/>
        <v>0</v>
      </c>
    </row>
    <row r="274" spans="1:9" x14ac:dyDescent="0.25">
      <c r="A274" t="b">
        <f>IF(('Input Data'!$C$25)="FRM", FALSE, ISNUMBER(MATCH(C274,'Input Data'!$N$14:$N$26,0)))</f>
        <v>0</v>
      </c>
      <c r="B274" s="51">
        <f>IF($A274, _xlfn.XLOOKUP(C274,'Input Data'!$N$13:$N$25,'Input Data'!$O$13:$O$25),$B273)</f>
        <v>6.3500000000000001E-2</v>
      </c>
      <c r="C274" s="63">
        <f t="shared" si="18"/>
        <v>272</v>
      </c>
      <c r="D274" s="55">
        <f t="shared" si="19"/>
        <v>0</v>
      </c>
      <c r="E274" s="54">
        <f>IF(D274&gt;0,IF(AND(C274='Input Data'!$B$25*12,'Input Data'!$E$25&gt;'Input Data'!$B$25),D274+D274*B274/12,-PMT(B274/12,'Input Data'!$E$25*12,D274,IF(AND(C274='Input Data'!$E$25*12,'Input Data'!$E$25&lt;'Input Data'!$B$25),D274,0))),0)</f>
        <v>0</v>
      </c>
      <c r="F274" s="55">
        <f>D274-E274</f>
        <v>0</v>
      </c>
      <c r="G274" s="55">
        <f t="shared" si="16"/>
        <v>0</v>
      </c>
      <c r="H274" s="54">
        <f>MIN(E274-G274,D274)</f>
        <v>0</v>
      </c>
      <c r="I274" s="55">
        <f t="shared" si="17"/>
        <v>0</v>
      </c>
    </row>
    <row r="275" spans="1:9" x14ac:dyDescent="0.25">
      <c r="A275" t="b">
        <f>IF(('Input Data'!$C$25)="FRM", FALSE, ISNUMBER(MATCH(C275,'Input Data'!$N$14:$N$26,0)))</f>
        <v>0</v>
      </c>
      <c r="B275" s="51">
        <f>IF($A275, _xlfn.XLOOKUP(C275,'Input Data'!$N$13:$N$25,'Input Data'!$O$13:$O$25),$B274)</f>
        <v>6.3500000000000001E-2</v>
      </c>
      <c r="C275" s="63">
        <f t="shared" si="18"/>
        <v>273</v>
      </c>
      <c r="D275" s="55">
        <f t="shared" si="19"/>
        <v>0</v>
      </c>
      <c r="E275" s="54">
        <f>IF(D275&gt;0,IF(AND(C275='Input Data'!$B$25*12,'Input Data'!$E$25&gt;'Input Data'!$B$25),D275+D275*B275/12,-PMT(B275/12,'Input Data'!$E$25*12,D275,IF(AND(C275='Input Data'!$E$25*12,'Input Data'!$E$25&lt;'Input Data'!$B$25),D275,0))),0)</f>
        <v>0</v>
      </c>
      <c r="F275" s="55">
        <f>D275-E275</f>
        <v>0</v>
      </c>
      <c r="G275" s="55">
        <f t="shared" si="16"/>
        <v>0</v>
      </c>
      <c r="H275" s="54">
        <f>MIN(E275-G275,D275)</f>
        <v>0</v>
      </c>
      <c r="I275" s="55">
        <f t="shared" si="17"/>
        <v>0</v>
      </c>
    </row>
    <row r="276" spans="1:9" x14ac:dyDescent="0.25">
      <c r="A276" t="b">
        <f>IF(('Input Data'!$C$25)="FRM", FALSE, ISNUMBER(MATCH(C276,'Input Data'!$N$14:$N$26,0)))</f>
        <v>0</v>
      </c>
      <c r="B276" s="51">
        <f>IF($A276, _xlfn.XLOOKUP(C276,'Input Data'!$N$13:$N$25,'Input Data'!$O$13:$O$25),$B275)</f>
        <v>6.3500000000000001E-2</v>
      </c>
      <c r="C276" s="63">
        <f t="shared" si="18"/>
        <v>274</v>
      </c>
      <c r="D276" s="55">
        <f t="shared" si="19"/>
        <v>0</v>
      </c>
      <c r="E276" s="54">
        <f>IF(D276&gt;0,IF(AND(C276='Input Data'!$B$25*12,'Input Data'!$E$25&gt;'Input Data'!$B$25),D276+D276*B276/12,-PMT(B276/12,'Input Data'!$E$25*12,D276,IF(AND(C276='Input Data'!$E$25*12,'Input Data'!$E$25&lt;'Input Data'!$B$25),D276,0))),0)</f>
        <v>0</v>
      </c>
      <c r="F276" s="55">
        <f>D276-E276</f>
        <v>0</v>
      </c>
      <c r="G276" s="55">
        <f t="shared" si="16"/>
        <v>0</v>
      </c>
      <c r="H276" s="54">
        <f>MIN(E276-G276,D276)</f>
        <v>0</v>
      </c>
      <c r="I276" s="55">
        <f t="shared" si="17"/>
        <v>0</v>
      </c>
    </row>
    <row r="277" spans="1:9" x14ac:dyDescent="0.25">
      <c r="A277" t="b">
        <f>IF(('Input Data'!$C$25)="FRM", FALSE, ISNUMBER(MATCH(C277,'Input Data'!$N$14:$N$26,0)))</f>
        <v>0</v>
      </c>
      <c r="B277" s="51">
        <f>IF($A277, _xlfn.XLOOKUP(C277,'Input Data'!$N$13:$N$25,'Input Data'!$O$13:$O$25),$B276)</f>
        <v>6.3500000000000001E-2</v>
      </c>
      <c r="C277" s="63">
        <f t="shared" si="18"/>
        <v>275</v>
      </c>
      <c r="D277" s="55">
        <f t="shared" si="19"/>
        <v>0</v>
      </c>
      <c r="E277" s="54">
        <f>IF(D277&gt;0,IF(AND(C277='Input Data'!$B$25*12,'Input Data'!$E$25&gt;'Input Data'!$B$25),D277+D277*B277/12,-PMT(B277/12,'Input Data'!$E$25*12,D277,IF(AND(C277='Input Data'!$E$25*12,'Input Data'!$E$25&lt;'Input Data'!$B$25),D277,0))),0)</f>
        <v>0</v>
      </c>
      <c r="F277" s="55">
        <f>D277-E277</f>
        <v>0</v>
      </c>
      <c r="G277" s="55">
        <f t="shared" si="16"/>
        <v>0</v>
      </c>
      <c r="H277" s="54">
        <f>MIN(E277-G277,D277)</f>
        <v>0</v>
      </c>
      <c r="I277" s="55">
        <f t="shared" si="17"/>
        <v>0</v>
      </c>
    </row>
    <row r="278" spans="1:9" x14ac:dyDescent="0.25">
      <c r="A278" t="b">
        <f>IF(('Input Data'!$C$25)="FRM", FALSE, ISNUMBER(MATCH(C278,'Input Data'!$N$14:$N$26,0)))</f>
        <v>0</v>
      </c>
      <c r="B278" s="51">
        <f>IF($A278, _xlfn.XLOOKUP(C278,'Input Data'!$N$13:$N$25,'Input Data'!$O$13:$O$25),$B277)</f>
        <v>6.3500000000000001E-2</v>
      </c>
      <c r="C278" s="63">
        <f t="shared" si="18"/>
        <v>276</v>
      </c>
      <c r="D278" s="55">
        <f t="shared" si="19"/>
        <v>0</v>
      </c>
      <c r="E278" s="54">
        <f>IF(D278&gt;0,IF(AND(C278='Input Data'!$B$25*12,'Input Data'!$E$25&gt;'Input Data'!$B$25),D278+D278*B278/12,-PMT(B278/12,'Input Data'!$E$25*12,D278,IF(AND(C278='Input Data'!$E$25*12,'Input Data'!$E$25&lt;'Input Data'!$B$25),D278,0))),0)</f>
        <v>0</v>
      </c>
      <c r="F278" s="55">
        <f>D278-E278</f>
        <v>0</v>
      </c>
      <c r="G278" s="55">
        <f t="shared" si="16"/>
        <v>0</v>
      </c>
      <c r="H278" s="54">
        <f>MIN(E278-G278,D278)</f>
        <v>0</v>
      </c>
      <c r="I278" s="55">
        <f t="shared" si="17"/>
        <v>0</v>
      </c>
    </row>
    <row r="279" spans="1:9" x14ac:dyDescent="0.25">
      <c r="A279" t="b">
        <f>IF(('Input Data'!$C$25)="FRM", FALSE, ISNUMBER(MATCH(C279,'Input Data'!$N$14:$N$26,0)))</f>
        <v>0</v>
      </c>
      <c r="B279" s="51">
        <f>IF($A279, _xlfn.XLOOKUP(C279,'Input Data'!$N$13:$N$25,'Input Data'!$O$13:$O$25),$B278)</f>
        <v>6.3500000000000001E-2</v>
      </c>
      <c r="C279" s="63">
        <f t="shared" si="18"/>
        <v>277</v>
      </c>
      <c r="D279" s="55">
        <f t="shared" si="19"/>
        <v>0</v>
      </c>
      <c r="E279" s="54">
        <f>IF(D279&gt;0,IF(AND(C279='Input Data'!$B$25*12,'Input Data'!$E$25&gt;'Input Data'!$B$25),D279+D279*B279/12,-PMT(B279/12,'Input Data'!$E$25*12,D279,IF(AND(C279='Input Data'!$E$25*12,'Input Data'!$E$25&lt;'Input Data'!$B$25),D279,0))),0)</f>
        <v>0</v>
      </c>
      <c r="F279" s="55">
        <f>D279-E279</f>
        <v>0</v>
      </c>
      <c r="G279" s="55">
        <f t="shared" si="16"/>
        <v>0</v>
      </c>
      <c r="H279" s="54">
        <f>MIN(E279-G279,D279)</f>
        <v>0</v>
      </c>
      <c r="I279" s="55">
        <f t="shared" si="17"/>
        <v>0</v>
      </c>
    </row>
    <row r="280" spans="1:9" x14ac:dyDescent="0.25">
      <c r="A280" t="b">
        <f>IF(('Input Data'!$C$25)="FRM", FALSE, ISNUMBER(MATCH(C280,'Input Data'!$N$14:$N$26,0)))</f>
        <v>0</v>
      </c>
      <c r="B280" s="51">
        <f>IF($A280, _xlfn.XLOOKUP(C280,'Input Data'!$N$13:$N$25,'Input Data'!$O$13:$O$25),$B279)</f>
        <v>6.3500000000000001E-2</v>
      </c>
      <c r="C280" s="63">
        <f t="shared" si="18"/>
        <v>278</v>
      </c>
      <c r="D280" s="55">
        <f t="shared" si="19"/>
        <v>0</v>
      </c>
      <c r="E280" s="54">
        <f>IF(D280&gt;0,IF(AND(C280='Input Data'!$B$25*12,'Input Data'!$E$25&gt;'Input Data'!$B$25),D280+D280*B280/12,-PMT(B280/12,'Input Data'!$E$25*12,D280,IF(AND(C280='Input Data'!$E$25*12,'Input Data'!$E$25&lt;'Input Data'!$B$25),D280,0))),0)</f>
        <v>0</v>
      </c>
      <c r="F280" s="55">
        <f>D280-E280</f>
        <v>0</v>
      </c>
      <c r="G280" s="55">
        <f t="shared" si="16"/>
        <v>0</v>
      </c>
      <c r="H280" s="54">
        <f>MIN(E280-G280,D280)</f>
        <v>0</v>
      </c>
      <c r="I280" s="55">
        <f t="shared" si="17"/>
        <v>0</v>
      </c>
    </row>
    <row r="281" spans="1:9" x14ac:dyDescent="0.25">
      <c r="A281" t="b">
        <f>IF(('Input Data'!$C$25)="FRM", FALSE, ISNUMBER(MATCH(C281,'Input Data'!$N$14:$N$26,0)))</f>
        <v>0</v>
      </c>
      <c r="B281" s="51">
        <f>IF($A281, _xlfn.XLOOKUP(C281,'Input Data'!$N$13:$N$25,'Input Data'!$O$13:$O$25),$B280)</f>
        <v>6.3500000000000001E-2</v>
      </c>
      <c r="C281" s="63">
        <f t="shared" si="18"/>
        <v>279</v>
      </c>
      <c r="D281" s="55">
        <f t="shared" si="19"/>
        <v>0</v>
      </c>
      <c r="E281" s="54">
        <f>IF(D281&gt;0,IF(AND(C281='Input Data'!$B$25*12,'Input Data'!$E$25&gt;'Input Data'!$B$25),D281+D281*B281/12,-PMT(B281/12,'Input Data'!$E$25*12,D281,IF(AND(C281='Input Data'!$E$25*12,'Input Data'!$E$25&lt;'Input Data'!$B$25),D281,0))),0)</f>
        <v>0</v>
      </c>
      <c r="F281" s="55">
        <f>D281-E281</f>
        <v>0</v>
      </c>
      <c r="G281" s="55">
        <f t="shared" si="16"/>
        <v>0</v>
      </c>
      <c r="H281" s="54">
        <f>MIN(E281-G281,D281)</f>
        <v>0</v>
      </c>
      <c r="I281" s="55">
        <f t="shared" si="17"/>
        <v>0</v>
      </c>
    </row>
    <row r="282" spans="1:9" x14ac:dyDescent="0.25">
      <c r="A282" t="b">
        <f>IF(('Input Data'!$C$25)="FRM", FALSE, ISNUMBER(MATCH(C282,'Input Data'!$N$14:$N$26,0)))</f>
        <v>0</v>
      </c>
      <c r="B282" s="51">
        <f>IF($A282, _xlfn.XLOOKUP(C282,'Input Data'!$N$13:$N$25,'Input Data'!$O$13:$O$25),$B281)</f>
        <v>6.3500000000000001E-2</v>
      </c>
      <c r="C282" s="63">
        <f t="shared" si="18"/>
        <v>280</v>
      </c>
      <c r="D282" s="55">
        <f t="shared" si="19"/>
        <v>0</v>
      </c>
      <c r="E282" s="54">
        <f>IF(D282&gt;0,IF(AND(C282='Input Data'!$B$25*12,'Input Data'!$E$25&gt;'Input Data'!$B$25),D282+D282*B282/12,-PMT(B282/12,'Input Data'!$E$25*12,D282,IF(AND(C282='Input Data'!$E$25*12,'Input Data'!$E$25&lt;'Input Data'!$B$25),D282,0))),0)</f>
        <v>0</v>
      </c>
      <c r="F282" s="55">
        <f>D282-E282</f>
        <v>0</v>
      </c>
      <c r="G282" s="55">
        <f t="shared" si="16"/>
        <v>0</v>
      </c>
      <c r="H282" s="54">
        <f>MIN(E282-G282,D282)</f>
        <v>0</v>
      </c>
      <c r="I282" s="55">
        <f t="shared" si="17"/>
        <v>0</v>
      </c>
    </row>
    <row r="283" spans="1:9" x14ac:dyDescent="0.25">
      <c r="A283" t="b">
        <f>IF(('Input Data'!$C$25)="FRM", FALSE, ISNUMBER(MATCH(C283,'Input Data'!$N$14:$N$26,0)))</f>
        <v>0</v>
      </c>
      <c r="B283" s="51">
        <f>IF($A283, _xlfn.XLOOKUP(C283,'Input Data'!$N$13:$N$25,'Input Data'!$O$13:$O$25),$B282)</f>
        <v>6.3500000000000001E-2</v>
      </c>
      <c r="C283" s="63">
        <f t="shared" si="18"/>
        <v>281</v>
      </c>
      <c r="D283" s="55">
        <f t="shared" si="19"/>
        <v>0</v>
      </c>
      <c r="E283" s="54">
        <f>IF(D283&gt;0,IF(AND(C283='Input Data'!$B$25*12,'Input Data'!$E$25&gt;'Input Data'!$B$25),D283+D283*B283/12,-PMT(B283/12,'Input Data'!$E$25*12,D283,IF(AND(C283='Input Data'!$E$25*12,'Input Data'!$E$25&lt;'Input Data'!$B$25),D283,0))),0)</f>
        <v>0</v>
      </c>
      <c r="F283" s="55">
        <f>D283-E283</f>
        <v>0</v>
      </c>
      <c r="G283" s="55">
        <f t="shared" si="16"/>
        <v>0</v>
      </c>
      <c r="H283" s="54">
        <f>MIN(E283-G283,D283)</f>
        <v>0</v>
      </c>
      <c r="I283" s="55">
        <f t="shared" si="17"/>
        <v>0</v>
      </c>
    </row>
    <row r="284" spans="1:9" x14ac:dyDescent="0.25">
      <c r="A284" t="b">
        <f>IF(('Input Data'!$C$25)="FRM", FALSE, ISNUMBER(MATCH(C284,'Input Data'!$N$14:$N$26,0)))</f>
        <v>0</v>
      </c>
      <c r="B284" s="51">
        <f>IF($A284, _xlfn.XLOOKUP(C284,'Input Data'!$N$13:$N$25,'Input Data'!$O$13:$O$25),$B283)</f>
        <v>6.3500000000000001E-2</v>
      </c>
      <c r="C284" s="63">
        <f t="shared" si="18"/>
        <v>282</v>
      </c>
      <c r="D284" s="55">
        <f t="shared" si="19"/>
        <v>0</v>
      </c>
      <c r="E284" s="54">
        <f>IF(D284&gt;0,IF(AND(C284='Input Data'!$B$25*12,'Input Data'!$E$25&gt;'Input Data'!$B$25),D284+D284*B284/12,-PMT(B284/12,'Input Data'!$E$25*12,D284,IF(AND(C284='Input Data'!$E$25*12,'Input Data'!$E$25&lt;'Input Data'!$B$25),D284,0))),0)</f>
        <v>0</v>
      </c>
      <c r="F284" s="55">
        <f>D284-E284</f>
        <v>0</v>
      </c>
      <c r="G284" s="55">
        <f t="shared" si="16"/>
        <v>0</v>
      </c>
      <c r="H284" s="54">
        <f>MIN(E284-G284,D284)</f>
        <v>0</v>
      </c>
      <c r="I284" s="55">
        <f t="shared" si="17"/>
        <v>0</v>
      </c>
    </row>
    <row r="285" spans="1:9" x14ac:dyDescent="0.25">
      <c r="A285" t="b">
        <f>IF(('Input Data'!$C$25)="FRM", FALSE, ISNUMBER(MATCH(C285,'Input Data'!$N$14:$N$26,0)))</f>
        <v>0</v>
      </c>
      <c r="B285" s="51">
        <f>IF($A285, _xlfn.XLOOKUP(C285,'Input Data'!$N$13:$N$25,'Input Data'!$O$13:$O$25),$B284)</f>
        <v>6.3500000000000001E-2</v>
      </c>
      <c r="C285" s="63">
        <f t="shared" si="18"/>
        <v>283</v>
      </c>
      <c r="D285" s="55">
        <f t="shared" si="19"/>
        <v>0</v>
      </c>
      <c r="E285" s="54">
        <f>IF(D285&gt;0,IF(AND(C285='Input Data'!$B$25*12,'Input Data'!$E$25&gt;'Input Data'!$B$25),D285+D285*B285/12,-PMT(B285/12,'Input Data'!$E$25*12,D285,IF(AND(C285='Input Data'!$E$25*12,'Input Data'!$E$25&lt;'Input Data'!$B$25),D285,0))),0)</f>
        <v>0</v>
      </c>
      <c r="F285" s="55">
        <f>D285-E285</f>
        <v>0</v>
      </c>
      <c r="G285" s="55">
        <f t="shared" si="16"/>
        <v>0</v>
      </c>
      <c r="H285" s="54">
        <f>MIN(E285-G285,D285)</f>
        <v>0</v>
      </c>
      <c r="I285" s="55">
        <f t="shared" si="17"/>
        <v>0</v>
      </c>
    </row>
    <row r="286" spans="1:9" x14ac:dyDescent="0.25">
      <c r="A286" t="b">
        <f>IF(('Input Data'!$C$25)="FRM", FALSE, ISNUMBER(MATCH(C286,'Input Data'!$N$14:$N$26,0)))</f>
        <v>0</v>
      </c>
      <c r="B286" s="51">
        <f>IF($A286, _xlfn.XLOOKUP(C286,'Input Data'!$N$13:$N$25,'Input Data'!$O$13:$O$25),$B285)</f>
        <v>6.3500000000000001E-2</v>
      </c>
      <c r="C286" s="63">
        <f t="shared" si="18"/>
        <v>284</v>
      </c>
      <c r="D286" s="55">
        <f t="shared" si="19"/>
        <v>0</v>
      </c>
      <c r="E286" s="54">
        <f>IF(D286&gt;0,IF(AND(C286='Input Data'!$B$25*12,'Input Data'!$E$25&gt;'Input Data'!$B$25),D286+D286*B286/12,-PMT(B286/12,'Input Data'!$E$25*12,D286,IF(AND(C286='Input Data'!$E$25*12,'Input Data'!$E$25&lt;'Input Data'!$B$25),D286,0))),0)</f>
        <v>0</v>
      </c>
      <c r="F286" s="55">
        <f>D286-E286</f>
        <v>0</v>
      </c>
      <c r="G286" s="55">
        <f t="shared" si="16"/>
        <v>0</v>
      </c>
      <c r="H286" s="54">
        <f>MIN(E286-G286,D286)</f>
        <v>0</v>
      </c>
      <c r="I286" s="55">
        <f t="shared" si="17"/>
        <v>0</v>
      </c>
    </row>
    <row r="287" spans="1:9" x14ac:dyDescent="0.25">
      <c r="A287" t="b">
        <f>IF(('Input Data'!$C$25)="FRM", FALSE, ISNUMBER(MATCH(C287,'Input Data'!$N$14:$N$26,0)))</f>
        <v>0</v>
      </c>
      <c r="B287" s="51">
        <f>IF($A287, _xlfn.XLOOKUP(C287,'Input Data'!$N$13:$N$25,'Input Data'!$O$13:$O$25),$B286)</f>
        <v>6.3500000000000001E-2</v>
      </c>
      <c r="C287" s="63">
        <f t="shared" si="18"/>
        <v>285</v>
      </c>
      <c r="D287" s="55">
        <f t="shared" si="19"/>
        <v>0</v>
      </c>
      <c r="E287" s="54">
        <f>IF(D287&gt;0,IF(AND(C287='Input Data'!$B$25*12,'Input Data'!$E$25&gt;'Input Data'!$B$25),D287+D287*B287/12,-PMT(B287/12,'Input Data'!$E$25*12,D287,IF(AND(C287='Input Data'!$E$25*12,'Input Data'!$E$25&lt;'Input Data'!$B$25),D287,0))),0)</f>
        <v>0</v>
      </c>
      <c r="F287" s="55">
        <f>D287-E287</f>
        <v>0</v>
      </c>
      <c r="G287" s="55">
        <f t="shared" si="16"/>
        <v>0</v>
      </c>
      <c r="H287" s="54">
        <f>MIN(E287-G287,D287)</f>
        <v>0</v>
      </c>
      <c r="I287" s="55">
        <f t="shared" si="17"/>
        <v>0</v>
      </c>
    </row>
    <row r="288" spans="1:9" x14ac:dyDescent="0.25">
      <c r="A288" t="b">
        <f>IF(('Input Data'!$C$25)="FRM", FALSE, ISNUMBER(MATCH(C288,'Input Data'!$N$14:$N$26,0)))</f>
        <v>0</v>
      </c>
      <c r="B288" s="51">
        <f>IF($A288, _xlfn.XLOOKUP(C288,'Input Data'!$N$13:$N$25,'Input Data'!$O$13:$O$25),$B287)</f>
        <v>6.3500000000000001E-2</v>
      </c>
      <c r="C288" s="63">
        <f t="shared" si="18"/>
        <v>286</v>
      </c>
      <c r="D288" s="55">
        <f t="shared" si="19"/>
        <v>0</v>
      </c>
      <c r="E288" s="54">
        <f>IF(D288&gt;0,IF(AND(C288='Input Data'!$B$25*12,'Input Data'!$E$25&gt;'Input Data'!$B$25),D288+D288*B288/12,-PMT(B288/12,'Input Data'!$E$25*12,D288,IF(AND(C288='Input Data'!$E$25*12,'Input Data'!$E$25&lt;'Input Data'!$B$25),D288,0))),0)</f>
        <v>0</v>
      </c>
      <c r="F288" s="55">
        <f>D288-E288</f>
        <v>0</v>
      </c>
      <c r="G288" s="55">
        <f t="shared" si="16"/>
        <v>0</v>
      </c>
      <c r="H288" s="54">
        <f>MIN(E288-G288,D288)</f>
        <v>0</v>
      </c>
      <c r="I288" s="55">
        <f t="shared" si="17"/>
        <v>0</v>
      </c>
    </row>
    <row r="289" spans="1:9" x14ac:dyDescent="0.25">
      <c r="A289" t="b">
        <f>IF(('Input Data'!$C$25)="FRM", FALSE, ISNUMBER(MATCH(C289,'Input Data'!$N$14:$N$26,0)))</f>
        <v>0</v>
      </c>
      <c r="B289" s="51">
        <f>IF($A289, _xlfn.XLOOKUP(C289,'Input Data'!$N$13:$N$25,'Input Data'!$O$13:$O$25),$B288)</f>
        <v>6.3500000000000001E-2</v>
      </c>
      <c r="C289" s="63">
        <f t="shared" si="18"/>
        <v>287</v>
      </c>
      <c r="D289" s="55">
        <f t="shared" si="19"/>
        <v>0</v>
      </c>
      <c r="E289" s="54">
        <f>IF(D289&gt;0,IF(AND(C289='Input Data'!$B$25*12,'Input Data'!$E$25&gt;'Input Data'!$B$25),D289+D289*B289/12,-PMT(B289/12,'Input Data'!$E$25*12,D289,IF(AND(C289='Input Data'!$E$25*12,'Input Data'!$E$25&lt;'Input Data'!$B$25),D289,0))),0)</f>
        <v>0</v>
      </c>
      <c r="F289" s="55">
        <f>D289-E289</f>
        <v>0</v>
      </c>
      <c r="G289" s="55">
        <f t="shared" si="16"/>
        <v>0</v>
      </c>
      <c r="H289" s="54">
        <f>MIN(E289-G289,D289)</f>
        <v>0</v>
      </c>
      <c r="I289" s="55">
        <f t="shared" si="17"/>
        <v>0</v>
      </c>
    </row>
    <row r="290" spans="1:9" x14ac:dyDescent="0.25">
      <c r="A290" t="b">
        <f>IF(('Input Data'!$C$25)="FRM", FALSE, ISNUMBER(MATCH(C290,'Input Data'!$N$14:$N$26,0)))</f>
        <v>0</v>
      </c>
      <c r="B290" s="51">
        <f>IF($A290, _xlfn.XLOOKUP(C290,'Input Data'!$N$13:$N$25,'Input Data'!$O$13:$O$25),$B289)</f>
        <v>6.3500000000000001E-2</v>
      </c>
      <c r="C290" s="63">
        <f t="shared" si="18"/>
        <v>288</v>
      </c>
      <c r="D290" s="55">
        <f t="shared" si="19"/>
        <v>0</v>
      </c>
      <c r="E290" s="54">
        <f>IF(D290&gt;0,IF(AND(C290='Input Data'!$B$25*12,'Input Data'!$E$25&gt;'Input Data'!$B$25),D290+D290*B290/12,-PMT(B290/12,'Input Data'!$E$25*12,D290,IF(AND(C290='Input Data'!$E$25*12,'Input Data'!$E$25&lt;'Input Data'!$B$25),D290,0))),0)</f>
        <v>0</v>
      </c>
      <c r="F290" s="55">
        <f>D290-E290</f>
        <v>0</v>
      </c>
      <c r="G290" s="55">
        <f t="shared" si="16"/>
        <v>0</v>
      </c>
      <c r="H290" s="54">
        <f>MIN(E290-G290,D290)</f>
        <v>0</v>
      </c>
      <c r="I290" s="55">
        <f t="shared" si="17"/>
        <v>0</v>
      </c>
    </row>
    <row r="291" spans="1:9" x14ac:dyDescent="0.25">
      <c r="A291" t="b">
        <f>IF(('Input Data'!$C$25)="FRM", FALSE, ISNUMBER(MATCH(C291,'Input Data'!$N$14:$N$26,0)))</f>
        <v>0</v>
      </c>
      <c r="B291" s="51">
        <f>IF($A291, _xlfn.XLOOKUP(C291,'Input Data'!$N$13:$N$25,'Input Data'!$O$13:$O$25),$B290)</f>
        <v>6.3500000000000001E-2</v>
      </c>
      <c r="C291" s="63">
        <f t="shared" si="18"/>
        <v>289</v>
      </c>
      <c r="D291" s="55">
        <f t="shared" si="19"/>
        <v>0</v>
      </c>
      <c r="E291" s="54">
        <f>IF(D291&gt;0,IF(AND(C291='Input Data'!$B$25*12,'Input Data'!$E$25&gt;'Input Data'!$B$25),D291+D291*B291/12,-PMT(B291/12,'Input Data'!$E$25*12,D291,IF(AND(C291='Input Data'!$E$25*12,'Input Data'!$E$25&lt;'Input Data'!$B$25),D291,0))),0)</f>
        <v>0</v>
      </c>
      <c r="F291" s="55">
        <f>D291-E291</f>
        <v>0</v>
      </c>
      <c r="G291" s="55">
        <f t="shared" si="16"/>
        <v>0</v>
      </c>
      <c r="H291" s="54">
        <f>MIN(E291-G291,D291)</f>
        <v>0</v>
      </c>
      <c r="I291" s="55">
        <f t="shared" si="17"/>
        <v>0</v>
      </c>
    </row>
    <row r="292" spans="1:9" x14ac:dyDescent="0.25">
      <c r="A292" t="b">
        <f>IF(('Input Data'!$C$25)="FRM", FALSE, ISNUMBER(MATCH(C292,'Input Data'!$N$14:$N$26,0)))</f>
        <v>0</v>
      </c>
      <c r="B292" s="51">
        <f>IF($A292, _xlfn.XLOOKUP(C292,'Input Data'!$N$13:$N$25,'Input Data'!$O$13:$O$25),$B291)</f>
        <v>6.3500000000000001E-2</v>
      </c>
      <c r="C292" s="63">
        <f t="shared" si="18"/>
        <v>290</v>
      </c>
      <c r="D292" s="55">
        <f t="shared" si="19"/>
        <v>0</v>
      </c>
      <c r="E292" s="54">
        <f>IF(D292&gt;0,IF(AND(C292='Input Data'!$B$25*12,'Input Data'!$E$25&gt;'Input Data'!$B$25),D292+D292*B292/12,-PMT(B292/12,'Input Data'!$E$25*12,D292,IF(AND(C292='Input Data'!$E$25*12,'Input Data'!$E$25&lt;'Input Data'!$B$25),D292,0))),0)</f>
        <v>0</v>
      </c>
      <c r="F292" s="55">
        <f>D292-E292</f>
        <v>0</v>
      </c>
      <c r="G292" s="55">
        <f t="shared" si="16"/>
        <v>0</v>
      </c>
      <c r="H292" s="54">
        <f>MIN(E292-G292,D292)</f>
        <v>0</v>
      </c>
      <c r="I292" s="55">
        <f t="shared" si="17"/>
        <v>0</v>
      </c>
    </row>
    <row r="293" spans="1:9" x14ac:dyDescent="0.25">
      <c r="A293" t="b">
        <f>IF(('Input Data'!$C$25)="FRM", FALSE, ISNUMBER(MATCH(C293,'Input Data'!$N$14:$N$26,0)))</f>
        <v>0</v>
      </c>
      <c r="B293" s="51">
        <f>IF($A293, _xlfn.XLOOKUP(C293,'Input Data'!$N$13:$N$25,'Input Data'!$O$13:$O$25),$B292)</f>
        <v>6.3500000000000001E-2</v>
      </c>
      <c r="C293" s="63">
        <f t="shared" si="18"/>
        <v>291</v>
      </c>
      <c r="D293" s="55">
        <f t="shared" si="19"/>
        <v>0</v>
      </c>
      <c r="E293" s="54">
        <f>IF(D293&gt;0,IF(AND(C293='Input Data'!$B$25*12,'Input Data'!$E$25&gt;'Input Data'!$B$25),D293+D293*B293/12,-PMT(B293/12,'Input Data'!$E$25*12,D293,IF(AND(C293='Input Data'!$E$25*12,'Input Data'!$E$25&lt;'Input Data'!$B$25),D293,0))),0)</f>
        <v>0</v>
      </c>
      <c r="F293" s="55">
        <f>D293-E293</f>
        <v>0</v>
      </c>
      <c r="G293" s="55">
        <f t="shared" si="16"/>
        <v>0</v>
      </c>
      <c r="H293" s="54">
        <f>MIN(E293-G293,D293)</f>
        <v>0</v>
      </c>
      <c r="I293" s="55">
        <f t="shared" si="17"/>
        <v>0</v>
      </c>
    </row>
    <row r="294" spans="1:9" x14ac:dyDescent="0.25">
      <c r="A294" t="b">
        <f>IF(('Input Data'!$C$25)="FRM", FALSE, ISNUMBER(MATCH(C294,'Input Data'!$N$14:$N$26,0)))</f>
        <v>0</v>
      </c>
      <c r="B294" s="51">
        <f>IF($A294, _xlfn.XLOOKUP(C294,'Input Data'!$N$13:$N$25,'Input Data'!$O$13:$O$25),$B293)</f>
        <v>6.3500000000000001E-2</v>
      </c>
      <c r="C294" s="63">
        <f t="shared" si="18"/>
        <v>292</v>
      </c>
      <c r="D294" s="55">
        <f t="shared" si="19"/>
        <v>0</v>
      </c>
      <c r="E294" s="54">
        <f>IF(D294&gt;0,IF(AND(C294='Input Data'!$B$25*12,'Input Data'!$E$25&gt;'Input Data'!$B$25),D294+D294*B294/12,-PMT(B294/12,'Input Data'!$E$25*12,D294,IF(AND(C294='Input Data'!$E$25*12,'Input Data'!$E$25&lt;'Input Data'!$B$25),D294,0))),0)</f>
        <v>0</v>
      </c>
      <c r="F294" s="55">
        <f>D294-E294</f>
        <v>0</v>
      </c>
      <c r="G294" s="55">
        <f t="shared" si="16"/>
        <v>0</v>
      </c>
      <c r="H294" s="54">
        <f>MIN(E294-G294,D294)</f>
        <v>0</v>
      </c>
      <c r="I294" s="55">
        <f t="shared" si="17"/>
        <v>0</v>
      </c>
    </row>
    <row r="295" spans="1:9" x14ac:dyDescent="0.25">
      <c r="A295" t="b">
        <f>IF(('Input Data'!$C$25)="FRM", FALSE, ISNUMBER(MATCH(C295,'Input Data'!$N$14:$N$26,0)))</f>
        <v>0</v>
      </c>
      <c r="B295" s="51">
        <f>IF($A295, _xlfn.XLOOKUP(C295,'Input Data'!$N$13:$N$25,'Input Data'!$O$13:$O$25),$B294)</f>
        <v>6.3500000000000001E-2</v>
      </c>
      <c r="C295" s="63">
        <f t="shared" si="18"/>
        <v>293</v>
      </c>
      <c r="D295" s="55">
        <f t="shared" si="19"/>
        <v>0</v>
      </c>
      <c r="E295" s="54">
        <f>IF(D295&gt;0,IF(AND(C295='Input Data'!$B$25*12,'Input Data'!$E$25&gt;'Input Data'!$B$25),D295+D295*B295/12,-PMT(B295/12,'Input Data'!$E$25*12,D295,IF(AND(C295='Input Data'!$E$25*12,'Input Data'!$E$25&lt;'Input Data'!$B$25),D295,0))),0)</f>
        <v>0</v>
      </c>
      <c r="F295" s="55">
        <f>D295-E295</f>
        <v>0</v>
      </c>
      <c r="G295" s="55">
        <f t="shared" si="16"/>
        <v>0</v>
      </c>
      <c r="H295" s="54">
        <f>MIN(E295-G295,D295)</f>
        <v>0</v>
      </c>
      <c r="I295" s="55">
        <f t="shared" si="17"/>
        <v>0</v>
      </c>
    </row>
    <row r="296" spans="1:9" x14ac:dyDescent="0.25">
      <c r="A296" t="b">
        <f>IF(('Input Data'!$C$25)="FRM", FALSE, ISNUMBER(MATCH(C296,'Input Data'!$N$14:$N$26,0)))</f>
        <v>0</v>
      </c>
      <c r="B296" s="51">
        <f>IF($A296, _xlfn.XLOOKUP(C296,'Input Data'!$N$13:$N$25,'Input Data'!$O$13:$O$25),$B295)</f>
        <v>6.3500000000000001E-2</v>
      </c>
      <c r="C296" s="63">
        <f t="shared" si="18"/>
        <v>294</v>
      </c>
      <c r="D296" s="55">
        <f t="shared" si="19"/>
        <v>0</v>
      </c>
      <c r="E296" s="54">
        <f>IF(D296&gt;0,IF(AND(C296='Input Data'!$B$25*12,'Input Data'!$E$25&gt;'Input Data'!$B$25),D296+D296*B296/12,-PMT(B296/12,'Input Data'!$E$25*12,D296,IF(AND(C296='Input Data'!$E$25*12,'Input Data'!$E$25&lt;'Input Data'!$B$25),D296,0))),0)</f>
        <v>0</v>
      </c>
      <c r="F296" s="55">
        <f>D296-E296</f>
        <v>0</v>
      </c>
      <c r="G296" s="55">
        <f t="shared" si="16"/>
        <v>0</v>
      </c>
      <c r="H296" s="54">
        <f>MIN(E296-G296,D296)</f>
        <v>0</v>
      </c>
      <c r="I296" s="55">
        <f t="shared" si="17"/>
        <v>0</v>
      </c>
    </row>
    <row r="297" spans="1:9" x14ac:dyDescent="0.25">
      <c r="A297" t="b">
        <f>IF(('Input Data'!$C$25)="FRM", FALSE, ISNUMBER(MATCH(C297,'Input Data'!$N$14:$N$26,0)))</f>
        <v>0</v>
      </c>
      <c r="B297" s="51">
        <f>IF($A297, _xlfn.XLOOKUP(C297,'Input Data'!$N$13:$N$25,'Input Data'!$O$13:$O$25),$B296)</f>
        <v>6.3500000000000001E-2</v>
      </c>
      <c r="C297" s="63">
        <f t="shared" si="18"/>
        <v>295</v>
      </c>
      <c r="D297" s="55">
        <f t="shared" si="19"/>
        <v>0</v>
      </c>
      <c r="E297" s="54">
        <f>IF(D297&gt;0,IF(AND(C297='Input Data'!$B$25*12,'Input Data'!$E$25&gt;'Input Data'!$B$25),D297+D297*B297/12,-PMT(B297/12,'Input Data'!$E$25*12,D297,IF(AND(C297='Input Data'!$E$25*12,'Input Data'!$E$25&lt;'Input Data'!$B$25),D297,0))),0)</f>
        <v>0</v>
      </c>
      <c r="F297" s="55">
        <f>D297-E297</f>
        <v>0</v>
      </c>
      <c r="G297" s="55">
        <f t="shared" si="16"/>
        <v>0</v>
      </c>
      <c r="H297" s="54">
        <f>MIN(E297-G297,D297)</f>
        <v>0</v>
      </c>
      <c r="I297" s="55">
        <f t="shared" si="17"/>
        <v>0</v>
      </c>
    </row>
    <row r="298" spans="1:9" x14ac:dyDescent="0.25">
      <c r="A298" t="b">
        <f>IF(('Input Data'!$C$25)="FRM", FALSE, ISNUMBER(MATCH(C298,'Input Data'!$N$14:$N$26,0)))</f>
        <v>0</v>
      </c>
      <c r="B298" s="51">
        <f>IF($A298, _xlfn.XLOOKUP(C298,'Input Data'!$N$13:$N$25,'Input Data'!$O$13:$O$25),$B297)</f>
        <v>6.3500000000000001E-2</v>
      </c>
      <c r="C298" s="63">
        <f t="shared" si="18"/>
        <v>296</v>
      </c>
      <c r="D298" s="55">
        <f t="shared" si="19"/>
        <v>0</v>
      </c>
      <c r="E298" s="54">
        <f>IF(D298&gt;0,IF(AND(C298='Input Data'!$B$25*12,'Input Data'!$E$25&gt;'Input Data'!$B$25),D298+D298*B298/12,-PMT(B298/12,'Input Data'!$E$25*12,D298,IF(AND(C298='Input Data'!$E$25*12,'Input Data'!$E$25&lt;'Input Data'!$B$25),D298,0))),0)</f>
        <v>0</v>
      </c>
      <c r="F298" s="55">
        <f>D298-E298</f>
        <v>0</v>
      </c>
      <c r="G298" s="55">
        <f t="shared" si="16"/>
        <v>0</v>
      </c>
      <c r="H298" s="54">
        <f>MIN(E298-G298,D298)</f>
        <v>0</v>
      </c>
      <c r="I298" s="55">
        <f t="shared" si="17"/>
        <v>0</v>
      </c>
    </row>
    <row r="299" spans="1:9" x14ac:dyDescent="0.25">
      <c r="A299" t="b">
        <f>IF(('Input Data'!$C$25)="FRM", FALSE, ISNUMBER(MATCH(C299,'Input Data'!$N$14:$N$26,0)))</f>
        <v>0</v>
      </c>
      <c r="B299" s="51">
        <f>IF($A299, _xlfn.XLOOKUP(C299,'Input Data'!$N$13:$N$25,'Input Data'!$O$13:$O$25),$B298)</f>
        <v>6.3500000000000001E-2</v>
      </c>
      <c r="C299" s="63">
        <f t="shared" si="18"/>
        <v>297</v>
      </c>
      <c r="D299" s="55">
        <f t="shared" si="19"/>
        <v>0</v>
      </c>
      <c r="E299" s="54">
        <f>IF(D299&gt;0,IF(AND(C299='Input Data'!$B$25*12,'Input Data'!$E$25&gt;'Input Data'!$B$25),D299+D299*B299/12,-PMT(B299/12,'Input Data'!$E$25*12,D299,IF(AND(C299='Input Data'!$E$25*12,'Input Data'!$E$25&lt;'Input Data'!$B$25),D299,0))),0)</f>
        <v>0</v>
      </c>
      <c r="F299" s="55">
        <f>D299-E299</f>
        <v>0</v>
      </c>
      <c r="G299" s="55">
        <f t="shared" si="16"/>
        <v>0</v>
      </c>
      <c r="H299" s="54">
        <f>MIN(E299-G299,D299)</f>
        <v>0</v>
      </c>
      <c r="I299" s="55">
        <f t="shared" si="17"/>
        <v>0</v>
      </c>
    </row>
    <row r="300" spans="1:9" x14ac:dyDescent="0.25">
      <c r="A300" t="b">
        <f>IF(('Input Data'!$C$25)="FRM", FALSE, ISNUMBER(MATCH(C300,'Input Data'!$N$14:$N$26,0)))</f>
        <v>0</v>
      </c>
      <c r="B300" s="51">
        <f>IF($A300, _xlfn.XLOOKUP(C300,'Input Data'!$N$13:$N$25,'Input Data'!$O$13:$O$25),$B299)</f>
        <v>6.3500000000000001E-2</v>
      </c>
      <c r="C300" s="63">
        <f t="shared" si="18"/>
        <v>298</v>
      </c>
      <c r="D300" s="55">
        <f t="shared" si="19"/>
        <v>0</v>
      </c>
      <c r="E300" s="54">
        <f>IF(D300&gt;0,IF(AND(C300='Input Data'!$B$25*12,'Input Data'!$E$25&gt;'Input Data'!$B$25),D300+D300*B300/12,-PMT(B300/12,'Input Data'!$E$25*12,D300,IF(AND(C300='Input Data'!$E$25*12,'Input Data'!$E$25&lt;'Input Data'!$B$25),D300,0))),0)</f>
        <v>0</v>
      </c>
      <c r="F300" s="55">
        <f>D300-E300</f>
        <v>0</v>
      </c>
      <c r="G300" s="55">
        <f t="shared" si="16"/>
        <v>0</v>
      </c>
      <c r="H300" s="54">
        <f>MIN(E300-G300,D300)</f>
        <v>0</v>
      </c>
      <c r="I300" s="55">
        <f t="shared" si="17"/>
        <v>0</v>
      </c>
    </row>
    <row r="301" spans="1:9" x14ac:dyDescent="0.25">
      <c r="A301" t="b">
        <f>IF(('Input Data'!$C$25)="FRM", FALSE, ISNUMBER(MATCH(C301,'Input Data'!$N$14:$N$26,0)))</f>
        <v>0</v>
      </c>
      <c r="B301" s="51">
        <f>IF($A301, _xlfn.XLOOKUP(C301,'Input Data'!$N$13:$N$25,'Input Data'!$O$13:$O$25),$B300)</f>
        <v>6.3500000000000001E-2</v>
      </c>
      <c r="C301" s="63">
        <f t="shared" si="18"/>
        <v>299</v>
      </c>
      <c r="D301" s="55">
        <f t="shared" si="19"/>
        <v>0</v>
      </c>
      <c r="E301" s="54">
        <f>IF(D301&gt;0,IF(AND(C301='Input Data'!$B$25*12,'Input Data'!$E$25&gt;'Input Data'!$B$25),D301+D301*B301/12,-PMT(B301/12,'Input Data'!$E$25*12,D301,IF(AND(C301='Input Data'!$E$25*12,'Input Data'!$E$25&lt;'Input Data'!$B$25),D301,0))),0)</f>
        <v>0</v>
      </c>
      <c r="F301" s="55">
        <f>D301-E301</f>
        <v>0</v>
      </c>
      <c r="G301" s="55">
        <f t="shared" si="16"/>
        <v>0</v>
      </c>
      <c r="H301" s="54">
        <f>MIN(E301-G301,D301)</f>
        <v>0</v>
      </c>
      <c r="I301" s="55">
        <f t="shared" si="17"/>
        <v>0</v>
      </c>
    </row>
    <row r="302" spans="1:9" x14ac:dyDescent="0.25">
      <c r="A302" t="b">
        <f>IF(('Input Data'!$C$25)="FRM", FALSE, ISNUMBER(MATCH(C302,'Input Data'!$N$14:$N$26,0)))</f>
        <v>0</v>
      </c>
      <c r="B302" s="51">
        <f>IF($A302, _xlfn.XLOOKUP(C302,'Input Data'!$N$13:$N$25,'Input Data'!$O$13:$O$25),$B301)</f>
        <v>6.3500000000000001E-2</v>
      </c>
      <c r="C302" s="63">
        <f t="shared" si="18"/>
        <v>300</v>
      </c>
      <c r="D302" s="55">
        <f t="shared" si="19"/>
        <v>0</v>
      </c>
      <c r="E302" s="54">
        <f>IF(D302&gt;0,IF(AND(C302='Input Data'!$B$25*12,'Input Data'!$E$25&gt;'Input Data'!$B$25),D302+D302*B302/12,-PMT(B302/12,'Input Data'!$E$25*12,D302,IF(AND(C302='Input Data'!$E$25*12,'Input Data'!$E$25&lt;'Input Data'!$B$25),D302,0))),0)</f>
        <v>0</v>
      </c>
      <c r="F302" s="55">
        <f>D302-E302</f>
        <v>0</v>
      </c>
      <c r="G302" s="55">
        <f t="shared" si="16"/>
        <v>0</v>
      </c>
      <c r="H302" s="54">
        <f>MIN(E302-G302,D302)</f>
        <v>0</v>
      </c>
      <c r="I302" s="55">
        <f t="shared" si="17"/>
        <v>0</v>
      </c>
    </row>
    <row r="303" spans="1:9" x14ac:dyDescent="0.25">
      <c r="A303" t="b">
        <f>IF(('Input Data'!$C$25)="FRM", FALSE, ISNUMBER(MATCH(C303,'Input Data'!$N$14:$N$26,0)))</f>
        <v>0</v>
      </c>
      <c r="B303" s="51">
        <f>IF($A303, _xlfn.XLOOKUP(C303,'Input Data'!$N$13:$N$25,'Input Data'!$O$13:$O$25),$B302)</f>
        <v>6.3500000000000001E-2</v>
      </c>
      <c r="C303" s="63">
        <f t="shared" si="18"/>
        <v>301</v>
      </c>
      <c r="D303" s="55">
        <f t="shared" si="19"/>
        <v>0</v>
      </c>
      <c r="E303" s="54">
        <f>IF(D303&gt;0,IF(AND(C303='Input Data'!$B$25*12,'Input Data'!$E$25&gt;'Input Data'!$B$25),D303+D303*B303/12,-PMT(B303/12,'Input Data'!$E$25*12,D303,IF(AND(C303='Input Data'!$E$25*12,'Input Data'!$E$25&lt;'Input Data'!$B$25),D303,0))),0)</f>
        <v>0</v>
      </c>
      <c r="F303" s="55">
        <f>D303-E303</f>
        <v>0</v>
      </c>
      <c r="G303" s="55">
        <f t="shared" si="16"/>
        <v>0</v>
      </c>
      <c r="H303" s="54">
        <f>MIN(E303-G303,D303)</f>
        <v>0</v>
      </c>
      <c r="I303" s="55">
        <f t="shared" si="17"/>
        <v>0</v>
      </c>
    </row>
    <row r="304" spans="1:9" x14ac:dyDescent="0.25">
      <c r="A304" t="b">
        <f>IF(('Input Data'!$C$25)="FRM", FALSE, ISNUMBER(MATCH(C304,'Input Data'!$N$14:$N$26,0)))</f>
        <v>0</v>
      </c>
      <c r="B304" s="51">
        <f>IF($A304, _xlfn.XLOOKUP(C304,'Input Data'!$N$13:$N$25,'Input Data'!$O$13:$O$25),$B303)</f>
        <v>6.3500000000000001E-2</v>
      </c>
      <c r="C304" s="63">
        <f t="shared" si="18"/>
        <v>302</v>
      </c>
      <c r="D304" s="55">
        <f t="shared" si="19"/>
        <v>0</v>
      </c>
      <c r="E304" s="54">
        <f>IF(D304&gt;0,IF(AND(C304='Input Data'!$B$25*12,'Input Data'!$E$25&gt;'Input Data'!$B$25),D304+D304*B304/12,-PMT(B304/12,'Input Data'!$E$25*12,D304,IF(AND(C304='Input Data'!$E$25*12,'Input Data'!$E$25&lt;'Input Data'!$B$25),D304,0))),0)</f>
        <v>0</v>
      </c>
      <c r="F304" s="55">
        <f>D304-E304</f>
        <v>0</v>
      </c>
      <c r="G304" s="55">
        <f t="shared" si="16"/>
        <v>0</v>
      </c>
      <c r="H304" s="54">
        <f>MIN(E304-G304,D304)</f>
        <v>0</v>
      </c>
      <c r="I304" s="55">
        <f t="shared" si="17"/>
        <v>0</v>
      </c>
    </row>
    <row r="305" spans="1:9" x14ac:dyDescent="0.25">
      <c r="A305" t="b">
        <f>IF(('Input Data'!$C$25)="FRM", FALSE, ISNUMBER(MATCH(C305,'Input Data'!$N$14:$N$26,0)))</f>
        <v>0</v>
      </c>
      <c r="B305" s="51">
        <f>IF($A305, _xlfn.XLOOKUP(C305,'Input Data'!$N$13:$N$25,'Input Data'!$O$13:$O$25),$B304)</f>
        <v>6.3500000000000001E-2</v>
      </c>
      <c r="C305" s="63">
        <f t="shared" si="18"/>
        <v>303</v>
      </c>
      <c r="D305" s="55">
        <f t="shared" si="19"/>
        <v>0</v>
      </c>
      <c r="E305" s="54">
        <f>IF(D305&gt;0,IF(AND(C305='Input Data'!$B$25*12,'Input Data'!$E$25&gt;'Input Data'!$B$25),D305+D305*B305/12,-PMT(B305/12,'Input Data'!$E$25*12,D305,IF(AND(C305='Input Data'!$E$25*12,'Input Data'!$E$25&lt;'Input Data'!$B$25),D305,0))),0)</f>
        <v>0</v>
      </c>
      <c r="F305" s="55">
        <f>D305-E305</f>
        <v>0</v>
      </c>
      <c r="G305" s="55">
        <f t="shared" si="16"/>
        <v>0</v>
      </c>
      <c r="H305" s="54">
        <f>MIN(E305-G305,D305)</f>
        <v>0</v>
      </c>
      <c r="I305" s="55">
        <f t="shared" si="17"/>
        <v>0</v>
      </c>
    </row>
    <row r="306" spans="1:9" x14ac:dyDescent="0.25">
      <c r="A306" t="b">
        <f>IF(('Input Data'!$C$25)="FRM", FALSE, ISNUMBER(MATCH(C306,'Input Data'!$N$14:$N$26,0)))</f>
        <v>0</v>
      </c>
      <c r="B306" s="51">
        <f>IF($A306, _xlfn.XLOOKUP(C306,'Input Data'!$N$13:$N$25,'Input Data'!$O$13:$O$25),$B305)</f>
        <v>6.3500000000000001E-2</v>
      </c>
      <c r="C306" s="63">
        <f t="shared" si="18"/>
        <v>304</v>
      </c>
      <c r="D306" s="55">
        <f t="shared" si="19"/>
        <v>0</v>
      </c>
      <c r="E306" s="54">
        <f>IF(D306&gt;0,IF(AND(C306='Input Data'!$B$25*12,'Input Data'!$E$25&gt;'Input Data'!$B$25),D306+D306*B306/12,-PMT(B306/12,'Input Data'!$E$25*12,D306,IF(AND(C306='Input Data'!$E$25*12,'Input Data'!$E$25&lt;'Input Data'!$B$25),D306,0))),0)</f>
        <v>0</v>
      </c>
      <c r="F306" s="55">
        <f>D306-E306</f>
        <v>0</v>
      </c>
      <c r="G306" s="55">
        <f t="shared" si="16"/>
        <v>0</v>
      </c>
      <c r="H306" s="54">
        <f>MIN(E306-G306,D306)</f>
        <v>0</v>
      </c>
      <c r="I306" s="55">
        <f t="shared" si="17"/>
        <v>0</v>
      </c>
    </row>
    <row r="307" spans="1:9" x14ac:dyDescent="0.25">
      <c r="A307" t="b">
        <f>IF(('Input Data'!$C$25)="FRM", FALSE, ISNUMBER(MATCH(C307,'Input Data'!$N$14:$N$26,0)))</f>
        <v>0</v>
      </c>
      <c r="B307" s="51">
        <f>IF($A307, _xlfn.XLOOKUP(C307,'Input Data'!$N$13:$N$25,'Input Data'!$O$13:$O$25),$B306)</f>
        <v>6.3500000000000001E-2</v>
      </c>
      <c r="C307" s="63">
        <f t="shared" si="18"/>
        <v>305</v>
      </c>
      <c r="D307" s="55">
        <f t="shared" si="19"/>
        <v>0</v>
      </c>
      <c r="E307" s="54">
        <f>IF(D307&gt;0,IF(AND(C307='Input Data'!$B$25*12,'Input Data'!$E$25&gt;'Input Data'!$B$25),D307+D307*B307/12,-PMT(B307/12,'Input Data'!$E$25*12,D307,IF(AND(C307='Input Data'!$E$25*12,'Input Data'!$E$25&lt;'Input Data'!$B$25),D307,0))),0)</f>
        <v>0</v>
      </c>
      <c r="F307" s="55">
        <f>D307-E307</f>
        <v>0</v>
      </c>
      <c r="G307" s="55">
        <f t="shared" si="16"/>
        <v>0</v>
      </c>
      <c r="H307" s="54">
        <f>MIN(E307-G307,D307)</f>
        <v>0</v>
      </c>
      <c r="I307" s="55">
        <f t="shared" si="17"/>
        <v>0</v>
      </c>
    </row>
    <row r="308" spans="1:9" x14ac:dyDescent="0.25">
      <c r="A308" t="b">
        <f>IF(('Input Data'!$C$25)="FRM", FALSE, ISNUMBER(MATCH(C308,'Input Data'!$N$14:$N$26,0)))</f>
        <v>0</v>
      </c>
      <c r="B308" s="51">
        <f>IF($A308, _xlfn.XLOOKUP(C308,'Input Data'!$N$13:$N$25,'Input Data'!$O$13:$O$25),$B307)</f>
        <v>6.3500000000000001E-2</v>
      </c>
      <c r="C308" s="63">
        <f t="shared" si="18"/>
        <v>306</v>
      </c>
      <c r="D308" s="55">
        <f t="shared" si="19"/>
        <v>0</v>
      </c>
      <c r="E308" s="54">
        <f>IF(D308&gt;0,IF(AND(C308='Input Data'!$B$25*12,'Input Data'!$E$25&gt;'Input Data'!$B$25),D308+D308*B308/12,-PMT(B308/12,'Input Data'!$E$25*12,D308,IF(AND(C308='Input Data'!$E$25*12,'Input Data'!$E$25&lt;'Input Data'!$B$25),D308,0))),0)</f>
        <v>0</v>
      </c>
      <c r="F308" s="55">
        <f>D308-E308</f>
        <v>0</v>
      </c>
      <c r="G308" s="55">
        <f t="shared" si="16"/>
        <v>0</v>
      </c>
      <c r="H308" s="54">
        <f>MIN(E308-G308,D308)</f>
        <v>0</v>
      </c>
      <c r="I308" s="55">
        <f t="shared" si="17"/>
        <v>0</v>
      </c>
    </row>
    <row r="309" spans="1:9" x14ac:dyDescent="0.25">
      <c r="A309" t="b">
        <f>IF(('Input Data'!$C$25)="FRM", FALSE, ISNUMBER(MATCH(C309,'Input Data'!$N$14:$N$26,0)))</f>
        <v>0</v>
      </c>
      <c r="B309" s="51">
        <f>IF($A309, _xlfn.XLOOKUP(C309,'Input Data'!$N$13:$N$25,'Input Data'!$O$13:$O$25),$B308)</f>
        <v>6.3500000000000001E-2</v>
      </c>
      <c r="C309" s="63">
        <f t="shared" si="18"/>
        <v>307</v>
      </c>
      <c r="D309" s="55">
        <f t="shared" si="19"/>
        <v>0</v>
      </c>
      <c r="E309" s="54">
        <f>IF(D309&gt;0,IF(AND(C309='Input Data'!$B$25*12,'Input Data'!$E$25&gt;'Input Data'!$B$25),D309+D309*B309/12,-PMT(B309/12,'Input Data'!$E$25*12,D309,IF(AND(C309='Input Data'!$E$25*12,'Input Data'!$E$25&lt;'Input Data'!$B$25),D309,0))),0)</f>
        <v>0</v>
      </c>
      <c r="F309" s="55">
        <f>D309-E309</f>
        <v>0</v>
      </c>
      <c r="G309" s="55">
        <f t="shared" si="16"/>
        <v>0</v>
      </c>
      <c r="H309" s="54">
        <f>MIN(E309-G309,D309)</f>
        <v>0</v>
      </c>
      <c r="I309" s="55">
        <f t="shared" si="17"/>
        <v>0</v>
      </c>
    </row>
    <row r="310" spans="1:9" x14ac:dyDescent="0.25">
      <c r="A310" t="b">
        <f>IF(('Input Data'!$C$25)="FRM", FALSE, ISNUMBER(MATCH(C310,'Input Data'!$N$14:$N$26,0)))</f>
        <v>0</v>
      </c>
      <c r="B310" s="51">
        <f>IF($A310, _xlfn.XLOOKUP(C310,'Input Data'!$N$13:$N$25,'Input Data'!$O$13:$O$25),$B309)</f>
        <v>6.3500000000000001E-2</v>
      </c>
      <c r="C310" s="63">
        <f t="shared" si="18"/>
        <v>308</v>
      </c>
      <c r="D310" s="55">
        <f t="shared" si="19"/>
        <v>0</v>
      </c>
      <c r="E310" s="54">
        <f>IF(D310&gt;0,IF(AND(C310='Input Data'!$B$25*12,'Input Data'!$E$25&gt;'Input Data'!$B$25),D310+D310*B310/12,-PMT(B310/12,'Input Data'!$E$25*12,D310,IF(AND(C310='Input Data'!$E$25*12,'Input Data'!$E$25&lt;'Input Data'!$B$25),D310,0))),0)</f>
        <v>0</v>
      </c>
      <c r="F310" s="55">
        <f>D310-E310</f>
        <v>0</v>
      </c>
      <c r="G310" s="55">
        <f t="shared" si="16"/>
        <v>0</v>
      </c>
      <c r="H310" s="54">
        <f>MIN(E310-G310,D310)</f>
        <v>0</v>
      </c>
      <c r="I310" s="55">
        <f t="shared" si="17"/>
        <v>0</v>
      </c>
    </row>
    <row r="311" spans="1:9" x14ac:dyDescent="0.25">
      <c r="A311" t="b">
        <f>IF(('Input Data'!$C$25)="FRM", FALSE, ISNUMBER(MATCH(C311,'Input Data'!$N$14:$N$26,0)))</f>
        <v>0</v>
      </c>
      <c r="B311" s="51">
        <f>IF($A311, _xlfn.XLOOKUP(C311,'Input Data'!$N$13:$N$25,'Input Data'!$O$13:$O$25),$B310)</f>
        <v>6.3500000000000001E-2</v>
      </c>
      <c r="C311" s="63">
        <f t="shared" si="18"/>
        <v>309</v>
      </c>
      <c r="D311" s="55">
        <f t="shared" si="19"/>
        <v>0</v>
      </c>
      <c r="E311" s="54">
        <f>IF(D311&gt;0,IF(AND(C311='Input Data'!$B$25*12,'Input Data'!$E$25&gt;'Input Data'!$B$25),D311+D311*B311/12,-PMT(B311/12,'Input Data'!$E$25*12,D311,IF(AND(C311='Input Data'!$E$25*12,'Input Data'!$E$25&lt;'Input Data'!$B$25),D311,0))),0)</f>
        <v>0</v>
      </c>
      <c r="F311" s="55">
        <f>D311-E311</f>
        <v>0</v>
      </c>
      <c r="G311" s="55">
        <f t="shared" si="16"/>
        <v>0</v>
      </c>
      <c r="H311" s="54">
        <f>MIN(E311-G311,D311)</f>
        <v>0</v>
      </c>
      <c r="I311" s="55">
        <f t="shared" si="17"/>
        <v>0</v>
      </c>
    </row>
    <row r="312" spans="1:9" x14ac:dyDescent="0.25">
      <c r="A312" t="b">
        <f>IF(('Input Data'!$C$25)="FRM", FALSE, ISNUMBER(MATCH(C312,'Input Data'!$N$14:$N$26,0)))</f>
        <v>0</v>
      </c>
      <c r="B312" s="51">
        <f>IF($A312, _xlfn.XLOOKUP(C312,'Input Data'!$N$13:$N$25,'Input Data'!$O$13:$O$25),$B311)</f>
        <v>6.3500000000000001E-2</v>
      </c>
      <c r="C312" s="63">
        <f t="shared" si="18"/>
        <v>310</v>
      </c>
      <c r="D312" s="55">
        <f t="shared" si="19"/>
        <v>0</v>
      </c>
      <c r="E312" s="54">
        <f>IF(D312&gt;0,IF(AND(C312='Input Data'!$B$25*12,'Input Data'!$E$25&gt;'Input Data'!$B$25),D312+D312*B312/12,-PMT(B312/12,'Input Data'!$E$25*12,D312,IF(AND(C312='Input Data'!$E$25*12,'Input Data'!$E$25&lt;'Input Data'!$B$25),D312,0))),0)</f>
        <v>0</v>
      </c>
      <c r="F312" s="55">
        <f>D312-E312</f>
        <v>0</v>
      </c>
      <c r="G312" s="55">
        <f t="shared" si="16"/>
        <v>0</v>
      </c>
      <c r="H312" s="54">
        <f>MIN(E312-G312,D312)</f>
        <v>0</v>
      </c>
      <c r="I312" s="55">
        <f t="shared" si="17"/>
        <v>0</v>
      </c>
    </row>
    <row r="313" spans="1:9" x14ac:dyDescent="0.25">
      <c r="A313" t="b">
        <f>IF(('Input Data'!$C$25)="FRM", FALSE, ISNUMBER(MATCH(C313,'Input Data'!$N$14:$N$26,0)))</f>
        <v>0</v>
      </c>
      <c r="B313" s="51">
        <f>IF($A313, _xlfn.XLOOKUP(C313,'Input Data'!$N$13:$N$25,'Input Data'!$O$13:$O$25),$B312)</f>
        <v>6.3500000000000001E-2</v>
      </c>
      <c r="C313" s="63">
        <f t="shared" si="18"/>
        <v>311</v>
      </c>
      <c r="D313" s="55">
        <f t="shared" si="19"/>
        <v>0</v>
      </c>
      <c r="E313" s="54">
        <f>IF(D313&gt;0,IF(AND(C313='Input Data'!$B$25*12,'Input Data'!$E$25&gt;'Input Data'!$B$25),D313+D313*B313/12,-PMT(B313/12,'Input Data'!$E$25*12,D313,IF(AND(C313='Input Data'!$E$25*12,'Input Data'!$E$25&lt;'Input Data'!$B$25),D313,0))),0)</f>
        <v>0</v>
      </c>
      <c r="F313" s="55">
        <f>D313-E313</f>
        <v>0</v>
      </c>
      <c r="G313" s="55">
        <f t="shared" si="16"/>
        <v>0</v>
      </c>
      <c r="H313" s="54">
        <f>MIN(E313-G313,D313)</f>
        <v>0</v>
      </c>
      <c r="I313" s="55">
        <f t="shared" si="17"/>
        <v>0</v>
      </c>
    </row>
    <row r="314" spans="1:9" x14ac:dyDescent="0.25">
      <c r="A314" t="b">
        <f>IF(('Input Data'!$C$25)="FRM", FALSE, ISNUMBER(MATCH(C314,'Input Data'!$N$14:$N$26,0)))</f>
        <v>0</v>
      </c>
      <c r="B314" s="51">
        <f>IF($A314, _xlfn.XLOOKUP(C314,'Input Data'!$N$13:$N$25,'Input Data'!$O$13:$O$25),$B313)</f>
        <v>6.3500000000000001E-2</v>
      </c>
      <c r="C314" s="63">
        <f t="shared" si="18"/>
        <v>312</v>
      </c>
      <c r="D314" s="55">
        <f t="shared" si="19"/>
        <v>0</v>
      </c>
      <c r="E314" s="54">
        <f>IF(D314&gt;0,IF(AND(C314='Input Data'!$B$25*12,'Input Data'!$E$25&gt;'Input Data'!$B$25),D314+D314*B314/12,-PMT(B314/12,'Input Data'!$E$25*12,D314,IF(AND(C314='Input Data'!$E$25*12,'Input Data'!$E$25&lt;'Input Data'!$B$25),D314,0))),0)</f>
        <v>0</v>
      </c>
      <c r="F314" s="55">
        <f>D314-E314</f>
        <v>0</v>
      </c>
      <c r="G314" s="55">
        <f t="shared" si="16"/>
        <v>0</v>
      </c>
      <c r="H314" s="54">
        <f>MIN(E314-G314,D314)</f>
        <v>0</v>
      </c>
      <c r="I314" s="55">
        <f t="shared" si="17"/>
        <v>0</v>
      </c>
    </row>
    <row r="315" spans="1:9" x14ac:dyDescent="0.25">
      <c r="A315" t="b">
        <f>IF(('Input Data'!$C$25)="FRM", FALSE, ISNUMBER(MATCH(C315,'Input Data'!$N$14:$N$26,0)))</f>
        <v>0</v>
      </c>
      <c r="B315" s="51">
        <f>IF($A315, _xlfn.XLOOKUP(C315,'Input Data'!$N$13:$N$25,'Input Data'!$O$13:$O$25),$B314)</f>
        <v>6.3500000000000001E-2</v>
      </c>
      <c r="C315" s="63">
        <f t="shared" si="18"/>
        <v>313</v>
      </c>
      <c r="D315" s="55">
        <f t="shared" si="19"/>
        <v>0</v>
      </c>
      <c r="E315" s="54">
        <f>IF(D315&gt;0,IF(AND(C315='Input Data'!$B$25*12,'Input Data'!$E$25&gt;'Input Data'!$B$25),D315+D315*B315/12,-PMT(B315/12,'Input Data'!$E$25*12,D315,IF(AND(C315='Input Data'!$E$25*12,'Input Data'!$E$25&lt;'Input Data'!$B$25),D315,0))),0)</f>
        <v>0</v>
      </c>
      <c r="F315" s="55">
        <f>D315-E315</f>
        <v>0</v>
      </c>
      <c r="G315" s="55">
        <f t="shared" si="16"/>
        <v>0</v>
      </c>
      <c r="H315" s="54">
        <f>MIN(E315-G315,D315)</f>
        <v>0</v>
      </c>
      <c r="I315" s="55">
        <f t="shared" si="17"/>
        <v>0</v>
      </c>
    </row>
    <row r="316" spans="1:9" x14ac:dyDescent="0.25">
      <c r="A316" t="b">
        <f>IF(('Input Data'!$C$25)="FRM", FALSE, ISNUMBER(MATCH(C316,'Input Data'!$N$14:$N$26,0)))</f>
        <v>0</v>
      </c>
      <c r="B316" s="51">
        <f>IF($A316, _xlfn.XLOOKUP(C316,'Input Data'!$N$13:$N$25,'Input Data'!$O$13:$O$25),$B315)</f>
        <v>6.3500000000000001E-2</v>
      </c>
      <c r="C316" s="63">
        <f t="shared" si="18"/>
        <v>314</v>
      </c>
      <c r="D316" s="55">
        <f t="shared" si="19"/>
        <v>0</v>
      </c>
      <c r="E316" s="54">
        <f>IF(D316&gt;0,IF(AND(C316='Input Data'!$B$25*12,'Input Data'!$E$25&gt;'Input Data'!$B$25),D316+D316*B316/12,-PMT(B316/12,'Input Data'!$E$25*12,D316,IF(AND(C316='Input Data'!$E$25*12,'Input Data'!$E$25&lt;'Input Data'!$B$25),D316,0))),0)</f>
        <v>0</v>
      </c>
      <c r="F316" s="55">
        <f>D316-E316</f>
        <v>0</v>
      </c>
      <c r="G316" s="55">
        <f t="shared" si="16"/>
        <v>0</v>
      </c>
      <c r="H316" s="54">
        <f>MIN(E316-G316,D316)</f>
        <v>0</v>
      </c>
      <c r="I316" s="55">
        <f t="shared" si="17"/>
        <v>0</v>
      </c>
    </row>
    <row r="317" spans="1:9" x14ac:dyDescent="0.25">
      <c r="A317" t="b">
        <f>IF(('Input Data'!$C$25)="FRM", FALSE, ISNUMBER(MATCH(C317,'Input Data'!$N$14:$N$26,0)))</f>
        <v>0</v>
      </c>
      <c r="B317" s="51">
        <f>IF($A317, _xlfn.XLOOKUP(C317,'Input Data'!$N$13:$N$25,'Input Data'!$O$13:$O$25),$B316)</f>
        <v>6.3500000000000001E-2</v>
      </c>
      <c r="C317" s="63">
        <f t="shared" si="18"/>
        <v>315</v>
      </c>
      <c r="D317" s="55">
        <f t="shared" si="19"/>
        <v>0</v>
      </c>
      <c r="E317" s="54">
        <f>IF(D317&gt;0,IF(AND(C317='Input Data'!$B$25*12,'Input Data'!$E$25&gt;'Input Data'!$B$25),D317+D317*B317/12,-PMT(B317/12,'Input Data'!$E$25*12,D317,IF(AND(C317='Input Data'!$E$25*12,'Input Data'!$E$25&lt;'Input Data'!$B$25),D317,0))),0)</f>
        <v>0</v>
      </c>
      <c r="F317" s="55">
        <f>D317-E317</f>
        <v>0</v>
      </c>
      <c r="G317" s="55">
        <f t="shared" si="16"/>
        <v>0</v>
      </c>
      <c r="H317" s="54">
        <f>MIN(E317-G317,D317)</f>
        <v>0</v>
      </c>
      <c r="I317" s="55">
        <f t="shared" si="17"/>
        <v>0</v>
      </c>
    </row>
    <row r="318" spans="1:9" x14ac:dyDescent="0.25">
      <c r="A318" t="b">
        <f>IF(('Input Data'!$C$25)="FRM", FALSE, ISNUMBER(MATCH(C318,'Input Data'!$N$14:$N$26,0)))</f>
        <v>0</v>
      </c>
      <c r="B318" s="51">
        <f>IF($A318, _xlfn.XLOOKUP(C318,'Input Data'!$N$13:$N$25,'Input Data'!$O$13:$O$25),$B317)</f>
        <v>6.3500000000000001E-2</v>
      </c>
      <c r="C318" s="63">
        <f t="shared" si="18"/>
        <v>316</v>
      </c>
      <c r="D318" s="55">
        <f t="shared" si="19"/>
        <v>0</v>
      </c>
      <c r="E318" s="54">
        <f>IF(D318&gt;0,IF(AND(C318='Input Data'!$B$25*12,'Input Data'!$E$25&gt;'Input Data'!$B$25),D318+D318*B318/12,-PMT(B318/12,'Input Data'!$E$25*12,D318,IF(AND(C318='Input Data'!$E$25*12,'Input Data'!$E$25&lt;'Input Data'!$B$25),D318,0))),0)</f>
        <v>0</v>
      </c>
      <c r="F318" s="55">
        <f>D318-E318</f>
        <v>0</v>
      </c>
      <c r="G318" s="55">
        <f t="shared" si="16"/>
        <v>0</v>
      </c>
      <c r="H318" s="54">
        <f>MIN(E318-G318,D318)</f>
        <v>0</v>
      </c>
      <c r="I318" s="55">
        <f t="shared" si="17"/>
        <v>0</v>
      </c>
    </row>
    <row r="319" spans="1:9" x14ac:dyDescent="0.25">
      <c r="A319" t="b">
        <f>IF(('Input Data'!$C$25)="FRM", FALSE, ISNUMBER(MATCH(C319,'Input Data'!$N$14:$N$26,0)))</f>
        <v>0</v>
      </c>
      <c r="B319" s="51">
        <f>IF($A319, _xlfn.XLOOKUP(C319,'Input Data'!$N$13:$N$25,'Input Data'!$O$13:$O$25),$B318)</f>
        <v>6.3500000000000001E-2</v>
      </c>
      <c r="C319" s="63">
        <f t="shared" si="18"/>
        <v>317</v>
      </c>
      <c r="D319" s="55">
        <f t="shared" si="19"/>
        <v>0</v>
      </c>
      <c r="E319" s="54">
        <f>IF(D319&gt;0,IF(AND(C319='Input Data'!$B$25*12,'Input Data'!$E$25&gt;'Input Data'!$B$25),D319+D319*B319/12,-PMT(B319/12,'Input Data'!$E$25*12,D319,IF(AND(C319='Input Data'!$E$25*12,'Input Data'!$E$25&lt;'Input Data'!$B$25),D319,0))),0)</f>
        <v>0</v>
      </c>
      <c r="F319" s="55">
        <f>D319-E319</f>
        <v>0</v>
      </c>
      <c r="G319" s="55">
        <f t="shared" si="16"/>
        <v>0</v>
      </c>
      <c r="H319" s="54">
        <f>MIN(E319-G319,D319)</f>
        <v>0</v>
      </c>
      <c r="I319" s="55">
        <f t="shared" si="17"/>
        <v>0</v>
      </c>
    </row>
    <row r="320" spans="1:9" x14ac:dyDescent="0.25">
      <c r="A320" t="b">
        <f>IF(('Input Data'!$C$25)="FRM", FALSE, ISNUMBER(MATCH(C320,'Input Data'!$N$14:$N$26,0)))</f>
        <v>0</v>
      </c>
      <c r="B320" s="51">
        <f>IF($A320, _xlfn.XLOOKUP(C320,'Input Data'!$N$13:$N$25,'Input Data'!$O$13:$O$25),$B319)</f>
        <v>6.3500000000000001E-2</v>
      </c>
      <c r="C320" s="63">
        <f t="shared" si="18"/>
        <v>318</v>
      </c>
      <c r="D320" s="55">
        <f t="shared" si="19"/>
        <v>0</v>
      </c>
      <c r="E320" s="54">
        <f>IF(D320&gt;0,IF(AND(C320='Input Data'!$B$25*12,'Input Data'!$E$25&gt;'Input Data'!$B$25),D320+D320*B320/12,-PMT(B320/12,'Input Data'!$E$25*12,D320,IF(AND(C320='Input Data'!$E$25*12,'Input Data'!$E$25&lt;'Input Data'!$B$25),D320,0))),0)</f>
        <v>0</v>
      </c>
      <c r="F320" s="55">
        <f>D320-E320</f>
        <v>0</v>
      </c>
      <c r="G320" s="55">
        <f t="shared" si="16"/>
        <v>0</v>
      </c>
      <c r="H320" s="54">
        <f>MIN(E320-G320,D320)</f>
        <v>0</v>
      </c>
      <c r="I320" s="55">
        <f t="shared" si="17"/>
        <v>0</v>
      </c>
    </row>
    <row r="321" spans="1:9" x14ac:dyDescent="0.25">
      <c r="A321" t="b">
        <f>IF(('Input Data'!$C$25)="FRM", FALSE, ISNUMBER(MATCH(C321,'Input Data'!$N$14:$N$26,0)))</f>
        <v>0</v>
      </c>
      <c r="B321" s="51">
        <f>IF($A321, _xlfn.XLOOKUP(C321,'Input Data'!$N$13:$N$25,'Input Data'!$O$13:$O$25),$B320)</f>
        <v>6.3500000000000001E-2</v>
      </c>
      <c r="C321" s="63">
        <f t="shared" si="18"/>
        <v>319</v>
      </c>
      <c r="D321" s="55">
        <f t="shared" si="19"/>
        <v>0</v>
      </c>
      <c r="E321" s="54">
        <f>IF(D321&gt;0,IF(AND(C321='Input Data'!$B$25*12,'Input Data'!$E$25&gt;'Input Data'!$B$25),D321+D321*B321/12,-PMT(B321/12,'Input Data'!$E$25*12,D321,IF(AND(C321='Input Data'!$E$25*12,'Input Data'!$E$25&lt;'Input Data'!$B$25),D321,0))),0)</f>
        <v>0</v>
      </c>
      <c r="F321" s="55">
        <f>D321-E321</f>
        <v>0</v>
      </c>
      <c r="G321" s="55">
        <f t="shared" si="16"/>
        <v>0</v>
      </c>
      <c r="H321" s="54">
        <f>MIN(E321-G321,D321)</f>
        <v>0</v>
      </c>
      <c r="I321" s="55">
        <f t="shared" si="17"/>
        <v>0</v>
      </c>
    </row>
    <row r="322" spans="1:9" x14ac:dyDescent="0.25">
      <c r="A322" t="b">
        <f>IF(('Input Data'!$C$25)="FRM", FALSE, ISNUMBER(MATCH(C322,'Input Data'!$N$14:$N$26,0)))</f>
        <v>0</v>
      </c>
      <c r="B322" s="51">
        <f>IF($A322, _xlfn.XLOOKUP(C322,'Input Data'!$N$13:$N$25,'Input Data'!$O$13:$O$25),$B321)</f>
        <v>6.3500000000000001E-2</v>
      </c>
      <c r="C322" s="63">
        <f t="shared" si="18"/>
        <v>320</v>
      </c>
      <c r="D322" s="55">
        <f t="shared" si="19"/>
        <v>0</v>
      </c>
      <c r="E322" s="54">
        <f>IF(D322&gt;0,IF(AND(C322='Input Data'!$B$25*12,'Input Data'!$E$25&gt;'Input Data'!$B$25),D322+D322*B322/12,-PMT(B322/12,'Input Data'!$E$25*12,D322,IF(AND(C322='Input Data'!$E$25*12,'Input Data'!$E$25&lt;'Input Data'!$B$25),D322,0))),0)</f>
        <v>0</v>
      </c>
      <c r="F322" s="55">
        <f>D322-E322</f>
        <v>0</v>
      </c>
      <c r="G322" s="55">
        <f t="shared" si="16"/>
        <v>0</v>
      </c>
      <c r="H322" s="54">
        <f>MIN(E322-G322,D322)</f>
        <v>0</v>
      </c>
      <c r="I322" s="55">
        <f t="shared" si="17"/>
        <v>0</v>
      </c>
    </row>
    <row r="323" spans="1:9" x14ac:dyDescent="0.25">
      <c r="A323" t="b">
        <f>IF(('Input Data'!$C$25)="FRM", FALSE, ISNUMBER(MATCH(C323,'Input Data'!$N$14:$N$26,0)))</f>
        <v>0</v>
      </c>
      <c r="B323" s="51">
        <f>IF($A323, _xlfn.XLOOKUP(C323,'Input Data'!$N$13:$N$25,'Input Data'!$O$13:$O$25),$B322)</f>
        <v>6.3500000000000001E-2</v>
      </c>
      <c r="C323" s="63">
        <f t="shared" si="18"/>
        <v>321</v>
      </c>
      <c r="D323" s="55">
        <f t="shared" si="19"/>
        <v>0</v>
      </c>
      <c r="E323" s="54">
        <f>IF(D323&gt;0,IF(AND(C323='Input Data'!$B$25*12,'Input Data'!$E$25&gt;'Input Data'!$B$25),D323+D323*B323/12,-PMT(B323/12,'Input Data'!$E$25*12,D323,IF(AND(C323='Input Data'!$E$25*12,'Input Data'!$E$25&lt;'Input Data'!$B$25),D323,0))),0)</f>
        <v>0</v>
      </c>
      <c r="F323" s="55">
        <f>D323-E323</f>
        <v>0</v>
      </c>
      <c r="G323" s="55">
        <f t="shared" si="16"/>
        <v>0</v>
      </c>
      <c r="H323" s="54">
        <f>MIN(E323-G323,D323)</f>
        <v>0</v>
      </c>
      <c r="I323" s="55">
        <f t="shared" si="17"/>
        <v>0</v>
      </c>
    </row>
    <row r="324" spans="1:9" x14ac:dyDescent="0.25">
      <c r="A324" t="b">
        <f>IF(('Input Data'!$C$25)="FRM", FALSE, ISNUMBER(MATCH(C324,'Input Data'!$N$14:$N$26,0)))</f>
        <v>0</v>
      </c>
      <c r="B324" s="51">
        <f>IF($A324, _xlfn.XLOOKUP(C324,'Input Data'!$N$13:$N$25,'Input Data'!$O$13:$O$25),$B323)</f>
        <v>6.3500000000000001E-2</v>
      </c>
      <c r="C324" s="63">
        <f t="shared" si="18"/>
        <v>322</v>
      </c>
      <c r="D324" s="55">
        <f t="shared" si="19"/>
        <v>0</v>
      </c>
      <c r="E324" s="54">
        <f>IF(D324&gt;0,IF(AND(C324='Input Data'!$B$25*12,'Input Data'!$E$25&gt;'Input Data'!$B$25),D324+D324*B324/12,-PMT(B324/12,'Input Data'!$E$25*12,D324,IF(AND(C324='Input Data'!$E$25*12,'Input Data'!$E$25&lt;'Input Data'!$B$25),D324,0))),0)</f>
        <v>0</v>
      </c>
      <c r="F324" s="55">
        <f>D324-E324</f>
        <v>0</v>
      </c>
      <c r="G324" s="55">
        <f t="shared" ref="G324:G362" si="20">ROUND(D324*B324/12,2)</f>
        <v>0</v>
      </c>
      <c r="H324" s="54">
        <f>MIN(E324-G324,D324)</f>
        <v>0</v>
      </c>
      <c r="I324" s="55">
        <f t="shared" ref="I324:I362" si="21">IF(ROUND(D324-H324,2)=0,0,D324-H324)</f>
        <v>0</v>
      </c>
    </row>
    <row r="325" spans="1:9" x14ac:dyDescent="0.25">
      <c r="A325" t="b">
        <f>IF(('Input Data'!$C$25)="FRM", FALSE, ISNUMBER(MATCH(C325,'Input Data'!$N$14:$N$26,0)))</f>
        <v>0</v>
      </c>
      <c r="B325" s="51">
        <f>IF($A325, _xlfn.XLOOKUP(C325,'Input Data'!$N$13:$N$25,'Input Data'!$O$13:$O$25),$B324)</f>
        <v>6.3500000000000001E-2</v>
      </c>
      <c r="C325" s="63">
        <f t="shared" ref="C325:C362" si="22">C324+1</f>
        <v>323</v>
      </c>
      <c r="D325" s="55">
        <f t="shared" ref="D325:D362" si="23">IF(I324&gt;0,I324-J324,0)</f>
        <v>0</v>
      </c>
      <c r="E325" s="54">
        <f>IF(D325&gt;0,IF(AND(C325='Input Data'!$B$25*12,'Input Data'!$E$25&gt;'Input Data'!$B$25),D325+D325*B325/12,-PMT(B325/12,'Input Data'!$E$25*12,D325,IF(AND(C325='Input Data'!$E$25*12,'Input Data'!$E$25&lt;'Input Data'!$B$25),D325,0))),0)</f>
        <v>0</v>
      </c>
      <c r="F325" s="55">
        <f>D325-E325</f>
        <v>0</v>
      </c>
      <c r="G325" s="55">
        <f t="shared" si="20"/>
        <v>0</v>
      </c>
      <c r="H325" s="54">
        <f>MIN(E325-G325,D325)</f>
        <v>0</v>
      </c>
      <c r="I325" s="55">
        <f t="shared" si="21"/>
        <v>0</v>
      </c>
    </row>
    <row r="326" spans="1:9" x14ac:dyDescent="0.25">
      <c r="A326" t="b">
        <f>IF(('Input Data'!$C$25)="FRM", FALSE, ISNUMBER(MATCH(C326,'Input Data'!$N$14:$N$26,0)))</f>
        <v>0</v>
      </c>
      <c r="B326" s="51">
        <f>IF($A326, _xlfn.XLOOKUP(C326,'Input Data'!$N$13:$N$25,'Input Data'!$O$13:$O$25),$B325)</f>
        <v>6.3500000000000001E-2</v>
      </c>
      <c r="C326" s="63">
        <f t="shared" si="22"/>
        <v>324</v>
      </c>
      <c r="D326" s="55">
        <f t="shared" si="23"/>
        <v>0</v>
      </c>
      <c r="E326" s="54">
        <f>IF(D326&gt;0,IF(AND(C326='Input Data'!$B$25*12,'Input Data'!$E$25&gt;'Input Data'!$B$25),D326+D326*B326/12,-PMT(B326/12,'Input Data'!$E$25*12,D326,IF(AND(C326='Input Data'!$E$25*12,'Input Data'!$E$25&lt;'Input Data'!$B$25),D326,0))),0)</f>
        <v>0</v>
      </c>
      <c r="F326" s="55">
        <f>D326-E326</f>
        <v>0</v>
      </c>
      <c r="G326" s="55">
        <f t="shared" si="20"/>
        <v>0</v>
      </c>
      <c r="H326" s="54">
        <f>MIN(E326-G326,D326)</f>
        <v>0</v>
      </c>
      <c r="I326" s="55">
        <f t="shared" si="21"/>
        <v>0</v>
      </c>
    </row>
    <row r="327" spans="1:9" x14ac:dyDescent="0.25">
      <c r="A327" t="b">
        <f>IF(('Input Data'!$C$25)="FRM", FALSE, ISNUMBER(MATCH(C327,'Input Data'!$N$14:$N$26,0)))</f>
        <v>0</v>
      </c>
      <c r="B327" s="51">
        <f>IF($A327, _xlfn.XLOOKUP(C327,'Input Data'!$N$13:$N$25,'Input Data'!$O$13:$O$25),$B326)</f>
        <v>6.3500000000000001E-2</v>
      </c>
      <c r="C327" s="63">
        <f t="shared" si="22"/>
        <v>325</v>
      </c>
      <c r="D327" s="55">
        <f t="shared" si="23"/>
        <v>0</v>
      </c>
      <c r="E327" s="54">
        <f>IF(D327&gt;0,IF(AND(C327='Input Data'!$B$25*12,'Input Data'!$E$25&gt;'Input Data'!$B$25),D327+D327*B327/12,-PMT(B327/12,'Input Data'!$E$25*12,D327,IF(AND(C327='Input Data'!$E$25*12,'Input Data'!$E$25&lt;'Input Data'!$B$25),D327,0))),0)</f>
        <v>0</v>
      </c>
      <c r="F327" s="55">
        <f>D327-E327</f>
        <v>0</v>
      </c>
      <c r="G327" s="55">
        <f t="shared" si="20"/>
        <v>0</v>
      </c>
      <c r="H327" s="54">
        <f>MIN(E327-G327,D327)</f>
        <v>0</v>
      </c>
      <c r="I327" s="55">
        <f t="shared" si="21"/>
        <v>0</v>
      </c>
    </row>
    <row r="328" spans="1:9" x14ac:dyDescent="0.25">
      <c r="A328" t="b">
        <f>IF(('Input Data'!$C$25)="FRM", FALSE, ISNUMBER(MATCH(C328,'Input Data'!$N$14:$N$26,0)))</f>
        <v>0</v>
      </c>
      <c r="B328" s="51">
        <f>IF($A328, _xlfn.XLOOKUP(C328,'Input Data'!$N$13:$N$25,'Input Data'!$O$13:$O$25),$B327)</f>
        <v>6.3500000000000001E-2</v>
      </c>
      <c r="C328" s="63">
        <f t="shared" si="22"/>
        <v>326</v>
      </c>
      <c r="D328" s="55">
        <f t="shared" si="23"/>
        <v>0</v>
      </c>
      <c r="E328" s="54">
        <f>IF(D328&gt;0,IF(AND(C328='Input Data'!$B$25*12,'Input Data'!$E$25&gt;'Input Data'!$B$25),D328+D328*B328/12,-PMT(B328/12,'Input Data'!$E$25*12,D328,IF(AND(C328='Input Data'!$E$25*12,'Input Data'!$E$25&lt;'Input Data'!$B$25),D328,0))),0)</f>
        <v>0</v>
      </c>
      <c r="F328" s="55">
        <f>D328-E328</f>
        <v>0</v>
      </c>
      <c r="G328" s="55">
        <f t="shared" si="20"/>
        <v>0</v>
      </c>
      <c r="H328" s="54">
        <f>MIN(E328-G328,D328)</f>
        <v>0</v>
      </c>
      <c r="I328" s="55">
        <f t="shared" si="21"/>
        <v>0</v>
      </c>
    </row>
    <row r="329" spans="1:9" x14ac:dyDescent="0.25">
      <c r="A329" t="b">
        <f>IF(('Input Data'!$C$25)="FRM", FALSE, ISNUMBER(MATCH(C329,'Input Data'!$N$14:$N$26,0)))</f>
        <v>0</v>
      </c>
      <c r="B329" s="51">
        <f>IF($A329, _xlfn.XLOOKUP(C329,'Input Data'!$N$13:$N$25,'Input Data'!$O$13:$O$25),$B328)</f>
        <v>6.3500000000000001E-2</v>
      </c>
      <c r="C329" s="63">
        <f t="shared" si="22"/>
        <v>327</v>
      </c>
      <c r="D329" s="55">
        <f t="shared" si="23"/>
        <v>0</v>
      </c>
      <c r="E329" s="54">
        <f>IF(D329&gt;0,IF(AND(C329='Input Data'!$B$25*12,'Input Data'!$E$25&gt;'Input Data'!$B$25),D329+D329*B329/12,-PMT(B329/12,'Input Data'!$E$25*12,D329,IF(AND(C329='Input Data'!$E$25*12,'Input Data'!$E$25&lt;'Input Data'!$B$25),D329,0))),0)</f>
        <v>0</v>
      </c>
      <c r="F329" s="55">
        <f>D329-E329</f>
        <v>0</v>
      </c>
      <c r="G329" s="55">
        <f t="shared" si="20"/>
        <v>0</v>
      </c>
      <c r="H329" s="54">
        <f>MIN(E329-G329,D329)</f>
        <v>0</v>
      </c>
      <c r="I329" s="55">
        <f t="shared" si="21"/>
        <v>0</v>
      </c>
    </row>
    <row r="330" spans="1:9" x14ac:dyDescent="0.25">
      <c r="A330" t="b">
        <f>IF(('Input Data'!$C$25)="FRM", FALSE, ISNUMBER(MATCH(C330,'Input Data'!$N$14:$N$26,0)))</f>
        <v>0</v>
      </c>
      <c r="B330" s="51">
        <f>IF($A330, _xlfn.XLOOKUP(C330,'Input Data'!$N$13:$N$25,'Input Data'!$O$13:$O$25),$B329)</f>
        <v>6.3500000000000001E-2</v>
      </c>
      <c r="C330" s="63">
        <f t="shared" si="22"/>
        <v>328</v>
      </c>
      <c r="D330" s="55">
        <f t="shared" si="23"/>
        <v>0</v>
      </c>
      <c r="E330" s="54">
        <f>IF(D330&gt;0,IF(AND(C330='Input Data'!$B$25*12,'Input Data'!$E$25&gt;'Input Data'!$B$25),D330+D330*B330/12,-PMT(B330/12,'Input Data'!$E$25*12,D330,IF(AND(C330='Input Data'!$E$25*12,'Input Data'!$E$25&lt;'Input Data'!$B$25),D330,0))),0)</f>
        <v>0</v>
      </c>
      <c r="F330" s="55">
        <f>D330-E330</f>
        <v>0</v>
      </c>
      <c r="G330" s="55">
        <f t="shared" si="20"/>
        <v>0</v>
      </c>
      <c r="H330" s="54">
        <f>MIN(E330-G330,D330)</f>
        <v>0</v>
      </c>
      <c r="I330" s="55">
        <f t="shared" si="21"/>
        <v>0</v>
      </c>
    </row>
    <row r="331" spans="1:9" x14ac:dyDescent="0.25">
      <c r="A331" t="b">
        <f>IF(('Input Data'!$C$25)="FRM", FALSE, ISNUMBER(MATCH(C331,'Input Data'!$N$14:$N$26,0)))</f>
        <v>0</v>
      </c>
      <c r="B331" s="51">
        <f>IF($A331, _xlfn.XLOOKUP(C331,'Input Data'!$N$13:$N$25,'Input Data'!$O$13:$O$25),$B330)</f>
        <v>6.3500000000000001E-2</v>
      </c>
      <c r="C331" s="63">
        <f t="shared" si="22"/>
        <v>329</v>
      </c>
      <c r="D331" s="55">
        <f t="shared" si="23"/>
        <v>0</v>
      </c>
      <c r="E331" s="54">
        <f>IF(D331&gt;0,IF(AND(C331='Input Data'!$B$25*12,'Input Data'!$E$25&gt;'Input Data'!$B$25),D331+D331*B331/12,-PMT(B331/12,'Input Data'!$E$25*12,D331,IF(AND(C331='Input Data'!$E$25*12,'Input Data'!$E$25&lt;'Input Data'!$B$25),D331,0))),0)</f>
        <v>0</v>
      </c>
      <c r="F331" s="55">
        <f>D331-E331</f>
        <v>0</v>
      </c>
      <c r="G331" s="55">
        <f t="shared" si="20"/>
        <v>0</v>
      </c>
      <c r="H331" s="54">
        <f>MIN(E331-G331,D331)</f>
        <v>0</v>
      </c>
      <c r="I331" s="55">
        <f t="shared" si="21"/>
        <v>0</v>
      </c>
    </row>
    <row r="332" spans="1:9" x14ac:dyDescent="0.25">
      <c r="A332" t="b">
        <f>IF(('Input Data'!$C$25)="FRM", FALSE, ISNUMBER(MATCH(C332,'Input Data'!$N$14:$N$26,0)))</f>
        <v>0</v>
      </c>
      <c r="B332" s="51">
        <f>IF($A332, _xlfn.XLOOKUP(C332,'Input Data'!$N$13:$N$25,'Input Data'!$O$13:$O$25),$B331)</f>
        <v>6.3500000000000001E-2</v>
      </c>
      <c r="C332" s="63">
        <f t="shared" si="22"/>
        <v>330</v>
      </c>
      <c r="D332" s="55">
        <f t="shared" si="23"/>
        <v>0</v>
      </c>
      <c r="E332" s="54">
        <f>IF(D332&gt;0,IF(AND(C332='Input Data'!$B$25*12,'Input Data'!$E$25&gt;'Input Data'!$B$25),D332+D332*B332/12,-PMT(B332/12,'Input Data'!$E$25*12,D332,IF(AND(C332='Input Data'!$E$25*12,'Input Data'!$E$25&lt;'Input Data'!$B$25),D332,0))),0)</f>
        <v>0</v>
      </c>
      <c r="F332" s="55">
        <f>D332-E332</f>
        <v>0</v>
      </c>
      <c r="G332" s="55">
        <f t="shared" si="20"/>
        <v>0</v>
      </c>
      <c r="H332" s="54">
        <f>MIN(E332-G332,D332)</f>
        <v>0</v>
      </c>
      <c r="I332" s="55">
        <f t="shared" si="21"/>
        <v>0</v>
      </c>
    </row>
    <row r="333" spans="1:9" x14ac:dyDescent="0.25">
      <c r="A333" t="b">
        <f>IF(('Input Data'!$C$25)="FRM", FALSE, ISNUMBER(MATCH(C333,'Input Data'!$N$14:$N$26,0)))</f>
        <v>0</v>
      </c>
      <c r="B333" s="51">
        <f>IF($A333, _xlfn.XLOOKUP(C333,'Input Data'!$N$13:$N$25,'Input Data'!$O$13:$O$25),$B332)</f>
        <v>6.3500000000000001E-2</v>
      </c>
      <c r="C333" s="63">
        <f t="shared" si="22"/>
        <v>331</v>
      </c>
      <c r="D333" s="55">
        <f t="shared" si="23"/>
        <v>0</v>
      </c>
      <c r="E333" s="54">
        <f>IF(D333&gt;0,IF(AND(C333='Input Data'!$B$25*12,'Input Data'!$E$25&gt;'Input Data'!$B$25),D333+D333*B333/12,-PMT(B333/12,'Input Data'!$E$25*12,D333,IF(AND(C333='Input Data'!$E$25*12,'Input Data'!$E$25&lt;'Input Data'!$B$25),D333,0))),0)</f>
        <v>0</v>
      </c>
      <c r="F333" s="55">
        <f>D333-E333</f>
        <v>0</v>
      </c>
      <c r="G333" s="55">
        <f t="shared" si="20"/>
        <v>0</v>
      </c>
      <c r="H333" s="54">
        <f>MIN(E333-G333,D333)</f>
        <v>0</v>
      </c>
      <c r="I333" s="55">
        <f t="shared" si="21"/>
        <v>0</v>
      </c>
    </row>
    <row r="334" spans="1:9" x14ac:dyDescent="0.25">
      <c r="A334" t="b">
        <f>IF(('Input Data'!$C$25)="FRM", FALSE, ISNUMBER(MATCH(C334,'Input Data'!$N$14:$N$26,0)))</f>
        <v>0</v>
      </c>
      <c r="B334" s="51">
        <f>IF($A334, _xlfn.XLOOKUP(C334,'Input Data'!$N$13:$N$25,'Input Data'!$O$13:$O$25),$B333)</f>
        <v>6.3500000000000001E-2</v>
      </c>
      <c r="C334" s="63">
        <f t="shared" si="22"/>
        <v>332</v>
      </c>
      <c r="D334" s="55">
        <f t="shared" si="23"/>
        <v>0</v>
      </c>
      <c r="E334" s="54">
        <f>IF(D334&gt;0,IF(AND(C334='Input Data'!$B$25*12,'Input Data'!$E$25&gt;'Input Data'!$B$25),D334+D334*B334/12,-PMT(B334/12,'Input Data'!$E$25*12,D334,IF(AND(C334='Input Data'!$E$25*12,'Input Data'!$E$25&lt;'Input Data'!$B$25),D334,0))),0)</f>
        <v>0</v>
      </c>
      <c r="F334" s="55">
        <f>D334-E334</f>
        <v>0</v>
      </c>
      <c r="G334" s="55">
        <f t="shared" si="20"/>
        <v>0</v>
      </c>
      <c r="H334" s="54">
        <f>MIN(E334-G334,D334)</f>
        <v>0</v>
      </c>
      <c r="I334" s="55">
        <f t="shared" si="21"/>
        <v>0</v>
      </c>
    </row>
    <row r="335" spans="1:9" x14ac:dyDescent="0.25">
      <c r="A335" t="b">
        <f>IF(('Input Data'!$C$25)="FRM", FALSE, ISNUMBER(MATCH(C335,'Input Data'!$N$14:$N$26,0)))</f>
        <v>0</v>
      </c>
      <c r="B335" s="51">
        <f>IF($A335, _xlfn.XLOOKUP(C335,'Input Data'!$N$13:$N$25,'Input Data'!$O$13:$O$25),$B334)</f>
        <v>6.3500000000000001E-2</v>
      </c>
      <c r="C335" s="63">
        <f t="shared" si="22"/>
        <v>333</v>
      </c>
      <c r="D335" s="55">
        <f t="shared" si="23"/>
        <v>0</v>
      </c>
      <c r="E335" s="54">
        <f>IF(D335&gt;0,IF(AND(C335='Input Data'!$B$25*12,'Input Data'!$E$25&gt;'Input Data'!$B$25),D335+D335*B335/12,-PMT(B335/12,'Input Data'!$E$25*12,D335,IF(AND(C335='Input Data'!$E$25*12,'Input Data'!$E$25&lt;'Input Data'!$B$25),D335,0))),0)</f>
        <v>0</v>
      </c>
      <c r="F335" s="55">
        <f>D335-E335</f>
        <v>0</v>
      </c>
      <c r="G335" s="55">
        <f t="shared" si="20"/>
        <v>0</v>
      </c>
      <c r="H335" s="54">
        <f>MIN(E335-G335,D335)</f>
        <v>0</v>
      </c>
      <c r="I335" s="55">
        <f t="shared" si="21"/>
        <v>0</v>
      </c>
    </row>
    <row r="336" spans="1:9" x14ac:dyDescent="0.25">
      <c r="A336" t="b">
        <f>IF(('Input Data'!$C$25)="FRM", FALSE, ISNUMBER(MATCH(C336,'Input Data'!$N$14:$N$26,0)))</f>
        <v>0</v>
      </c>
      <c r="B336" s="51">
        <f>IF($A336, _xlfn.XLOOKUP(C336,'Input Data'!$N$13:$N$25,'Input Data'!$O$13:$O$25),$B335)</f>
        <v>6.3500000000000001E-2</v>
      </c>
      <c r="C336" s="63">
        <f t="shared" si="22"/>
        <v>334</v>
      </c>
      <c r="D336" s="55">
        <f t="shared" si="23"/>
        <v>0</v>
      </c>
      <c r="E336" s="54">
        <f>IF(D336&gt;0,IF(AND(C336='Input Data'!$B$25*12,'Input Data'!$E$25&gt;'Input Data'!$B$25),D336+D336*B336/12,-PMT(B336/12,'Input Data'!$E$25*12,D336,IF(AND(C336='Input Data'!$E$25*12,'Input Data'!$E$25&lt;'Input Data'!$B$25),D336,0))),0)</f>
        <v>0</v>
      </c>
      <c r="F336" s="55">
        <f>D336-E336</f>
        <v>0</v>
      </c>
      <c r="G336" s="55">
        <f t="shared" si="20"/>
        <v>0</v>
      </c>
      <c r="H336" s="54">
        <f>MIN(E336-G336,D336)</f>
        <v>0</v>
      </c>
      <c r="I336" s="55">
        <f t="shared" si="21"/>
        <v>0</v>
      </c>
    </row>
    <row r="337" spans="1:9" x14ac:dyDescent="0.25">
      <c r="A337" t="b">
        <f>IF(('Input Data'!$C$25)="FRM", FALSE, ISNUMBER(MATCH(C337,'Input Data'!$N$14:$N$26,0)))</f>
        <v>0</v>
      </c>
      <c r="B337" s="51">
        <f>IF($A337, _xlfn.XLOOKUP(C337,'Input Data'!$N$13:$N$25,'Input Data'!$O$13:$O$25),$B336)</f>
        <v>6.3500000000000001E-2</v>
      </c>
      <c r="C337" s="63">
        <f t="shared" si="22"/>
        <v>335</v>
      </c>
      <c r="D337" s="55">
        <f t="shared" si="23"/>
        <v>0</v>
      </c>
      <c r="E337" s="54">
        <f>IF(D337&gt;0,IF(AND(C337='Input Data'!$B$25*12,'Input Data'!$E$25&gt;'Input Data'!$B$25),D337+D337*B337/12,-PMT(B337/12,'Input Data'!$E$25*12,D337,IF(AND(C337='Input Data'!$E$25*12,'Input Data'!$E$25&lt;'Input Data'!$B$25),D337,0))),0)</f>
        <v>0</v>
      </c>
      <c r="F337" s="55">
        <f>D337-E337</f>
        <v>0</v>
      </c>
      <c r="G337" s="55">
        <f t="shared" si="20"/>
        <v>0</v>
      </c>
      <c r="H337" s="54">
        <f>MIN(E337-G337,D337)</f>
        <v>0</v>
      </c>
      <c r="I337" s="55">
        <f t="shared" si="21"/>
        <v>0</v>
      </c>
    </row>
    <row r="338" spans="1:9" x14ac:dyDescent="0.25">
      <c r="A338" t="b">
        <f>IF(('Input Data'!$C$25)="FRM", FALSE, ISNUMBER(MATCH(C338,'Input Data'!$N$14:$N$26,0)))</f>
        <v>0</v>
      </c>
      <c r="B338" s="51">
        <f>IF($A338, _xlfn.XLOOKUP(C338,'Input Data'!$N$13:$N$25,'Input Data'!$O$13:$O$25),$B337)</f>
        <v>6.3500000000000001E-2</v>
      </c>
      <c r="C338" s="63">
        <f t="shared" si="22"/>
        <v>336</v>
      </c>
      <c r="D338" s="55">
        <f t="shared" si="23"/>
        <v>0</v>
      </c>
      <c r="E338" s="54">
        <f>IF(D338&gt;0,IF(AND(C338='Input Data'!$B$25*12,'Input Data'!$E$25&gt;'Input Data'!$B$25),D338+D338*B338/12,-PMT(B338/12,'Input Data'!$E$25*12,D338,IF(AND(C338='Input Data'!$E$25*12,'Input Data'!$E$25&lt;'Input Data'!$B$25),D338,0))),0)</f>
        <v>0</v>
      </c>
      <c r="F338" s="55">
        <f>D338-E338</f>
        <v>0</v>
      </c>
      <c r="G338" s="55">
        <f t="shared" si="20"/>
        <v>0</v>
      </c>
      <c r="H338" s="54">
        <f>MIN(E338-G338,D338)</f>
        <v>0</v>
      </c>
      <c r="I338" s="55">
        <f t="shared" si="21"/>
        <v>0</v>
      </c>
    </row>
    <row r="339" spans="1:9" x14ac:dyDescent="0.25">
      <c r="A339" t="b">
        <f>IF(('Input Data'!$C$25)="FRM", FALSE, ISNUMBER(MATCH(C339,'Input Data'!$N$14:$N$26,0)))</f>
        <v>0</v>
      </c>
      <c r="B339" s="51">
        <f>IF($A339, _xlfn.XLOOKUP(C339,'Input Data'!$N$13:$N$25,'Input Data'!$O$13:$O$25),$B338)</f>
        <v>6.3500000000000001E-2</v>
      </c>
      <c r="C339" s="63">
        <f t="shared" si="22"/>
        <v>337</v>
      </c>
      <c r="D339" s="55">
        <f t="shared" si="23"/>
        <v>0</v>
      </c>
      <c r="E339" s="54">
        <f>IF(D339&gt;0,IF(AND(C339='Input Data'!$B$25*12,'Input Data'!$E$25&gt;'Input Data'!$B$25),D339+D339*B339/12,-PMT(B339/12,'Input Data'!$E$25*12,D339,IF(AND(C339='Input Data'!$E$25*12,'Input Data'!$E$25&lt;'Input Data'!$B$25),D339,0))),0)</f>
        <v>0</v>
      </c>
      <c r="F339" s="55">
        <f>D339-E339</f>
        <v>0</v>
      </c>
      <c r="G339" s="55">
        <f t="shared" si="20"/>
        <v>0</v>
      </c>
      <c r="H339" s="54">
        <f>MIN(E339-G339,D339)</f>
        <v>0</v>
      </c>
      <c r="I339" s="55">
        <f t="shared" si="21"/>
        <v>0</v>
      </c>
    </row>
    <row r="340" spans="1:9" x14ac:dyDescent="0.25">
      <c r="A340" t="b">
        <f>IF(('Input Data'!$C$25)="FRM", FALSE, ISNUMBER(MATCH(C340,'Input Data'!$N$14:$N$26,0)))</f>
        <v>0</v>
      </c>
      <c r="B340" s="51">
        <f>IF($A340, _xlfn.XLOOKUP(C340,'Input Data'!$N$13:$N$25,'Input Data'!$O$13:$O$25),$B339)</f>
        <v>6.3500000000000001E-2</v>
      </c>
      <c r="C340" s="63">
        <f t="shared" si="22"/>
        <v>338</v>
      </c>
      <c r="D340" s="55">
        <f t="shared" si="23"/>
        <v>0</v>
      </c>
      <c r="E340" s="54">
        <f>IF(D340&gt;0,IF(AND(C340='Input Data'!$B$25*12,'Input Data'!$E$25&gt;'Input Data'!$B$25),D340+D340*B340/12,-PMT(B340/12,'Input Data'!$E$25*12,D340,IF(AND(C340='Input Data'!$E$25*12,'Input Data'!$E$25&lt;'Input Data'!$B$25),D340,0))),0)</f>
        <v>0</v>
      </c>
      <c r="F340" s="55">
        <f>D340-E340</f>
        <v>0</v>
      </c>
      <c r="G340" s="55">
        <f t="shared" si="20"/>
        <v>0</v>
      </c>
      <c r="H340" s="54">
        <f>MIN(E340-G340,D340)</f>
        <v>0</v>
      </c>
      <c r="I340" s="55">
        <f t="shared" si="21"/>
        <v>0</v>
      </c>
    </row>
    <row r="341" spans="1:9" x14ac:dyDescent="0.25">
      <c r="A341" t="b">
        <f>IF(('Input Data'!$C$25)="FRM", FALSE, ISNUMBER(MATCH(C341,'Input Data'!$N$14:$N$26,0)))</f>
        <v>0</v>
      </c>
      <c r="B341" s="51">
        <f>IF($A341, _xlfn.XLOOKUP(C341,'Input Data'!$N$13:$N$25,'Input Data'!$O$13:$O$25),$B340)</f>
        <v>6.3500000000000001E-2</v>
      </c>
      <c r="C341" s="63">
        <f t="shared" si="22"/>
        <v>339</v>
      </c>
      <c r="D341" s="55">
        <f t="shared" si="23"/>
        <v>0</v>
      </c>
      <c r="E341" s="54">
        <f>IF(D341&gt;0,IF(AND(C341='Input Data'!$B$25*12,'Input Data'!$E$25&gt;'Input Data'!$B$25),D341+D341*B341/12,-PMT(B341/12,'Input Data'!$E$25*12,D341,IF(AND(C341='Input Data'!$E$25*12,'Input Data'!$E$25&lt;'Input Data'!$B$25),D341,0))),0)</f>
        <v>0</v>
      </c>
      <c r="F341" s="55">
        <f>D341-E341</f>
        <v>0</v>
      </c>
      <c r="G341" s="55">
        <f t="shared" si="20"/>
        <v>0</v>
      </c>
      <c r="H341" s="54">
        <f>MIN(E341-G341,D341)</f>
        <v>0</v>
      </c>
      <c r="I341" s="55">
        <f t="shared" si="21"/>
        <v>0</v>
      </c>
    </row>
    <row r="342" spans="1:9" x14ac:dyDescent="0.25">
      <c r="A342" t="b">
        <f>IF(('Input Data'!$C$25)="FRM", FALSE, ISNUMBER(MATCH(C342,'Input Data'!$N$14:$N$26,0)))</f>
        <v>0</v>
      </c>
      <c r="B342" s="51">
        <f>IF($A342, _xlfn.XLOOKUP(C342,'Input Data'!$N$13:$N$25,'Input Data'!$O$13:$O$25),$B341)</f>
        <v>6.3500000000000001E-2</v>
      </c>
      <c r="C342" s="63">
        <f t="shared" si="22"/>
        <v>340</v>
      </c>
      <c r="D342" s="55">
        <f t="shared" si="23"/>
        <v>0</v>
      </c>
      <c r="E342" s="54">
        <f>IF(D342&gt;0,IF(AND(C342='Input Data'!$B$25*12,'Input Data'!$E$25&gt;'Input Data'!$B$25),D342+D342*B342/12,-PMT(B342/12,'Input Data'!$E$25*12,D342,IF(AND(C342='Input Data'!$E$25*12,'Input Data'!$E$25&lt;'Input Data'!$B$25),D342,0))),0)</f>
        <v>0</v>
      </c>
      <c r="F342" s="55">
        <f>D342-E342</f>
        <v>0</v>
      </c>
      <c r="G342" s="55">
        <f t="shared" si="20"/>
        <v>0</v>
      </c>
      <c r="H342" s="54">
        <f>MIN(E342-G342,D342)</f>
        <v>0</v>
      </c>
      <c r="I342" s="55">
        <f t="shared" si="21"/>
        <v>0</v>
      </c>
    </row>
    <row r="343" spans="1:9" x14ac:dyDescent="0.25">
      <c r="A343" t="b">
        <f>IF(('Input Data'!$C$25)="FRM", FALSE, ISNUMBER(MATCH(C343,'Input Data'!$N$14:$N$26,0)))</f>
        <v>0</v>
      </c>
      <c r="B343" s="51">
        <f>IF($A343, _xlfn.XLOOKUP(C343,'Input Data'!$N$13:$N$25,'Input Data'!$O$13:$O$25),$B342)</f>
        <v>6.3500000000000001E-2</v>
      </c>
      <c r="C343" s="63">
        <f t="shared" si="22"/>
        <v>341</v>
      </c>
      <c r="D343" s="55">
        <f t="shared" si="23"/>
        <v>0</v>
      </c>
      <c r="E343" s="54">
        <f>IF(D343&gt;0,IF(AND(C343='Input Data'!$B$25*12,'Input Data'!$E$25&gt;'Input Data'!$B$25),D343+D343*B343/12,-PMT(B343/12,'Input Data'!$E$25*12,D343,IF(AND(C343='Input Data'!$E$25*12,'Input Data'!$E$25&lt;'Input Data'!$B$25),D343,0))),0)</f>
        <v>0</v>
      </c>
      <c r="F343" s="55">
        <f>D343-E343</f>
        <v>0</v>
      </c>
      <c r="G343" s="55">
        <f t="shared" si="20"/>
        <v>0</v>
      </c>
      <c r="H343" s="54">
        <f>MIN(E343-G343,D343)</f>
        <v>0</v>
      </c>
      <c r="I343" s="55">
        <f t="shared" si="21"/>
        <v>0</v>
      </c>
    </row>
    <row r="344" spans="1:9" x14ac:dyDescent="0.25">
      <c r="A344" t="b">
        <f>IF(('Input Data'!$C$25)="FRM", FALSE, ISNUMBER(MATCH(C344,'Input Data'!$N$14:$N$26,0)))</f>
        <v>0</v>
      </c>
      <c r="B344" s="51">
        <f>IF($A344, _xlfn.XLOOKUP(C344,'Input Data'!$N$13:$N$25,'Input Data'!$O$13:$O$25),$B343)</f>
        <v>6.3500000000000001E-2</v>
      </c>
      <c r="C344" s="63">
        <f t="shared" si="22"/>
        <v>342</v>
      </c>
      <c r="D344" s="55">
        <f t="shared" si="23"/>
        <v>0</v>
      </c>
      <c r="E344" s="54">
        <f>IF(D344&gt;0,IF(AND(C344='Input Data'!$B$25*12,'Input Data'!$E$25&gt;'Input Data'!$B$25),D344+D344*B344/12,-PMT(B344/12,'Input Data'!$E$25*12,D344,IF(AND(C344='Input Data'!$E$25*12,'Input Data'!$E$25&lt;'Input Data'!$B$25),D344,0))),0)</f>
        <v>0</v>
      </c>
      <c r="F344" s="55">
        <f>D344-E344</f>
        <v>0</v>
      </c>
      <c r="G344" s="55">
        <f t="shared" si="20"/>
        <v>0</v>
      </c>
      <c r="H344" s="54">
        <f>MIN(E344-G344,D344)</f>
        <v>0</v>
      </c>
      <c r="I344" s="55">
        <f t="shared" si="21"/>
        <v>0</v>
      </c>
    </row>
    <row r="345" spans="1:9" x14ac:dyDescent="0.25">
      <c r="A345" t="b">
        <f>IF(('Input Data'!$C$25)="FRM", FALSE, ISNUMBER(MATCH(C345,'Input Data'!$N$14:$N$26,0)))</f>
        <v>0</v>
      </c>
      <c r="B345" s="51">
        <f>IF($A345, _xlfn.XLOOKUP(C345,'Input Data'!$N$13:$N$25,'Input Data'!$O$13:$O$25),$B344)</f>
        <v>6.3500000000000001E-2</v>
      </c>
      <c r="C345" s="63">
        <f t="shared" si="22"/>
        <v>343</v>
      </c>
      <c r="D345" s="55">
        <f t="shared" si="23"/>
        <v>0</v>
      </c>
      <c r="E345" s="54">
        <f>IF(D345&gt;0,IF(AND(C345='Input Data'!$B$25*12,'Input Data'!$E$25&gt;'Input Data'!$B$25),D345+D345*B345/12,-PMT(B345/12,'Input Data'!$E$25*12,D345,IF(AND(C345='Input Data'!$E$25*12,'Input Data'!$E$25&lt;'Input Data'!$B$25),D345,0))),0)</f>
        <v>0</v>
      </c>
      <c r="F345" s="55">
        <f>D345-E345</f>
        <v>0</v>
      </c>
      <c r="G345" s="55">
        <f t="shared" si="20"/>
        <v>0</v>
      </c>
      <c r="H345" s="54">
        <f>MIN(E345-G345,D345)</f>
        <v>0</v>
      </c>
      <c r="I345" s="55">
        <f t="shared" si="21"/>
        <v>0</v>
      </c>
    </row>
    <row r="346" spans="1:9" x14ac:dyDescent="0.25">
      <c r="A346" t="b">
        <f>IF(('Input Data'!$C$25)="FRM", FALSE, ISNUMBER(MATCH(C346,'Input Data'!$N$14:$N$26,0)))</f>
        <v>0</v>
      </c>
      <c r="B346" s="51">
        <f>IF($A346, _xlfn.XLOOKUP(C346,'Input Data'!$N$13:$N$25,'Input Data'!$O$13:$O$25),$B345)</f>
        <v>6.3500000000000001E-2</v>
      </c>
      <c r="C346" s="63">
        <f t="shared" si="22"/>
        <v>344</v>
      </c>
      <c r="D346" s="55">
        <f t="shared" si="23"/>
        <v>0</v>
      </c>
      <c r="E346" s="54">
        <f>IF(D346&gt;0,IF(AND(C346='Input Data'!$B$25*12,'Input Data'!$E$25&gt;'Input Data'!$B$25),D346+D346*B346/12,-PMT(B346/12,'Input Data'!$E$25*12,D346,IF(AND(C346='Input Data'!$E$25*12,'Input Data'!$E$25&lt;'Input Data'!$B$25),D346,0))),0)</f>
        <v>0</v>
      </c>
      <c r="F346" s="55">
        <f>D346-E346</f>
        <v>0</v>
      </c>
      <c r="G346" s="55">
        <f t="shared" si="20"/>
        <v>0</v>
      </c>
      <c r="H346" s="54">
        <f>MIN(E346-G346,D346)</f>
        <v>0</v>
      </c>
      <c r="I346" s="55">
        <f t="shared" si="21"/>
        <v>0</v>
      </c>
    </row>
    <row r="347" spans="1:9" x14ac:dyDescent="0.25">
      <c r="A347" t="b">
        <f>IF(('Input Data'!$C$25)="FRM", FALSE, ISNUMBER(MATCH(C347,'Input Data'!$N$14:$N$26,0)))</f>
        <v>0</v>
      </c>
      <c r="B347" s="51">
        <f>IF($A347, _xlfn.XLOOKUP(C347,'Input Data'!$N$13:$N$25,'Input Data'!$O$13:$O$25),$B346)</f>
        <v>6.3500000000000001E-2</v>
      </c>
      <c r="C347" s="63">
        <f t="shared" si="22"/>
        <v>345</v>
      </c>
      <c r="D347" s="55">
        <f t="shared" si="23"/>
        <v>0</v>
      </c>
      <c r="E347" s="54">
        <f>IF(D347&gt;0,IF(AND(C347='Input Data'!$B$25*12,'Input Data'!$E$25&gt;'Input Data'!$B$25),D347+D347*B347/12,-PMT(B347/12,'Input Data'!$E$25*12,D347,IF(AND(C347='Input Data'!$E$25*12,'Input Data'!$E$25&lt;'Input Data'!$B$25),D347,0))),0)</f>
        <v>0</v>
      </c>
      <c r="F347" s="55">
        <f>D347-E347</f>
        <v>0</v>
      </c>
      <c r="G347" s="55">
        <f t="shared" si="20"/>
        <v>0</v>
      </c>
      <c r="H347" s="54">
        <f>MIN(E347-G347,D347)</f>
        <v>0</v>
      </c>
      <c r="I347" s="55">
        <f t="shared" si="21"/>
        <v>0</v>
      </c>
    </row>
    <row r="348" spans="1:9" x14ac:dyDescent="0.25">
      <c r="A348" t="b">
        <f>IF(('Input Data'!$C$25)="FRM", FALSE, ISNUMBER(MATCH(C348,'Input Data'!$N$14:$N$26,0)))</f>
        <v>0</v>
      </c>
      <c r="B348" s="51">
        <f>IF($A348, _xlfn.XLOOKUP(C348,'Input Data'!$N$13:$N$25,'Input Data'!$O$13:$O$25),$B347)</f>
        <v>6.3500000000000001E-2</v>
      </c>
      <c r="C348" s="63">
        <f t="shared" si="22"/>
        <v>346</v>
      </c>
      <c r="D348" s="55">
        <f t="shared" si="23"/>
        <v>0</v>
      </c>
      <c r="E348" s="54">
        <f>IF(D348&gt;0,IF(AND(C348='Input Data'!$B$25*12,'Input Data'!$E$25&gt;'Input Data'!$B$25),D348+D348*B348/12,-PMT(B348/12,'Input Data'!$E$25*12,D348,IF(AND(C348='Input Data'!$E$25*12,'Input Data'!$E$25&lt;'Input Data'!$B$25),D348,0))),0)</f>
        <v>0</v>
      </c>
      <c r="F348" s="55">
        <f>D348-E348</f>
        <v>0</v>
      </c>
      <c r="G348" s="55">
        <f t="shared" si="20"/>
        <v>0</v>
      </c>
      <c r="H348" s="54">
        <f>MIN(E348-G348,D348)</f>
        <v>0</v>
      </c>
      <c r="I348" s="55">
        <f t="shared" si="21"/>
        <v>0</v>
      </c>
    </row>
    <row r="349" spans="1:9" x14ac:dyDescent="0.25">
      <c r="A349" t="b">
        <f>IF(('Input Data'!$C$25)="FRM", FALSE, ISNUMBER(MATCH(C349,'Input Data'!$N$14:$N$26,0)))</f>
        <v>0</v>
      </c>
      <c r="B349" s="51">
        <f>IF($A349, _xlfn.XLOOKUP(C349,'Input Data'!$N$13:$N$25,'Input Data'!$O$13:$O$25),$B348)</f>
        <v>6.3500000000000001E-2</v>
      </c>
      <c r="C349" s="63">
        <f t="shared" si="22"/>
        <v>347</v>
      </c>
      <c r="D349" s="55">
        <f t="shared" si="23"/>
        <v>0</v>
      </c>
      <c r="E349" s="54">
        <f>IF(D349&gt;0,IF(AND(C349='Input Data'!$B$25*12,'Input Data'!$E$25&gt;'Input Data'!$B$25),D349+D349*B349/12,-PMT(B349/12,'Input Data'!$E$25*12,D349,IF(AND(C349='Input Data'!$E$25*12,'Input Data'!$E$25&lt;'Input Data'!$B$25),D349,0))),0)</f>
        <v>0</v>
      </c>
      <c r="F349" s="55">
        <f>D349-E349</f>
        <v>0</v>
      </c>
      <c r="G349" s="55">
        <f t="shared" si="20"/>
        <v>0</v>
      </c>
      <c r="H349" s="54">
        <f>MIN(E349-G349,D349)</f>
        <v>0</v>
      </c>
      <c r="I349" s="55">
        <f t="shared" si="21"/>
        <v>0</v>
      </c>
    </row>
    <row r="350" spans="1:9" x14ac:dyDescent="0.25">
      <c r="A350" t="b">
        <f>IF(('Input Data'!$C$25)="FRM", FALSE, ISNUMBER(MATCH(C350,'Input Data'!$N$14:$N$26,0)))</f>
        <v>0</v>
      </c>
      <c r="B350" s="51">
        <f>IF($A350, _xlfn.XLOOKUP(C350,'Input Data'!$N$13:$N$25,'Input Data'!$O$13:$O$25),$B349)</f>
        <v>6.3500000000000001E-2</v>
      </c>
      <c r="C350" s="63">
        <f t="shared" si="22"/>
        <v>348</v>
      </c>
      <c r="D350" s="55">
        <f t="shared" si="23"/>
        <v>0</v>
      </c>
      <c r="E350" s="54">
        <f>IF(D350&gt;0,IF(AND(C350='Input Data'!$B$25*12,'Input Data'!$E$25&gt;'Input Data'!$B$25),D350+D350*B350/12,-PMT(B350/12,'Input Data'!$E$25*12,D350,IF(AND(C350='Input Data'!$E$25*12,'Input Data'!$E$25&lt;'Input Data'!$B$25),D350,0))),0)</f>
        <v>0</v>
      </c>
      <c r="F350" s="55">
        <f>D350-E350</f>
        <v>0</v>
      </c>
      <c r="G350" s="55">
        <f t="shared" si="20"/>
        <v>0</v>
      </c>
      <c r="H350" s="54">
        <f>MIN(E350-G350,D350)</f>
        <v>0</v>
      </c>
      <c r="I350" s="55">
        <f t="shared" si="21"/>
        <v>0</v>
      </c>
    </row>
    <row r="351" spans="1:9" x14ac:dyDescent="0.25">
      <c r="A351" t="b">
        <f>IF(('Input Data'!$C$25)="FRM", FALSE, ISNUMBER(MATCH(C351,'Input Data'!$N$14:$N$26,0)))</f>
        <v>0</v>
      </c>
      <c r="B351" s="51">
        <f>IF($A351, _xlfn.XLOOKUP(C351,'Input Data'!$N$13:$N$25,'Input Data'!$O$13:$O$25),$B350)</f>
        <v>6.3500000000000001E-2</v>
      </c>
      <c r="C351" s="63">
        <f t="shared" si="22"/>
        <v>349</v>
      </c>
      <c r="D351" s="55">
        <f t="shared" si="23"/>
        <v>0</v>
      </c>
      <c r="E351" s="54">
        <f>IF(D351&gt;0,IF(AND(C351='Input Data'!$B$25*12,'Input Data'!$E$25&gt;'Input Data'!$B$25),D351+D351*B351/12,-PMT(B351/12,'Input Data'!$E$25*12,D351,IF(AND(C351='Input Data'!$E$25*12,'Input Data'!$E$25&lt;'Input Data'!$B$25),D351,0))),0)</f>
        <v>0</v>
      </c>
      <c r="F351" s="55">
        <f>D351-E351</f>
        <v>0</v>
      </c>
      <c r="G351" s="55">
        <f t="shared" si="20"/>
        <v>0</v>
      </c>
      <c r="H351" s="54">
        <f>MIN(E351-G351,D351)</f>
        <v>0</v>
      </c>
      <c r="I351" s="55">
        <f t="shared" si="21"/>
        <v>0</v>
      </c>
    </row>
    <row r="352" spans="1:9" x14ac:dyDescent="0.25">
      <c r="A352" t="b">
        <f>IF(('Input Data'!$C$25)="FRM", FALSE, ISNUMBER(MATCH(C352,'Input Data'!$N$14:$N$26,0)))</f>
        <v>0</v>
      </c>
      <c r="B352" s="51">
        <f>IF($A352, _xlfn.XLOOKUP(C352,'Input Data'!$N$13:$N$25,'Input Data'!$O$13:$O$25),$B351)</f>
        <v>6.3500000000000001E-2</v>
      </c>
      <c r="C352" s="63">
        <f t="shared" si="22"/>
        <v>350</v>
      </c>
      <c r="D352" s="55">
        <f t="shared" si="23"/>
        <v>0</v>
      </c>
      <c r="E352" s="54">
        <f>IF(D352&gt;0,IF(AND(C352='Input Data'!$B$25*12,'Input Data'!$E$25&gt;'Input Data'!$B$25),D352+D352*B352/12,-PMT(B352/12,'Input Data'!$E$25*12,D352,IF(AND(C352='Input Data'!$E$25*12,'Input Data'!$E$25&lt;'Input Data'!$B$25),D352,0))),0)</f>
        <v>0</v>
      </c>
      <c r="F352" s="55">
        <f>D352-E352</f>
        <v>0</v>
      </c>
      <c r="G352" s="55">
        <f t="shared" si="20"/>
        <v>0</v>
      </c>
      <c r="H352" s="54">
        <f>MIN(E352-G352,D352)</f>
        <v>0</v>
      </c>
      <c r="I352" s="55">
        <f t="shared" si="21"/>
        <v>0</v>
      </c>
    </row>
    <row r="353" spans="1:9" x14ac:dyDescent="0.25">
      <c r="A353" t="b">
        <f>IF(('Input Data'!$C$25)="FRM", FALSE, ISNUMBER(MATCH(C353,'Input Data'!$N$14:$N$26,0)))</f>
        <v>0</v>
      </c>
      <c r="B353" s="51">
        <f>IF($A353, _xlfn.XLOOKUP(C353,'Input Data'!$N$13:$N$25,'Input Data'!$O$13:$O$25),$B352)</f>
        <v>6.3500000000000001E-2</v>
      </c>
      <c r="C353" s="63">
        <f t="shared" si="22"/>
        <v>351</v>
      </c>
      <c r="D353" s="55">
        <f t="shared" si="23"/>
        <v>0</v>
      </c>
      <c r="E353" s="54">
        <f>IF(D353&gt;0,IF(AND(C353='Input Data'!$B$25*12,'Input Data'!$E$25&gt;'Input Data'!$B$25),D353+D353*B353/12,-PMT(B353/12,'Input Data'!$E$25*12,D353,IF(AND(C353='Input Data'!$E$25*12,'Input Data'!$E$25&lt;'Input Data'!$B$25),D353,0))),0)</f>
        <v>0</v>
      </c>
      <c r="F353" s="55">
        <f>D353-E353</f>
        <v>0</v>
      </c>
      <c r="G353" s="55">
        <f t="shared" si="20"/>
        <v>0</v>
      </c>
      <c r="H353" s="54">
        <f>MIN(E353-G353,D353)</f>
        <v>0</v>
      </c>
      <c r="I353" s="55">
        <f t="shared" si="21"/>
        <v>0</v>
      </c>
    </row>
    <row r="354" spans="1:9" x14ac:dyDescent="0.25">
      <c r="A354" t="b">
        <f>IF(('Input Data'!$C$25)="FRM", FALSE, ISNUMBER(MATCH(C354,'Input Data'!$N$14:$N$26,0)))</f>
        <v>0</v>
      </c>
      <c r="B354" s="51">
        <f>IF($A354, _xlfn.XLOOKUP(C354,'Input Data'!$N$13:$N$25,'Input Data'!$O$13:$O$25),$B353)</f>
        <v>6.3500000000000001E-2</v>
      </c>
      <c r="C354" s="63">
        <f t="shared" si="22"/>
        <v>352</v>
      </c>
      <c r="D354" s="55">
        <f t="shared" si="23"/>
        <v>0</v>
      </c>
      <c r="E354" s="54">
        <f>IF(D354&gt;0,IF(AND(C354='Input Data'!$B$25*12,'Input Data'!$E$25&gt;'Input Data'!$B$25),D354+D354*B354/12,-PMT(B354/12,'Input Data'!$E$25*12,D354,IF(AND(C354='Input Data'!$E$25*12,'Input Data'!$E$25&lt;'Input Data'!$B$25),D354,0))),0)</f>
        <v>0</v>
      </c>
      <c r="F354" s="55">
        <f>D354-E354</f>
        <v>0</v>
      </c>
      <c r="G354" s="55">
        <f t="shared" si="20"/>
        <v>0</v>
      </c>
      <c r="H354" s="54">
        <f>MIN(E354-G354,D354)</f>
        <v>0</v>
      </c>
      <c r="I354" s="55">
        <f t="shared" si="21"/>
        <v>0</v>
      </c>
    </row>
    <row r="355" spans="1:9" x14ac:dyDescent="0.25">
      <c r="A355" t="b">
        <f>IF(('Input Data'!$C$25)="FRM", FALSE, ISNUMBER(MATCH(C355,'Input Data'!$N$14:$N$26,0)))</f>
        <v>0</v>
      </c>
      <c r="B355" s="51">
        <f>IF($A355, _xlfn.XLOOKUP(C355,'Input Data'!$N$13:$N$25,'Input Data'!$O$13:$O$25),$B354)</f>
        <v>6.3500000000000001E-2</v>
      </c>
      <c r="C355" s="63">
        <f t="shared" si="22"/>
        <v>353</v>
      </c>
      <c r="D355" s="55">
        <f t="shared" si="23"/>
        <v>0</v>
      </c>
      <c r="E355" s="54">
        <f>IF(D355&gt;0,IF(AND(C355='Input Data'!$B$25*12,'Input Data'!$E$25&gt;'Input Data'!$B$25),D355+D355*B355/12,-PMT(B355/12,'Input Data'!$E$25*12,D355,IF(AND(C355='Input Data'!$E$25*12,'Input Data'!$E$25&lt;'Input Data'!$B$25),D355,0))),0)</f>
        <v>0</v>
      </c>
      <c r="F355" s="55">
        <f>D355-E355</f>
        <v>0</v>
      </c>
      <c r="G355" s="55">
        <f t="shared" si="20"/>
        <v>0</v>
      </c>
      <c r="H355" s="54">
        <f>MIN(E355-G355,D355)</f>
        <v>0</v>
      </c>
      <c r="I355" s="55">
        <f t="shared" si="21"/>
        <v>0</v>
      </c>
    </row>
    <row r="356" spans="1:9" x14ac:dyDescent="0.25">
      <c r="A356" t="b">
        <f>IF(('Input Data'!$C$25)="FRM", FALSE, ISNUMBER(MATCH(C356,'Input Data'!$N$14:$N$26,0)))</f>
        <v>0</v>
      </c>
      <c r="B356" s="51">
        <f>IF($A356, _xlfn.XLOOKUP(C356,'Input Data'!$N$13:$N$25,'Input Data'!$O$13:$O$25),$B355)</f>
        <v>6.3500000000000001E-2</v>
      </c>
      <c r="C356" s="63">
        <f t="shared" si="22"/>
        <v>354</v>
      </c>
      <c r="D356" s="55">
        <f t="shared" si="23"/>
        <v>0</v>
      </c>
      <c r="E356" s="54">
        <f>IF(D356&gt;0,IF(AND(C356='Input Data'!$B$25*12,'Input Data'!$E$25&gt;'Input Data'!$B$25),D356+D356*B356/12,-PMT(B356/12,'Input Data'!$E$25*12,D356,IF(AND(C356='Input Data'!$E$25*12,'Input Data'!$E$25&lt;'Input Data'!$B$25),D356,0))),0)</f>
        <v>0</v>
      </c>
      <c r="F356" s="55">
        <f>D356-E356</f>
        <v>0</v>
      </c>
      <c r="G356" s="55">
        <f t="shared" si="20"/>
        <v>0</v>
      </c>
      <c r="H356" s="54">
        <f>MIN(E356-G356,D356)</f>
        <v>0</v>
      </c>
      <c r="I356" s="55">
        <f t="shared" si="21"/>
        <v>0</v>
      </c>
    </row>
    <row r="357" spans="1:9" x14ac:dyDescent="0.25">
      <c r="A357" t="b">
        <f>IF(('Input Data'!$C$25)="FRM", FALSE, ISNUMBER(MATCH(C357,'Input Data'!$N$14:$N$26,0)))</f>
        <v>0</v>
      </c>
      <c r="B357" s="51">
        <f>IF($A357, _xlfn.XLOOKUP(C357,'Input Data'!$N$13:$N$25,'Input Data'!$O$13:$O$25),$B356)</f>
        <v>6.3500000000000001E-2</v>
      </c>
      <c r="C357" s="63">
        <f t="shared" si="22"/>
        <v>355</v>
      </c>
      <c r="D357" s="55">
        <f t="shared" si="23"/>
        <v>0</v>
      </c>
      <c r="E357" s="54">
        <f>IF(D357&gt;0,IF(AND(C357='Input Data'!$B$25*12,'Input Data'!$E$25&gt;'Input Data'!$B$25),D357+D357*B357/12,-PMT(B357/12,'Input Data'!$E$25*12,D357,IF(AND(C357='Input Data'!$E$25*12,'Input Data'!$E$25&lt;'Input Data'!$B$25),D357,0))),0)</f>
        <v>0</v>
      </c>
      <c r="F357" s="55">
        <f>D357-E357</f>
        <v>0</v>
      </c>
      <c r="G357" s="55">
        <f t="shared" si="20"/>
        <v>0</v>
      </c>
      <c r="H357" s="54">
        <f>MIN(E357-G357,D357)</f>
        <v>0</v>
      </c>
      <c r="I357" s="55">
        <f t="shared" si="21"/>
        <v>0</v>
      </c>
    </row>
    <row r="358" spans="1:9" x14ac:dyDescent="0.25">
      <c r="A358" t="b">
        <f>IF(('Input Data'!$C$25)="FRM", FALSE, ISNUMBER(MATCH(C358,'Input Data'!$N$14:$N$26,0)))</f>
        <v>0</v>
      </c>
      <c r="B358" s="51">
        <f>IF($A358, _xlfn.XLOOKUP(C358,'Input Data'!$N$13:$N$25,'Input Data'!$O$13:$O$25),$B357)</f>
        <v>6.3500000000000001E-2</v>
      </c>
      <c r="C358" s="63">
        <f t="shared" si="22"/>
        <v>356</v>
      </c>
      <c r="D358" s="55">
        <f t="shared" si="23"/>
        <v>0</v>
      </c>
      <c r="E358" s="54">
        <f>IF(D358&gt;0,IF(AND(C358='Input Data'!$B$25*12,'Input Data'!$E$25&gt;'Input Data'!$B$25),D358+D358*B358/12,-PMT(B358/12,'Input Data'!$E$25*12,D358,IF(AND(C358='Input Data'!$E$25*12,'Input Data'!$E$25&lt;'Input Data'!$B$25),D358,0))),0)</f>
        <v>0</v>
      </c>
      <c r="F358" s="55">
        <f>D358-E358</f>
        <v>0</v>
      </c>
      <c r="G358" s="55">
        <f t="shared" si="20"/>
        <v>0</v>
      </c>
      <c r="H358" s="54">
        <f>MIN(E358-G358,D358)</f>
        <v>0</v>
      </c>
      <c r="I358" s="55">
        <f t="shared" si="21"/>
        <v>0</v>
      </c>
    </row>
    <row r="359" spans="1:9" x14ac:dyDescent="0.25">
      <c r="A359" t="b">
        <f>IF(('Input Data'!$C$25)="FRM", FALSE, ISNUMBER(MATCH(C359,'Input Data'!$N$14:$N$26,0)))</f>
        <v>0</v>
      </c>
      <c r="B359" s="51">
        <f>IF($A359, _xlfn.XLOOKUP(C359,'Input Data'!$N$13:$N$25,'Input Data'!$O$13:$O$25),$B358)</f>
        <v>6.3500000000000001E-2</v>
      </c>
      <c r="C359" s="63">
        <f t="shared" si="22"/>
        <v>357</v>
      </c>
      <c r="D359" s="55">
        <f t="shared" si="23"/>
        <v>0</v>
      </c>
      <c r="E359" s="54">
        <f>IF(D359&gt;0,IF(AND(C359='Input Data'!$B$25*12,'Input Data'!$E$25&gt;'Input Data'!$B$25),D359+D359*B359/12,-PMT(B359/12,'Input Data'!$E$25*12,D359,IF(AND(C359='Input Data'!$E$25*12,'Input Data'!$E$25&lt;'Input Data'!$B$25),D359,0))),0)</f>
        <v>0</v>
      </c>
      <c r="F359" s="55">
        <f>D359-E359</f>
        <v>0</v>
      </c>
      <c r="G359" s="55">
        <f t="shared" si="20"/>
        <v>0</v>
      </c>
      <c r="H359" s="54">
        <f>MIN(E359-G359,D359)</f>
        <v>0</v>
      </c>
      <c r="I359" s="55">
        <f t="shared" si="21"/>
        <v>0</v>
      </c>
    </row>
    <row r="360" spans="1:9" x14ac:dyDescent="0.25">
      <c r="A360" t="b">
        <f>IF(('Input Data'!$C$25)="FRM", FALSE, ISNUMBER(MATCH(C360,'Input Data'!$N$14:$N$26,0)))</f>
        <v>0</v>
      </c>
      <c r="B360" s="51">
        <f>IF($A360, _xlfn.XLOOKUP(C360,'Input Data'!$N$13:$N$25,'Input Data'!$O$13:$O$25),$B359)</f>
        <v>6.3500000000000001E-2</v>
      </c>
      <c r="C360" s="63">
        <f t="shared" si="22"/>
        <v>358</v>
      </c>
      <c r="D360" s="55">
        <f t="shared" si="23"/>
        <v>0</v>
      </c>
      <c r="E360" s="54">
        <f>IF(D360&gt;0,IF(AND(C360='Input Data'!$B$25*12,'Input Data'!$E$25&gt;'Input Data'!$B$25),D360+D360*B360/12,-PMT(B360/12,'Input Data'!$E$25*12,D360,IF(AND(C360='Input Data'!$E$25*12,'Input Data'!$E$25&lt;'Input Data'!$B$25),D360,0))),0)</f>
        <v>0</v>
      </c>
      <c r="F360" s="55">
        <f>D360-E360</f>
        <v>0</v>
      </c>
      <c r="G360" s="55">
        <f t="shared" si="20"/>
        <v>0</v>
      </c>
      <c r="H360" s="54">
        <f>MIN(E360-G360,D360)</f>
        <v>0</v>
      </c>
      <c r="I360" s="55">
        <f t="shared" si="21"/>
        <v>0</v>
      </c>
    </row>
    <row r="361" spans="1:9" x14ac:dyDescent="0.25">
      <c r="A361" t="b">
        <f>IF(('Input Data'!$C$25)="FRM", FALSE, ISNUMBER(MATCH(C361,'Input Data'!$N$14:$N$26,0)))</f>
        <v>0</v>
      </c>
      <c r="B361" s="51">
        <f>IF($A361, _xlfn.XLOOKUP(C361,'Input Data'!$N$13:$N$25,'Input Data'!$O$13:$O$25),$B360)</f>
        <v>6.3500000000000001E-2</v>
      </c>
      <c r="C361" s="63">
        <f t="shared" si="22"/>
        <v>359</v>
      </c>
      <c r="D361" s="55">
        <f t="shared" si="23"/>
        <v>0</v>
      </c>
      <c r="E361" s="54">
        <f>IF(D361&gt;0,IF(AND(C361='Input Data'!$B$25*12,'Input Data'!$E$25&gt;'Input Data'!$B$25),D361+D361*B361/12,-PMT(B361/12,'Input Data'!$E$25*12,D361,IF(AND(C361='Input Data'!$E$25*12,'Input Data'!$E$25&lt;'Input Data'!$B$25),D361,0))),0)</f>
        <v>0</v>
      </c>
      <c r="F361" s="55">
        <f>D361-E361</f>
        <v>0</v>
      </c>
      <c r="G361" s="55">
        <f t="shared" si="20"/>
        <v>0</v>
      </c>
      <c r="H361" s="54">
        <f>MIN(E361-G361,D361)</f>
        <v>0</v>
      </c>
      <c r="I361" s="55">
        <f t="shared" si="21"/>
        <v>0</v>
      </c>
    </row>
    <row r="362" spans="1:9" x14ac:dyDescent="0.25">
      <c r="A362" t="b">
        <f>IF(('Input Data'!$C$25)="FRM", FALSE, ISNUMBER(MATCH(C362,'Input Data'!$N$14:$N$26,0)))</f>
        <v>0</v>
      </c>
      <c r="B362" s="51">
        <f>IF($A362, _xlfn.XLOOKUP(C362,'Input Data'!$N$13:$N$25,'Input Data'!$O$13:$O$25),$B361)</f>
        <v>6.3500000000000001E-2</v>
      </c>
      <c r="C362" s="63">
        <f t="shared" si="22"/>
        <v>360</v>
      </c>
      <c r="D362" s="55">
        <f t="shared" si="23"/>
        <v>0</v>
      </c>
      <c r="E362" s="54">
        <f>IF(D362&gt;0,IF(AND(C362='Input Data'!$B$25*12,'Input Data'!$E$25&gt;'Input Data'!$B$25),D362+D362*B362/12,-PMT(B362/12,'Input Data'!$E$25*12,D362,IF(AND(C362='Input Data'!$E$25*12,'Input Data'!$E$25&lt;'Input Data'!$B$25),D362,0))),0)</f>
        <v>0</v>
      </c>
      <c r="F362" s="55">
        <f>D362-E362</f>
        <v>0</v>
      </c>
      <c r="G362" s="55">
        <f t="shared" si="20"/>
        <v>0</v>
      </c>
      <c r="H362" s="54">
        <f>MIN(E362-G362,D362)</f>
        <v>0</v>
      </c>
      <c r="I362" s="55">
        <f t="shared" si="2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 Data</vt:lpstr>
      <vt:lpstr>Debt 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 Shelly</cp:lastModifiedBy>
  <dcterms:created xsi:type="dcterms:W3CDTF">2015-06-05T18:17:20Z</dcterms:created>
  <dcterms:modified xsi:type="dcterms:W3CDTF">2026-01-01T15:12:48Z</dcterms:modified>
</cp:coreProperties>
</file>